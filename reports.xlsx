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4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5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odbrasilino/zju-workspace/chatgpt-codesec-analysis/"/>
    </mc:Choice>
  </mc:AlternateContent>
  <xr:revisionPtr revIDLastSave="0" documentId="13_ncr:1_{0227ECBC-294D-1242-B234-12950DFEADB6}" xr6:coauthVersionLast="47" xr6:coauthVersionMax="47" xr10:uidLastSave="{00000000-0000-0000-0000-000000000000}"/>
  <bookViews>
    <workbookView xWindow="2800" yWindow="880" windowWidth="28240" windowHeight="17240" activeTab="3" xr2:uid="{F8294CEF-40F9-6F4A-B51F-5417E1A40D7E}"/>
  </bookViews>
  <sheets>
    <sheet name="Planilha4" sheetId="4" r:id="rId1"/>
    <sheet name="pca-variance" sheetId="5" r:id="rId2"/>
    <sheet name="weaknesses_cwe.csv" sheetId="2" r:id="rId3"/>
    <sheet name="weaknesses_pillar.csv" sheetId="1" r:id="rId4"/>
    <sheet name="healed_r1" sheetId="6" r:id="rId5"/>
    <sheet name="healed_r2" sheetId="7" r:id="rId6"/>
    <sheet name="healed_r3" sheetId="8" r:id="rId7"/>
    <sheet name="healed_r4" sheetId="9" r:id="rId8"/>
    <sheet name="healed_r5" sheetId="10" r:id="rId9"/>
    <sheet name="healed_r6" sheetId="11" r:id="rId10"/>
    <sheet name="Planilha3" sheetId="12" r:id="rId11"/>
  </sheets>
  <calcPr calcId="191029"/>
  <pivotCaches>
    <pivotCache cacheId="27" r:id="rId12"/>
    <pivotCache cacheId="28" r:id="rId13"/>
    <pivotCache cacheId="29" r:id="rId14"/>
    <pivotCache cacheId="30" r:id="rId15"/>
    <pivotCache cacheId="31" r:id="rId16"/>
    <pivotCache cacheId="39" r:id="rId17"/>
    <pivotCache cacheId="4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1" l="1"/>
  <c r="O30" i="11"/>
  <c r="O34" i="11"/>
  <c r="O35" i="11" s="1"/>
  <c r="O33" i="11"/>
  <c r="O31" i="11"/>
  <c r="L35" i="11"/>
  <c r="M34" i="11"/>
  <c r="M35" i="11" s="1"/>
  <c r="L34" i="11"/>
  <c r="K34" i="11"/>
  <c r="K35" i="11" s="1"/>
  <c r="J34" i="11"/>
  <c r="J35" i="11" s="1"/>
  <c r="I34" i="11"/>
  <c r="M33" i="11"/>
  <c r="L33" i="11"/>
  <c r="K33" i="11"/>
  <c r="J33" i="11"/>
  <c r="M31" i="11"/>
  <c r="L31" i="11"/>
  <c r="K31" i="11"/>
  <c r="J31" i="11"/>
  <c r="I26" i="11"/>
  <c r="J26" i="11" s="1"/>
  <c r="J25" i="11"/>
  <c r="I25" i="11"/>
  <c r="I24" i="11"/>
  <c r="J24" i="11" s="1"/>
  <c r="I23" i="11"/>
  <c r="J23" i="11" s="1"/>
  <c r="J22" i="11"/>
  <c r="I22" i="11"/>
  <c r="I21" i="11"/>
  <c r="J21" i="11" s="1"/>
  <c r="I20" i="11"/>
  <c r="J20" i="11" s="1"/>
  <c r="J19" i="11"/>
  <c r="I19" i="11"/>
  <c r="I18" i="11"/>
  <c r="J18" i="11" s="1"/>
  <c r="I17" i="11"/>
  <c r="J17" i="11" s="1"/>
  <c r="I16" i="11"/>
  <c r="J16" i="11" s="1"/>
  <c r="I15" i="11"/>
  <c r="J15" i="11" s="1"/>
  <c r="J14" i="11"/>
  <c r="I14" i="11"/>
  <c r="I13" i="11"/>
  <c r="J13" i="11" s="1"/>
  <c r="I12" i="11"/>
  <c r="J12" i="11" s="1"/>
  <c r="J11" i="11"/>
  <c r="I11" i="11"/>
  <c r="I10" i="11"/>
  <c r="J10" i="11" s="1"/>
  <c r="I9" i="11"/>
  <c r="J9" i="11" s="1"/>
  <c r="I8" i="11"/>
  <c r="N31" i="11" s="1"/>
  <c r="N32" i="10"/>
  <c r="N30" i="10"/>
  <c r="N31" i="10"/>
  <c r="I26" i="10"/>
  <c r="I25" i="10"/>
  <c r="I24" i="10"/>
  <c r="I23" i="10"/>
  <c r="I22" i="10"/>
  <c r="I21" i="10"/>
  <c r="J21" i="10" s="1"/>
  <c r="I20" i="10"/>
  <c r="J20" i="10" s="1"/>
  <c r="I19" i="10"/>
  <c r="J19" i="10" s="1"/>
  <c r="I18" i="10"/>
  <c r="J18" i="10" s="1"/>
  <c r="I17" i="10"/>
  <c r="J17" i="10" s="1"/>
  <c r="I16" i="10"/>
  <c r="J16" i="10" s="1"/>
  <c r="I15" i="10"/>
  <c r="J15" i="10" s="1"/>
  <c r="I14" i="10"/>
  <c r="J14" i="10" s="1"/>
  <c r="I13" i="10"/>
  <c r="J13" i="10" s="1"/>
  <c r="I12" i="10"/>
  <c r="J12" i="10" s="1"/>
  <c r="I11" i="10"/>
  <c r="J11" i="10" s="1"/>
  <c r="I10" i="10"/>
  <c r="J10" i="10" s="1"/>
  <c r="I9" i="10"/>
  <c r="I8" i="10"/>
  <c r="L34" i="10"/>
  <c r="L35" i="10" s="1"/>
  <c r="K34" i="10"/>
  <c r="K35" i="10" s="1"/>
  <c r="J34" i="10"/>
  <c r="J35" i="10" s="1"/>
  <c r="I34" i="10"/>
  <c r="L33" i="10"/>
  <c r="K33" i="10"/>
  <c r="J33" i="10"/>
  <c r="L31" i="10"/>
  <c r="K31" i="10"/>
  <c r="J31" i="10"/>
  <c r="J26" i="10"/>
  <c r="J25" i="10"/>
  <c r="J24" i="10"/>
  <c r="J23" i="10"/>
  <c r="J22" i="10"/>
  <c r="J9" i="10"/>
  <c r="M34" i="9"/>
  <c r="M32" i="9"/>
  <c r="M30" i="9"/>
  <c r="M35" i="9"/>
  <c r="M33" i="9"/>
  <c r="M31" i="9"/>
  <c r="L31" i="9"/>
  <c r="K34" i="9"/>
  <c r="K35" i="9" s="1"/>
  <c r="J34" i="9"/>
  <c r="J35" i="9" s="1"/>
  <c r="I34" i="9"/>
  <c r="K33" i="9"/>
  <c r="J33" i="9"/>
  <c r="K31" i="9"/>
  <c r="J31" i="9"/>
  <c r="I26" i="9"/>
  <c r="J26" i="9" s="1"/>
  <c r="I25" i="9"/>
  <c r="J25" i="9" s="1"/>
  <c r="I24" i="9"/>
  <c r="J24" i="9" s="1"/>
  <c r="I23" i="9"/>
  <c r="J23" i="9" s="1"/>
  <c r="I22" i="9"/>
  <c r="J22" i="9" s="1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L31" i="8"/>
  <c r="K31" i="8"/>
  <c r="J31" i="8"/>
  <c r="J33" i="8"/>
  <c r="K33" i="8"/>
  <c r="L33" i="8"/>
  <c r="L35" i="8"/>
  <c r="J35" i="8"/>
  <c r="K35" i="8"/>
  <c r="L34" i="8"/>
  <c r="K34" i="8"/>
  <c r="J34" i="8"/>
  <c r="I34" i="8"/>
  <c r="I26" i="7"/>
  <c r="I25" i="7"/>
  <c r="I24" i="7"/>
  <c r="I23" i="7"/>
  <c r="I22" i="7"/>
  <c r="J22" i="7" s="1"/>
  <c r="I21" i="7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I26" i="8"/>
  <c r="I25" i="8"/>
  <c r="I24" i="8"/>
  <c r="I23" i="8"/>
  <c r="J23" i="8" s="1"/>
  <c r="I22" i="8"/>
  <c r="J22" i="8" s="1"/>
  <c r="I21" i="8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I9" i="8"/>
  <c r="J9" i="8" s="1"/>
  <c r="I8" i="8"/>
  <c r="J10" i="8"/>
  <c r="J26" i="8"/>
  <c r="J25" i="8"/>
  <c r="J24" i="8"/>
  <c r="J21" i="8"/>
  <c r="K35" i="7"/>
  <c r="J35" i="7"/>
  <c r="J33" i="7"/>
  <c r="J31" i="7"/>
  <c r="J26" i="7"/>
  <c r="J25" i="7"/>
  <c r="J24" i="7"/>
  <c r="J23" i="7"/>
  <c r="J21" i="7"/>
  <c r="K46" i="6"/>
  <c r="K45" i="6"/>
  <c r="K44" i="6"/>
  <c r="J40" i="6"/>
  <c r="J39" i="6"/>
  <c r="J28" i="6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40" i="6"/>
  <c r="I39" i="6"/>
  <c r="I38" i="6"/>
  <c r="J38" i="6" s="1"/>
  <c r="I37" i="6"/>
  <c r="J37" i="6" s="1"/>
  <c r="I36" i="6"/>
  <c r="J36" i="6" s="1"/>
  <c r="I35" i="6"/>
  <c r="J35" i="6" s="1"/>
  <c r="I34" i="6"/>
  <c r="J34" i="6" s="1"/>
  <c r="I33" i="6"/>
  <c r="J33" i="6" s="1"/>
  <c r="I32" i="6"/>
  <c r="J32" i="6" s="1"/>
  <c r="I31" i="6"/>
  <c r="J31" i="6" s="1"/>
  <c r="I30" i="6"/>
  <c r="J30" i="6" s="1"/>
  <c r="I29" i="6"/>
  <c r="J29" i="6" s="1"/>
  <c r="I28" i="6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C11" i="5"/>
  <c r="C10" i="5"/>
  <c r="C9" i="5"/>
  <c r="C8" i="5"/>
  <c r="C7" i="5"/>
  <c r="C6" i="5"/>
  <c r="C5" i="5"/>
  <c r="C4" i="5"/>
  <c r="C3" i="5"/>
  <c r="C2" i="5"/>
  <c r="H33" i="4"/>
  <c r="H36" i="4"/>
  <c r="H40" i="4"/>
  <c r="H39" i="4"/>
  <c r="H38" i="4"/>
  <c r="H37" i="4"/>
  <c r="H35" i="4"/>
  <c r="H34" i="4"/>
  <c r="H32" i="4"/>
  <c r="H31" i="4"/>
  <c r="H30" i="4"/>
  <c r="H29" i="4"/>
  <c r="H28" i="4"/>
  <c r="H27" i="4"/>
  <c r="H26" i="4"/>
  <c r="H25" i="4"/>
  <c r="H24" i="4"/>
  <c r="H23" i="4"/>
  <c r="H22" i="4"/>
  <c r="J8" i="11" l="1"/>
  <c r="N34" i="10"/>
  <c r="N33" i="10"/>
  <c r="M31" i="10"/>
  <c r="J8" i="10"/>
  <c r="J27" i="9"/>
  <c r="K30" i="7"/>
  <c r="K31" i="7" s="1"/>
  <c r="J8" i="7"/>
  <c r="L30" i="8"/>
  <c r="J8" i="8"/>
  <c r="L32" i="8" s="1"/>
  <c r="J41" i="6"/>
  <c r="K32" i="7"/>
  <c r="K33" i="7" s="1"/>
  <c r="J27" i="7"/>
  <c r="J27" i="11" l="1"/>
  <c r="J27" i="10"/>
  <c r="L34" i="9"/>
  <c r="L35" i="9" s="1"/>
  <c r="L33" i="9"/>
  <c r="J27" i="8"/>
  <c r="N34" i="11" l="1"/>
  <c r="N35" i="11" s="1"/>
  <c r="N33" i="11"/>
  <c r="M34" i="10"/>
  <c r="M33" i="10"/>
  <c r="M35" i="10" l="1"/>
  <c r="N35" i="10"/>
</calcChain>
</file>

<file path=xl/sharedStrings.xml><?xml version="1.0" encoding="utf-8"?>
<sst xmlns="http://schemas.openxmlformats.org/spreadsheetml/2006/main" count="3812" uniqueCount="220">
  <si>
    <t>cwe</t>
  </si>
  <si>
    <t>Total Geral</t>
  </si>
  <si>
    <t>problem</t>
  </si>
  <si>
    <t>tool</t>
  </si>
  <si>
    <t>frequency</t>
  </si>
  <si>
    <t>gcc</t>
  </si>
  <si>
    <t>flawfinder</t>
  </si>
  <si>
    <t>cppcheck</t>
  </si>
  <si>
    <t>Rótulos de Coluna</t>
  </si>
  <si>
    <t>Rótulos de Linha</t>
  </si>
  <si>
    <t>(vazio)</t>
  </si>
  <si>
    <t>Soma de frequency</t>
  </si>
  <si>
    <t>CWEs</t>
  </si>
  <si>
    <t>Tools</t>
  </si>
  <si>
    <t xml:space="preserve"> Weaknesses Count</t>
  </si>
  <si>
    <t>Total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</si>
  <si>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</si>
  <si>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</si>
  <si>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</si>
  <si>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</si>
  <si>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</si>
  <si>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</si>
  <si>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</si>
  <si>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</si>
  <si>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</si>
  <si>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</si>
  <si>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Variance</t>
  </si>
  <si>
    <t>Cumulative</t>
  </si>
  <si>
    <t>973</t>
  </si>
  <si>
    <t>664</t>
  </si>
  <si>
    <t>81</t>
  </si>
  <si>
    <t>710</t>
  </si>
  <si>
    <t>377</t>
  </si>
  <si>
    <t>523</t>
  </si>
  <si>
    <t>892</t>
  </si>
  <si>
    <t>451</t>
  </si>
  <si>
    <t>661</t>
  </si>
  <si>
    <t>794</t>
  </si>
  <si>
    <t>395</t>
  </si>
  <si>
    <t>715</t>
  </si>
  <si>
    <t>538</t>
  </si>
  <si>
    <t>301</t>
  </si>
  <si>
    <t>961</t>
  </si>
  <si>
    <t>217</t>
  </si>
  <si>
    <t>877</t>
  </si>
  <si>
    <t>862</t>
  </si>
  <si>
    <t>771</t>
  </si>
  <si>
    <t>31</t>
  </si>
  <si>
    <t>667</t>
  </si>
  <si>
    <t>427</t>
  </si>
  <si>
    <t>125</t>
  </si>
  <si>
    <t>387</t>
  </si>
  <si>
    <t>456</t>
  </si>
  <si>
    <t>969</t>
  </si>
  <si>
    <t>653</t>
  </si>
  <si>
    <t>79</t>
  </si>
  <si>
    <t>708</t>
  </si>
  <si>
    <t>131</t>
  </si>
  <si>
    <t>285</t>
  </si>
  <si>
    <t>226</t>
  </si>
  <si>
    <t>386</t>
  </si>
  <si>
    <t>699</t>
  </si>
  <si>
    <t>620</t>
  </si>
  <si>
    <t>315</t>
  </si>
  <si>
    <t>812</t>
  </si>
  <si>
    <t>586</t>
  </si>
  <si>
    <t>421</t>
  </si>
  <si>
    <t>669</t>
  </si>
  <si>
    <t>920</t>
  </si>
  <si>
    <t>537</t>
  </si>
  <si>
    <t>879</t>
  </si>
  <si>
    <t>795</t>
  </si>
  <si>
    <t>418</t>
  </si>
  <si>
    <t>450</t>
  </si>
  <si>
    <t>967</t>
  </si>
  <si>
    <t>788</t>
  </si>
  <si>
    <t>871</t>
  </si>
  <si>
    <t>864</t>
  </si>
  <si>
    <t>680</t>
  </si>
  <si>
    <t>674</t>
  </si>
  <si>
    <t>114</t>
  </si>
  <si>
    <t>800</t>
  </si>
  <si>
    <t>544</t>
  </si>
  <si>
    <t>717</t>
  </si>
  <si>
    <t>245</t>
  </si>
  <si>
    <t>403</t>
  </si>
  <si>
    <t>676</t>
  </si>
  <si>
    <t>914</t>
  </si>
  <si>
    <t>11</t>
  </si>
  <si>
    <t>374</t>
  </si>
  <si>
    <t>866</t>
  </si>
  <si>
    <t>607</t>
  </si>
  <si>
    <t>213</t>
  </si>
  <si>
    <t>965</t>
  </si>
  <si>
    <t>9</t>
  </si>
  <si>
    <t>310</t>
  </si>
  <si>
    <t>785</t>
  </si>
  <si>
    <t>682</t>
  </si>
  <si>
    <t>440</t>
  </si>
  <si>
    <t>693</t>
  </si>
  <si>
    <t>424</t>
  </si>
  <si>
    <t>679</t>
  </si>
  <si>
    <t>90</t>
  </si>
  <si>
    <t>532</t>
  </si>
  <si>
    <t>772</t>
  </si>
  <si>
    <t>906</t>
  </si>
  <si>
    <t>861</t>
  </si>
  <si>
    <t>874</t>
  </si>
  <si>
    <t>960</t>
  </si>
  <si>
    <t>181</t>
  </si>
  <si>
    <t>542</t>
  </si>
  <si>
    <t>7</t>
  </si>
  <si>
    <t>319</t>
  </si>
  <si>
    <t>390</t>
  </si>
  <si>
    <t>132</t>
  </si>
  <si>
    <t>897</t>
  </si>
  <si>
    <t>526</t>
  </si>
  <si>
    <t>175</t>
  </si>
  <si>
    <t>72</t>
  </si>
  <si>
    <t>128</t>
  </si>
  <si>
    <t>900</t>
  </si>
  <si>
    <t>470</t>
  </si>
  <si>
    <t>263</t>
  </si>
  <si>
    <t>705</t>
  </si>
  <si>
    <t>964</t>
  </si>
  <si>
    <t>247</t>
  </si>
  <si>
    <t>516</t>
  </si>
  <si>
    <t>729</t>
  </si>
  <si>
    <t>437</t>
  </si>
  <si>
    <t>83</t>
  </si>
  <si>
    <t>18</t>
  </si>
  <si>
    <t>534</t>
  </si>
  <si>
    <t>643</t>
  </si>
  <si>
    <t>593</t>
  </si>
  <si>
    <t>192</t>
  </si>
  <si>
    <t>187</t>
  </si>
  <si>
    <t>822</t>
  </si>
  <si>
    <t>577</t>
  </si>
  <si>
    <t>178</t>
  </si>
  <si>
    <t>338</t>
  </si>
  <si>
    <t>39</t>
  </si>
  <si>
    <t>748</t>
  </si>
  <si>
    <t>500</t>
  </si>
  <si>
    <t>933</t>
  </si>
  <si>
    <t>36</t>
  </si>
  <si>
    <t>747</t>
  </si>
  <si>
    <t>337</t>
  </si>
  <si>
    <t>725</t>
  </si>
  <si>
    <t>216</t>
  </si>
  <si>
    <t>54</t>
  </si>
  <si>
    <t>411</t>
  </si>
  <si>
    <t>507</t>
  </si>
  <si>
    <t>290</t>
  </si>
  <si>
    <t>833</t>
  </si>
  <si>
    <t>461</t>
  </si>
  <si>
    <t>513</t>
  </si>
  <si>
    <t>839</t>
  </si>
  <si>
    <t>595</t>
  </si>
  <si>
    <t>753</t>
  </si>
  <si>
    <t>336</t>
  </si>
  <si>
    <t>53</t>
  </si>
  <si>
    <t>565</t>
  </si>
  <si>
    <t>100</t>
  </si>
  <si>
    <t>928</t>
  </si>
  <si>
    <t>30</t>
  </si>
  <si>
    <t>186</t>
  </si>
  <si>
    <t>829</t>
  </si>
  <si>
    <t>528</t>
  </si>
  <si>
    <t>102</t>
  </si>
  <si>
    <t>843</t>
  </si>
  <si>
    <t>173</t>
  </si>
  <si>
    <t>639</t>
  </si>
  <si>
    <t>238</t>
  </si>
  <si>
    <t>230</t>
  </si>
  <si>
    <t>727</t>
  </si>
  <si>
    <t>946</t>
  </si>
  <si>
    <t>352</t>
  </si>
  <si>
    <t>241</t>
  </si>
  <si>
    <t>640</t>
  </si>
  <si>
    <t>821</t>
  </si>
  <si>
    <t>834</t>
  </si>
  <si>
    <t>191</t>
  </si>
  <si>
    <t>27</t>
  </si>
  <si>
    <t>407</t>
  </si>
  <si>
    <t>759</t>
  </si>
  <si>
    <t>108</t>
  </si>
  <si>
    <t>174</t>
  </si>
  <si>
    <t>44</t>
  </si>
  <si>
    <t>237</t>
  </si>
  <si>
    <t>350</t>
  </si>
  <si>
    <t>678</t>
  </si>
  <si>
    <t>647</t>
  </si>
  <si>
    <t>152</t>
  </si>
  <si>
    <t>832</t>
  </si>
  <si>
    <t>656</t>
  </si>
  <si>
    <t>232</t>
  </si>
  <si>
    <t>947</t>
  </si>
  <si>
    <t>478</t>
  </si>
  <si>
    <t>923</t>
  </si>
  <si>
    <t>757</t>
  </si>
  <si>
    <t>584</t>
  </si>
  <si>
    <t>172</t>
  </si>
  <si>
    <t>Média de frequency</t>
  </si>
  <si>
    <t>Weak problems</t>
  </si>
  <si>
    <t># of weaknesses</t>
  </si>
  <si>
    <t># wk per prob</t>
  </si>
  <si>
    <t>1st Shot</t>
  </si>
  <si>
    <t>1st healing round</t>
  </si>
  <si>
    <t>2nd healing round</t>
  </si>
  <si>
    <t>3rd healing round</t>
  </si>
  <si>
    <t>RV</t>
  </si>
  <si>
    <t>Improve ratio</t>
  </si>
  <si>
    <t>4th healing round</t>
  </si>
  <si>
    <t>R1</t>
  </si>
  <si>
    <t>R2</t>
  </si>
  <si>
    <t>R3</t>
  </si>
  <si>
    <t>R4</t>
  </si>
  <si>
    <t>R5</t>
  </si>
  <si>
    <t>ZS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</si>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</sst>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6" fillId="3" borderId="0" xfId="0" applyFont="1" applyFill="1"/>
    <xf numFmtId="49" fontId="5" fillId="3" borderId="1" xfId="0" applyNumberFormat="1" applyFont="1" applyFill="1" applyBorder="1"/>
    <xf numFmtId="0" fontId="6" fillId="3" borderId="2" xfId="0" applyFont="1" applyFill="1" applyBorder="1"/>
    <xf numFmtId="49" fontId="5" fillId="0" borderId="1" xfId="0" applyNumberFormat="1" applyFont="1" applyBorder="1"/>
    <xf numFmtId="0" fontId="5" fillId="0" borderId="0" xfId="0" applyFont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3" borderId="1" xfId="0" applyFont="1" applyFill="1" applyBorder="1"/>
    <xf numFmtId="0" fontId="5" fillId="0" borderId="1" xfId="0" applyFont="1" applyBorder="1"/>
    <xf numFmtId="49" fontId="4" fillId="2" borderId="2" xfId="0" applyNumberFormat="1" applyFont="1" applyFill="1" applyBorder="1"/>
    <xf numFmtId="0" fontId="4" fillId="2" borderId="2" xfId="0" applyFont="1" applyFill="1" applyBorder="1"/>
    <xf numFmtId="49" fontId="5" fillId="3" borderId="3" xfId="0" applyNumberFormat="1" applyFont="1" applyFill="1" applyBorder="1"/>
    <xf numFmtId="0" fontId="5" fillId="3" borderId="3" xfId="0" applyFont="1" applyFill="1" applyBorder="1"/>
    <xf numFmtId="0" fontId="8" fillId="4" borderId="4" xfId="0" applyFont="1" applyFill="1" applyBorder="1"/>
    <xf numFmtId="9" fontId="0" fillId="0" borderId="0" xfId="1" applyFont="1"/>
    <xf numFmtId="49" fontId="0" fillId="0" borderId="0" xfId="0" applyNumberFormat="1"/>
    <xf numFmtId="9" fontId="5" fillId="0" borderId="0" xfId="0" applyNumberFormat="1" applyFont="1"/>
    <xf numFmtId="0" fontId="0" fillId="0" borderId="5" xfId="0" applyBorder="1"/>
    <xf numFmtId="0" fontId="5" fillId="0" borderId="5" xfId="0" applyFont="1" applyBorder="1"/>
    <xf numFmtId="9" fontId="0" fillId="0" borderId="5" xfId="0" applyNumberFormat="1" applyBorder="1" applyAlignment="1">
      <alignment horizontal="center"/>
    </xf>
    <xf numFmtId="9" fontId="0" fillId="0" borderId="5" xfId="1" applyFont="1" applyBorder="1"/>
    <xf numFmtId="2" fontId="5" fillId="0" borderId="5" xfId="0" applyNumberFormat="1" applyFont="1" applyBorder="1"/>
    <xf numFmtId="0" fontId="0" fillId="0" borderId="0" xfId="0" applyNumberFormat="1"/>
  </cellXfs>
  <cellStyles count="2">
    <cellStyle name="Normal" xfId="0" builtinId="0"/>
    <cellStyle name="Porcentagem" xfId="1" builtinId="5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30" formatCode="@"/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2-C647-9882-2058D6D9CBA2}"/>
            </c:ext>
          </c:extLst>
        </c:ser>
        <c:ser>
          <c:idx val="1"/>
          <c:order val="1"/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healed_r1!$I$22:$I$40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0-1F47-8AD9-5AA80E7437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3415257317203"/>
          <c:y val="4.2452831622102338E-2"/>
          <c:w val="0.85819422724837791"/>
          <c:h val="0.80275789470490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Planilha4!$B$21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Planilha4!$B$22:$B$29</c:f>
              <c:numCache>
                <c:formatCode>General</c:formatCode>
                <c:ptCount val="8"/>
                <c:pt idx="0">
                  <c:v>19</c:v>
                </c:pt>
                <c:pt idx="1">
                  <c:v>15</c:v>
                </c:pt>
                <c:pt idx="2">
                  <c:v>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BC-8540-B7D2-E3F6691DD78A}"/>
            </c:ext>
          </c:extLst>
        </c:ser>
        <c:ser>
          <c:idx val="1"/>
          <c:order val="1"/>
          <c:tx>
            <c:strRef>
              <c:f>Planilha4!$C$21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Planilha4!$C$22:$C$29</c:f>
              <c:numCache>
                <c:formatCode>General</c:formatCode>
                <c:ptCount val="8"/>
                <c:pt idx="2">
                  <c:v>12</c:v>
                </c:pt>
                <c:pt idx="3">
                  <c:v>3</c:v>
                </c:pt>
                <c:pt idx="6">
                  <c:v>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C-8540-B7D2-E3F6691DD78A}"/>
            </c:ext>
          </c:extLst>
        </c:ser>
        <c:ser>
          <c:idx val="2"/>
          <c:order val="2"/>
          <c:tx>
            <c:strRef>
              <c:f>Planilha4!$D$21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Planilha4!$D$22:$D$29</c:f>
              <c:numCache>
                <c:formatCode>General</c:formatCode>
                <c:ptCount val="8"/>
                <c:pt idx="1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C-8540-B7D2-E3F6691D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50013328"/>
        <c:axId val="1350015600"/>
      </c:barChart>
      <c:catAx>
        <c:axId val="13500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5600"/>
        <c:crosses val="autoZero"/>
        <c:auto val="1"/>
        <c:lblAlgn val="ctr"/>
        <c:lblOffset val="100"/>
        <c:noMultiLvlLbl val="0"/>
      </c:catAx>
      <c:valAx>
        <c:axId val="135001560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152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046907863761906"/>
          <c:y val="4.8584269594749353E-2"/>
          <c:w val="0.31064067629314468"/>
          <c:h val="6.512695888517709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[reports.xlsx]Planilha4!Tabela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Weaknesses found by CWE pillar and tool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Planilha4!$B$3:$B$4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Planilha4!$B$5:$B$10</c:f>
              <c:numCache>
                <c:formatCode>General</c:formatCode>
                <c:ptCount val="5"/>
                <c:pt idx="0">
                  <c:v>1</c:v>
                </c:pt>
                <c:pt idx="1">
                  <c:v>28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E-2247-9C0B-00DF562A7597}"/>
            </c:ext>
          </c:extLst>
        </c:ser>
        <c:ser>
          <c:idx val="1"/>
          <c:order val="1"/>
          <c:tx>
            <c:strRef>
              <c:f>Planilha4!$C$3:$C$4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Planilha4!$C$5:$C$10</c:f>
              <c:numCache>
                <c:formatCode>General</c:formatCode>
                <c:ptCount val="5"/>
                <c:pt idx="1">
                  <c:v>315</c:v>
                </c:pt>
                <c:pt idx="2">
                  <c:v>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E-2247-9C0B-00DF562A7597}"/>
            </c:ext>
          </c:extLst>
        </c:ser>
        <c:ser>
          <c:idx val="2"/>
          <c:order val="2"/>
          <c:tx>
            <c:strRef>
              <c:f>Planilha4!$D$3:$D$4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Planilha4!$D$5:$D$10</c:f>
              <c:numCache>
                <c:formatCode>General</c:formatCode>
                <c:ptCount val="5"/>
                <c:pt idx="1">
                  <c:v>84</c:v>
                </c:pt>
                <c:pt idx="2">
                  <c:v>1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E-2247-9C0B-00DF562A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69957344"/>
        <c:axId val="1070032720"/>
      </c:barChart>
      <c:catAx>
        <c:axId val="10699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032720"/>
        <c:crosses val="autoZero"/>
        <c:auto val="1"/>
        <c:lblAlgn val="ctr"/>
        <c:lblOffset val="100"/>
        <c:noMultiLvlLbl val="0"/>
      </c:catAx>
      <c:valAx>
        <c:axId val="10700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9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06502507829076E-2"/>
          <c:y val="5.1317240462229852E-2"/>
          <c:w val="0.80936733579835685"/>
          <c:h val="0.73374103050308526"/>
        </c:manualLayout>
      </c:layout>
      <c:lineChart>
        <c:grouping val="standard"/>
        <c:varyColors val="0"/>
        <c:ser>
          <c:idx val="0"/>
          <c:order val="0"/>
          <c:tx>
            <c:strRef>
              <c:f>'pca-variance'!$B$1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5A9-454A-8DCB-683AB686906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A9-454A-8DCB-683AB686906F}"/>
                </c:ext>
              </c:extLst>
            </c:dLbl>
            <c:numFmt formatCode="0.0%" sourceLinked="0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'pca-variance'!$B$2:$B$11</c:f>
              <c:numCache>
                <c:formatCode>General</c:formatCode>
                <c:ptCount val="10"/>
                <c:pt idx="0">
                  <c:v>0.51279200000000003</c:v>
                </c:pt>
                <c:pt idx="1">
                  <c:v>0.217949</c:v>
                </c:pt>
                <c:pt idx="2">
                  <c:v>0.117702</c:v>
                </c:pt>
                <c:pt idx="3">
                  <c:v>6.2992999999999993E-2</c:v>
                </c:pt>
                <c:pt idx="4">
                  <c:v>4.3713000000000002E-2</c:v>
                </c:pt>
                <c:pt idx="5">
                  <c:v>1.31255E-2</c:v>
                </c:pt>
                <c:pt idx="6">
                  <c:v>9.1114799999999999E-3</c:v>
                </c:pt>
                <c:pt idx="7">
                  <c:v>6.4557800000000004E-3</c:v>
                </c:pt>
                <c:pt idx="8">
                  <c:v>4.1837999999999997E-3</c:v>
                </c:pt>
                <c:pt idx="9">
                  <c:v>3.4492500000000001E-3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54A-8DCB-683AB686906F}"/>
            </c:ext>
          </c:extLst>
        </c:ser>
        <c:ser>
          <c:idx val="1"/>
          <c:order val="1"/>
          <c:tx>
            <c:strRef>
              <c:f>'pca-variance'!$C$1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%" sourceLinked="0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'pca-variance'!$C$2:$C$11</c:f>
              <c:numCache>
                <c:formatCode>General</c:formatCode>
                <c:ptCount val="10"/>
                <c:pt idx="0">
                  <c:v>0.51279200000000003</c:v>
                </c:pt>
                <c:pt idx="1">
                  <c:v>0.73074100000000008</c:v>
                </c:pt>
                <c:pt idx="2">
                  <c:v>0.84844300000000006</c:v>
                </c:pt>
                <c:pt idx="3">
                  <c:v>0.91143600000000002</c:v>
                </c:pt>
                <c:pt idx="4">
                  <c:v>0.95514900000000003</c:v>
                </c:pt>
                <c:pt idx="5">
                  <c:v>0.96827450000000004</c:v>
                </c:pt>
                <c:pt idx="6">
                  <c:v>0.97738597999999999</c:v>
                </c:pt>
                <c:pt idx="7">
                  <c:v>0.98384176000000001</c:v>
                </c:pt>
                <c:pt idx="8">
                  <c:v>0.98802555999999997</c:v>
                </c:pt>
                <c:pt idx="9">
                  <c:v>0.99147480999999993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9-454A-8DCB-683AB686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973312"/>
        <c:axId val="624849328"/>
      </c:lineChart>
      <c:catAx>
        <c:axId val="619973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849328"/>
        <c:crosses val="autoZero"/>
        <c:auto val="1"/>
        <c:lblAlgn val="ctr"/>
        <c:lblOffset val="100"/>
        <c:noMultiLvlLbl val="0"/>
      </c:catAx>
      <c:valAx>
        <c:axId val="624849328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tx1">
                  <a:alpha val="30428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973312"/>
        <c:crosses val="max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89676290463687"/>
          <c:y val="0.89409667541557325"/>
          <c:w val="0.40267699109265775"/>
          <c:h val="7.8725863081047454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1-0D47-AAA0-5A9CFA982397}"/>
            </c:ext>
          </c:extLst>
        </c:ser>
        <c:ser>
          <c:idx val="1"/>
          <c:order val="1"/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healed_r1!$I$22:$I$40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1-0D47-AAA0-5A9CFA9823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C-3B49-B423-9F24BD045851}"/>
            </c:ext>
          </c:extLst>
        </c:ser>
        <c:ser>
          <c:idx val="1"/>
          <c:order val="1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healed_r1!$I$22:$I$40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C-3B49-B423-9F24BD045851}"/>
            </c:ext>
          </c:extLst>
        </c:ser>
        <c:ser>
          <c:idx val="2"/>
          <c:order val="2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healed_r2!$I$8:$I$26</c:f>
              <c:numCache>
                <c:formatCode>General</c:formatCode>
                <c:ptCount val="19"/>
                <c:pt idx="0">
                  <c:v>49</c:v>
                </c:pt>
                <c:pt idx="1">
                  <c:v>43</c:v>
                </c:pt>
                <c:pt idx="2">
                  <c:v>16</c:v>
                </c:pt>
                <c:pt idx="3">
                  <c:v>17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C-3B49-B423-9F24BD045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14816</xdr:colOff>
      <xdr:row>19</xdr:row>
      <xdr:rowOff>7055</xdr:rowOff>
    </xdr:from>
    <xdr:to>
      <xdr:col>12</xdr:col>
      <xdr:colOff>1185333</xdr:colOff>
      <xdr:row>37</xdr:row>
      <xdr:rowOff>8466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954133-E158-CF4D-CE79-A194DD98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8466</xdr:colOff>
      <xdr:row>19</xdr:row>
      <xdr:rowOff>5644</xdr:rowOff>
    </xdr:from>
    <xdr:to>
      <xdr:col>31</xdr:col>
      <xdr:colOff>148167</xdr:colOff>
      <xdr:row>35</xdr:row>
      <xdr:rowOff>50799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5E5243-0303-EC37-77E0-AFF34688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7054</xdr:colOff>
      <xdr:row>1</xdr:row>
      <xdr:rowOff>187677</xdr:rowOff>
    </xdr:from>
    <xdr:to>
      <xdr:col>12</xdr:col>
      <xdr:colOff>1175454</xdr:colOff>
      <xdr:row>18</xdr:row>
      <xdr:rowOff>29633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FF4806-C87B-361F-579F-2FCC9B870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0.41037</cdr:x>
      <cdr:y>0.81218</cdr:y>
    </cdr:from>
    <cdr:to>
      <cdr:x>0.57513</cdr:x>
      <cdr:y>0.92453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E5094F7-5FB0-5C39-4B17-475FE317C2E2}"/>
            </a:ext>
          </a:extLst>
        </cdr:cNvPr>
        <cdr:cNvSpPr txBox="1"/>
      </cdr:nvSpPr>
      <cdr:spPr>
        <a:xfrm xmlns:a="http://schemas.openxmlformats.org/drawingml/2006/main">
          <a:off x="2277534" y="2672644"/>
          <a:ext cx="914400" cy="369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0.47292</cdr:x>
      <cdr:y>0.90724</cdr:y>
    </cdr:from>
    <cdr:to>
      <cdr:x>0.6087</cdr:x>
      <cdr:y>0.99386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44DC6DF4-0A20-E103-AA06-02F47FACE9DE}"/>
            </a:ext>
          </a:extLst>
        </cdr:cNvPr>
        <cdr:cNvSpPr txBox="1"/>
      </cdr:nvSpPr>
      <cdr:spPr>
        <a:xfrm xmlns:a="http://schemas.openxmlformats.org/drawingml/2006/main">
          <a:off x="2624668" y="2990597"/>
          <a:ext cx="753533" cy="28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problem #</a:t>
          </a:r>
        </a:p>
      </cdr:txBody>
    </cdr:sp>
  </cdr:relSizeAnchor>
  <cdr:relSizeAnchor xmlns:cdr="http://schemas.openxmlformats.org/drawingml/2006/chartDrawing">
    <cdr:from>
      <cdr:x>0.02441</cdr:x>
      <cdr:y>0.30394</cdr:y>
    </cdr:from>
    <cdr:to>
      <cdr:x>0.07018</cdr:x>
      <cdr:y>0.63784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F006686F-53CD-972B-5891-1D41912446ED}"/>
            </a:ext>
          </a:extLst>
        </cdr:cNvPr>
        <cdr:cNvSpPr txBox="1"/>
      </cdr:nvSpPr>
      <cdr:spPr>
        <a:xfrm xmlns:a="http://schemas.openxmlformats.org/drawingml/2006/main" rot="16200000">
          <a:off x="-287866" y="1425223"/>
          <a:ext cx="1100666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of weankesses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211418</xdr:colOff>
      <xdr:row>1</xdr:row>
      <xdr:rowOff>0</xdr:rowOff>
    </xdr:from>
    <xdr:to>
      <xdr:col>8</xdr:col>
      <xdr:colOff>659654</xdr:colOff>
      <xdr:row>14</xdr:row>
      <xdr:rowOff>100106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652C58-F2A3-25EF-82C4-407653CD2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0.23611</cdr:x>
      <cdr:y>0.88194</cdr:y>
    </cdr:from>
    <cdr:to>
      <cdr:x>0.575</cdr:x>
      <cdr:y>0.96065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7DBD49F-39F7-8DAB-C3ED-63831F8043C3}"/>
            </a:ext>
          </a:extLst>
        </cdr:cNvPr>
        <cdr:cNvSpPr txBox="1"/>
      </cdr:nvSpPr>
      <cdr:spPr>
        <a:xfrm xmlns:a="http://schemas.openxmlformats.org/drawingml/2006/main">
          <a:off x="1079500" y="2419350"/>
          <a:ext cx="1549400" cy="21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# components</a:t>
          </a:r>
        </a:p>
      </cdr:txBody>
    </cdr:sp>
  </cdr:relSizeAnchor>
  <cdr:relSizeAnchor xmlns:cdr="http://schemas.openxmlformats.org/drawingml/2006/chartDrawing">
    <cdr:from>
      <cdr:x>0.91984</cdr:x>
      <cdr:y>0.1969</cdr:y>
    </cdr:from>
    <cdr:to>
      <cdr:x>0.98049</cdr:x>
      <cdr:y>0.65519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2C9D4F9-8BFC-802F-2670-BE7559CE0E1A}"/>
            </a:ext>
          </a:extLst>
        </cdr:cNvPr>
        <cdr:cNvSpPr txBox="1"/>
      </cdr:nvSpPr>
      <cdr:spPr>
        <a:xfrm xmlns:a="http://schemas.openxmlformats.org/drawingml/2006/main" rot="5400000">
          <a:off x="3741642" y="1020483"/>
          <a:ext cx="1247591" cy="278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Explained Variance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20</xdr:row>
      <xdr:rowOff>12700</xdr:rowOff>
    </xdr:from>
    <xdr:to>
      <xdr:col>17</xdr:col>
      <xdr:colOff>78317</xdr:colOff>
      <xdr:row>38</xdr:row>
      <xdr:rowOff>14111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560BA9-F695-4441-9BE8-7DBF9441F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241300</xdr:colOff>
      <xdr:row>7</xdr:row>
      <xdr:rowOff>63500</xdr:rowOff>
    </xdr:from>
    <xdr:to>
      <xdr:col>17</xdr:col>
      <xdr:colOff>774700</xdr:colOff>
      <xdr:row>25</xdr:row>
      <xdr:rowOff>64911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3AD60-4731-A741-9BEB-72BCAAF50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194.506273032406" createdVersion="8" refreshedVersion="8" minRefreshableVersion="3" recordCount="454" xr:uid="{832B7BFB-C5AC-1A4E-9FDF-9036F4850E78}">
  <cacheSource type="worksheet">
    <worksheetSource ref="A1:D1048576" sheet="weaknesses_pillar.csv"/>
  </cacheSource>
  <cacheFields count="4">
    <cacheField name="problem" numFmtId="0">
      <sharedItems containsString="0" containsBlank="1" containsNumber="1" containsInteger="1" minValue="5" maxValue="973" count="236">
        <n v="158"/>
        <n v="973"/>
        <n v="900"/>
        <n v="674"/>
        <n v="972"/>
        <n v="377"/>
        <n v="523"/>
        <n v="902"/>
        <n v="585"/>
        <n v="892"/>
        <n v="750"/>
        <n v="638"/>
        <n v="619"/>
        <n v="661"/>
        <n v="691"/>
        <n v="794"/>
        <n v="395"/>
        <n v="715"/>
        <n v="301"/>
        <n v="961"/>
        <n v="202"/>
        <n v="217"/>
        <n v="568"/>
        <n v="843"/>
        <n v="877"/>
        <n v="862"/>
        <n v="255"/>
        <n v="771"/>
        <n v="31"/>
        <n v="667"/>
        <n v="806"/>
        <n v="427"/>
        <n v="944"/>
        <n v="688"/>
        <n v="125"/>
        <n v="387"/>
        <n v="792"/>
        <n v="456"/>
        <n v="653"/>
        <n v="735"/>
        <n v="208"/>
        <n v="708"/>
        <n v="131"/>
        <n v="480"/>
        <n v="903"/>
        <n v="463"/>
        <n v="226"/>
        <n v="386"/>
        <n v="689"/>
        <n v="497"/>
        <n v="699"/>
        <n v="758"/>
        <n v="620"/>
        <n v="315"/>
        <n v="748"/>
        <n v="812"/>
        <n v="361"/>
        <n v="927"/>
        <n v="783"/>
        <n v="538"/>
        <n v="869"/>
        <n v="586"/>
        <n v="421"/>
        <n v="669"/>
        <n v="920"/>
        <n v="149"/>
        <n v="879"/>
        <n v="795"/>
        <n v="418"/>
        <n v="450"/>
        <n v="368"/>
        <n v="967"/>
        <n v="584"/>
        <n v="788"/>
        <n v="871"/>
        <n v="864"/>
        <n v="262"/>
        <n v="64"/>
        <n v="437"/>
        <n v="800"/>
        <n v="104"/>
        <n v="938"/>
        <n v="544"/>
        <n v="245"/>
        <n v="32"/>
        <n v="50"/>
        <n v="189"/>
        <n v="526"/>
        <n v="11"/>
        <n v="374"/>
        <n v="866"/>
        <n v="607"/>
        <n v="5"/>
        <n v="965"/>
        <n v="9"/>
        <n v="310"/>
        <n v="785"/>
        <n v="545"/>
        <n v="440"/>
        <n v="693"/>
        <n v="424"/>
        <n v="679"/>
        <n v="90"/>
        <n v="676"/>
        <n v="532"/>
        <n v="500"/>
        <n v="772"/>
        <n v="906"/>
        <n v="753"/>
        <n v="731"/>
        <n v="174"/>
        <n v="861"/>
        <n v="874"/>
        <n v="773"/>
        <n v="156"/>
        <n v="117"/>
        <n v="132"/>
        <n v="897"/>
        <n v="845"/>
        <n v="587"/>
        <n v="165"/>
        <n v="72"/>
        <n v="128"/>
        <n v="143"/>
        <n v="275"/>
        <n v="263"/>
        <n v="705"/>
        <n v="964"/>
        <n v="207"/>
        <n v="516"/>
        <n v="729"/>
        <n v="83"/>
        <n v="18"/>
        <n v="534"/>
        <n v="956"/>
        <n v="643"/>
        <n v="242"/>
        <n v="593"/>
        <n v="192"/>
        <n v="187"/>
        <n v="367"/>
        <n v="178"/>
        <n v="491"/>
        <n v="338"/>
        <n v="39"/>
        <n v="403"/>
        <n v="933"/>
        <n v="36"/>
        <n v="102"/>
        <n v="747"/>
        <n v="822"/>
        <n v="832"/>
        <n v="337"/>
        <n v="840"/>
        <n v="288"/>
        <n v="725"/>
        <n v="194"/>
        <n v="610"/>
        <n v="54"/>
        <n v="411"/>
        <n v="290"/>
        <n v="833"/>
        <n v="558"/>
        <n v="73"/>
        <n v="461"/>
        <n v="161"/>
        <n v="513"/>
        <n v="839"/>
        <n v="779"/>
        <n v="601"/>
        <n v="769"/>
        <n v="595"/>
        <n v="340"/>
        <n v="336"/>
        <n v="655"/>
        <n v="565"/>
        <n v="570"/>
        <n v="749"/>
        <n v="100"/>
        <n v="893"/>
        <n v="928"/>
        <n v="30"/>
        <n v="186"/>
        <n v="359"/>
        <n v="470"/>
        <n v="618"/>
        <n v="815"/>
        <n v="528"/>
        <n v="173"/>
        <n v="829"/>
        <n v="639"/>
        <n v="238"/>
        <n v="230"/>
        <n v="624"/>
        <n v="727"/>
        <n v="946"/>
        <n v="342"/>
        <n v="241"/>
        <n v="640"/>
        <n v="821"/>
        <n v="191"/>
        <n v="407"/>
        <n v="940"/>
        <n v="759"/>
        <n v="118"/>
        <n v="130"/>
        <n v="598"/>
        <n v="251"/>
        <n v="44"/>
        <n v="127"/>
        <n v="188"/>
        <n v="390"/>
        <n v="237"/>
        <n v="350"/>
        <n v="647"/>
        <n v="542"/>
        <n v="152"/>
        <n v="247"/>
        <n v="923"/>
        <n v="589"/>
        <n v="391"/>
        <n v="240"/>
        <n v="144"/>
        <n v="467"/>
        <n v="947"/>
        <n v="580"/>
        <n v="539"/>
        <n v="451"/>
        <n v="478"/>
        <n v="757"/>
        <n v="718"/>
        <n v="282"/>
        <n v="465"/>
        <n v="172"/>
        <n v="612"/>
        <m/>
      </sharedItems>
    </cacheField>
    <cacheField name="cwe" numFmtId="0">
      <sharedItems containsString="0" containsBlank="1" containsNumber="1" containsInteger="1" minValue="284" maxValue="710" count="6">
        <n v="710"/>
        <n v="664"/>
        <n v="707"/>
        <n v="682"/>
        <n v="284"/>
        <m/>
      </sharedItems>
    </cacheField>
    <cacheField name="tool" numFmtId="0">
      <sharedItems containsBlank="1" count="4">
        <s v="gcc"/>
        <s v="flawfinder"/>
        <s v="cppcheck"/>
        <m/>
      </sharedItems>
    </cacheField>
    <cacheField name="frequency" numFmtId="0">
      <sharedItems containsString="0" containsBlank="1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299.438202430552" createdVersion="8" refreshedVersion="8" minRefreshableVersion="3" recordCount="253" xr:uid="{4621DCBA-5CAB-074D-821F-FA4AC6D0CB32}">
  <cacheSource type="worksheet">
    <worksheetSource name="Tabela1"/>
  </cacheSource>
  <cacheFields count="4">
    <cacheField name="problem" numFmtId="49">
      <sharedItems count="171">
        <s v="973"/>
        <s v="81"/>
        <s v="377"/>
        <s v="523"/>
        <s v="892"/>
        <s v="451"/>
        <s v="661"/>
        <s v="794"/>
        <s v="395"/>
        <s v="715"/>
        <s v="538"/>
        <s v="301"/>
        <s v="961"/>
        <s v="217"/>
        <s v="877"/>
        <s v="862"/>
        <s v="771"/>
        <s v="31"/>
        <s v="667"/>
        <s v="427"/>
        <s v="125"/>
        <s v="387"/>
        <s v="456"/>
        <s v="969"/>
        <s v="653"/>
        <s v="79"/>
        <s v="708"/>
        <s v="131"/>
        <s v="285"/>
        <s v="226"/>
        <s v="386"/>
        <s v="699"/>
        <s v="620"/>
        <s v="315"/>
        <s v="812"/>
        <s v="586"/>
        <s v="421"/>
        <s v="669"/>
        <s v="920"/>
        <s v="537"/>
        <s v="879"/>
        <s v="795"/>
        <s v="418"/>
        <s v="450"/>
        <s v="967"/>
        <s v="788"/>
        <s v="871"/>
        <s v="864"/>
        <s v="680"/>
        <s v="674"/>
        <s v="114"/>
        <s v="800"/>
        <s v="544"/>
        <s v="717"/>
        <s v="245"/>
        <s v="403"/>
        <s v="676"/>
        <s v="914"/>
        <s v="11"/>
        <s v="374"/>
        <s v="866"/>
        <s v="607"/>
        <s v="213"/>
        <s v="965"/>
        <s v="9"/>
        <s v="310"/>
        <s v="785"/>
        <s v="440"/>
        <s v="693"/>
        <s v="424"/>
        <s v="679"/>
        <s v="90"/>
        <s v="532"/>
        <s v="772"/>
        <s v="906"/>
        <s v="861"/>
        <s v="874"/>
        <s v="960"/>
        <s v="181"/>
        <s v="542"/>
        <s v="7"/>
        <s v="319"/>
        <s v="390"/>
        <s v="132"/>
        <s v="897"/>
        <s v="526"/>
        <s v="175"/>
        <s v="72"/>
        <s v="128"/>
        <s v="900"/>
        <s v="470"/>
        <s v="263"/>
        <s v="705"/>
        <s v="964"/>
        <s v="247"/>
        <s v="516"/>
        <s v="729"/>
        <s v="437"/>
        <s v="83"/>
        <s v="18"/>
        <s v="534"/>
        <s v="643"/>
        <s v="593"/>
        <s v="192"/>
        <s v="187"/>
        <s v="822"/>
        <s v="577"/>
        <s v="178"/>
        <s v="338"/>
        <s v="39"/>
        <s v="748"/>
        <s v="500"/>
        <s v="933"/>
        <s v="36"/>
        <s v="747"/>
        <s v="337"/>
        <s v="725"/>
        <s v="216"/>
        <s v="54"/>
        <s v="411"/>
        <s v="507"/>
        <s v="290"/>
        <s v="833"/>
        <s v="461"/>
        <s v="513"/>
        <s v="839"/>
        <s v="595"/>
        <s v="753"/>
        <s v="336"/>
        <s v="53"/>
        <s v="565"/>
        <s v="100"/>
        <s v="928"/>
        <s v="30"/>
        <s v="186"/>
        <s v="829"/>
        <s v="528"/>
        <s v="102"/>
        <s v="843"/>
        <s v="173"/>
        <s v="639"/>
        <s v="238"/>
        <s v="230"/>
        <s v="727"/>
        <s v="946"/>
        <s v="352"/>
        <s v="241"/>
        <s v="640"/>
        <s v="821"/>
        <s v="834"/>
        <s v="191"/>
        <s v="27"/>
        <s v="407"/>
        <s v="759"/>
        <s v="108"/>
        <s v="174"/>
        <s v="44"/>
        <s v="237"/>
        <s v="350"/>
        <s v="678"/>
        <s v="647"/>
        <s v="152"/>
        <s v="832"/>
        <s v="656"/>
        <s v="232"/>
        <s v="947"/>
        <s v="478"/>
        <s v="923"/>
        <s v="757"/>
        <s v="584"/>
        <s v="172"/>
      </sharedItems>
    </cacheField>
    <cacheField name="cwe" numFmtId="49">
      <sharedItems count="3">
        <s v="664"/>
        <s v="710"/>
        <s v="682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632271180555" createdVersion="8" refreshedVersion="8" minRefreshableVersion="3" recordCount="192" xr:uid="{431B9A37-045C-6744-B9DF-4BA6461B11D7}">
  <cacheSource type="worksheet">
    <worksheetSource name="Tabela2"/>
  </cacheSource>
  <cacheFields count="4">
    <cacheField name="problem" numFmtId="49">
      <sharedItems count="137">
        <s v="973"/>
        <s v="377"/>
        <s v="523"/>
        <s v="892"/>
        <s v="451"/>
        <s v="794"/>
        <s v="395"/>
        <s v="715"/>
        <s v="301"/>
        <s v="961"/>
        <s v="877"/>
        <s v="862"/>
        <s v="771"/>
        <s v="667"/>
        <s v="871"/>
        <s v="427"/>
        <s v="125"/>
        <s v="387"/>
        <s v="456"/>
        <s v="79"/>
        <s v="708"/>
        <s v="131"/>
        <s v="285"/>
        <s v="226"/>
        <s v="386"/>
        <s v="699"/>
        <s v="620"/>
        <s v="315"/>
        <s v="812"/>
        <s v="538"/>
        <s v="586"/>
        <s v="421"/>
        <s v="669"/>
        <s v="537"/>
        <s v="879"/>
        <s v="795"/>
        <s v="418"/>
        <s v="450"/>
        <s v="967"/>
        <s v="788"/>
        <s v="864"/>
        <s v="674"/>
        <s v="800"/>
        <s v="544"/>
        <s v="245"/>
        <s v="676"/>
        <s v="914"/>
        <s v="11"/>
        <s v="374"/>
        <s v="866"/>
        <s v="213"/>
        <s v="965"/>
        <s v="9"/>
        <s v="310"/>
        <s v="785"/>
        <s v="440"/>
        <s v="693"/>
        <s v="424"/>
        <s v="679"/>
        <s v="90"/>
        <s v="500"/>
        <s v="772"/>
        <s v="906"/>
        <s v="861"/>
        <s v="874"/>
        <s v="542"/>
        <s v="7"/>
        <s v="390"/>
        <s v="132"/>
        <s v="897"/>
        <s v="526"/>
        <s v="263"/>
        <s v="705"/>
        <s v="964"/>
        <s v="247"/>
        <s v="516"/>
        <s v="319"/>
        <s v="437"/>
        <s v="83"/>
        <s v="18"/>
        <s v="534"/>
        <s v="643"/>
        <s v="593"/>
        <s v="192"/>
        <s v="187"/>
        <s v="532"/>
        <s v="178"/>
        <s v="338"/>
        <s v="39"/>
        <s v="748"/>
        <s v="54"/>
        <s v="403"/>
        <s v="933"/>
        <s v="36"/>
        <s v="72"/>
        <s v="747"/>
        <s v="337"/>
        <s v="411"/>
        <s v="461"/>
        <s v="513"/>
        <s v="839"/>
        <s v="595"/>
        <s v="753"/>
        <s v="336"/>
        <s v="53"/>
        <s v="565"/>
        <s v="100"/>
        <s v="928"/>
        <s v="30"/>
        <s v="725"/>
        <s v="102"/>
        <s v="829"/>
        <s v="173"/>
        <s v="238"/>
        <s v="230"/>
        <s v="727"/>
        <s v="946"/>
        <s v="241"/>
        <s v="640"/>
        <s v="821"/>
        <s v="834"/>
        <s v="191"/>
        <s v="27"/>
        <s v="407"/>
        <s v="759"/>
        <s v="174"/>
        <s v="237"/>
        <s v="152"/>
        <s v="653"/>
        <s v="832"/>
        <s v="656"/>
        <s v="175"/>
        <s v="947"/>
        <s v="478"/>
        <s v="923"/>
        <s v="757"/>
        <s v="584"/>
      </sharedItems>
    </cacheField>
    <cacheField name="cwe" numFmtId="49">
      <sharedItems count="2">
        <s v="664"/>
        <s v="710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762811921297" createdVersion="8" refreshedVersion="8" minRefreshableVersion="3" recordCount="172" xr:uid="{9C89D574-4E79-CB42-9BDA-7D3D21481D9F}">
  <cacheSource type="worksheet">
    <worksheetSource name="Tabela3"/>
  </cacheSource>
  <cacheFields count="4">
    <cacheField name="problem" numFmtId="49">
      <sharedItems count="121">
        <s v="973"/>
        <s v="377"/>
        <s v="523"/>
        <s v="892"/>
        <s v="451"/>
        <s v="794"/>
        <s v="395"/>
        <s v="715"/>
        <s v="301"/>
        <s v="961"/>
        <s v="862"/>
        <s v="771"/>
        <s v="667"/>
        <s v="427"/>
        <s v="125"/>
        <s v="387"/>
        <s v="456"/>
        <s v="708"/>
        <s v="131"/>
        <s v="285"/>
        <s v="226"/>
        <s v="386"/>
        <s v="699"/>
        <s v="315"/>
        <s v="812"/>
        <s v="538"/>
        <s v="586"/>
        <s v="421"/>
        <s v="669"/>
        <s v="537"/>
        <s v="674"/>
        <s v="879"/>
        <s v="795"/>
        <s v="418"/>
        <s v="450"/>
        <s v="967"/>
        <s v="788"/>
        <s v="871"/>
        <s v="800"/>
        <s v="544"/>
        <s v="245"/>
        <s v="676"/>
        <s v="11"/>
        <s v="374"/>
        <s v="866"/>
        <s v="213"/>
        <s v="965"/>
        <s v="9"/>
        <s v="310"/>
        <s v="785"/>
        <s v="440"/>
        <s v="693"/>
        <s v="424"/>
        <s v="679"/>
        <s v="532"/>
        <s v="772"/>
        <s v="906"/>
        <s v="861"/>
        <s v="83"/>
        <s v="542"/>
        <s v="7"/>
        <s v="390"/>
        <s v="132"/>
        <s v="897"/>
        <s v="526"/>
        <s v="263"/>
        <s v="705"/>
        <s v="247"/>
        <s v="516"/>
        <s v="319"/>
        <s v="437"/>
        <s v="18"/>
        <s v="534"/>
        <s v="946"/>
        <s v="643"/>
        <s v="593"/>
        <s v="192"/>
        <s v="187"/>
        <s v="39"/>
        <s v="748"/>
        <s v="500"/>
        <s v="403"/>
        <s v="933"/>
        <s v="36"/>
        <s v="747"/>
        <s v="337"/>
        <s v="411"/>
        <s v="833"/>
        <s v="461"/>
        <s v="513"/>
        <s v="839"/>
        <s v="595"/>
        <s v="753"/>
        <s v="336"/>
        <s v="565"/>
        <s v="100"/>
        <s v="928"/>
        <s v="30"/>
        <s v="725"/>
        <s v="102"/>
        <s v="829"/>
        <s v="173"/>
        <s v="238"/>
        <s v="230"/>
        <s v="727"/>
        <s v="241"/>
        <s v="640"/>
        <s v="821"/>
        <s v="834"/>
        <s v="191"/>
        <s v="27"/>
        <s v="407"/>
        <s v="759"/>
        <s v="174"/>
        <s v="237"/>
        <s v="152"/>
        <s v="653"/>
        <s v="947"/>
        <s v="478"/>
        <s v="757"/>
        <s v="584"/>
      </sharedItems>
    </cacheField>
    <cacheField name="cwe" numFmtId="49">
      <sharedItems count="2">
        <s v="664"/>
        <s v="710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854923148145" createdVersion="8" refreshedVersion="8" minRefreshableVersion="3" recordCount="168" xr:uid="{C7C70E7D-E9F0-4545-85D8-F20EA0B6D8EF}">
  <cacheSource type="worksheet">
    <worksheetSource name="Tabela4"/>
  </cacheSource>
  <cacheFields count="4">
    <cacheField name="problem" numFmtId="0">
      <sharedItems containsSemiMixedTypes="0" containsString="0" containsNumber="1" containsInteger="1" minValue="7" maxValue="973" count="112">
        <n v="973"/>
        <n v="377"/>
        <n v="523"/>
        <n v="892"/>
        <n v="451"/>
        <n v="794"/>
        <n v="395"/>
        <n v="715"/>
        <n v="301"/>
        <n v="862"/>
        <n v="771"/>
        <n v="667"/>
        <n v="427"/>
        <n v="125"/>
        <n v="387"/>
        <n v="456"/>
        <n v="79"/>
        <n v="131"/>
        <n v="705"/>
        <n v="386"/>
        <n v="699"/>
        <n v="812"/>
        <n v="538"/>
        <n v="421"/>
        <n v="537"/>
        <n v="674"/>
        <n v="879"/>
        <n v="795"/>
        <n v="967"/>
        <n v="788"/>
        <n v="871"/>
        <n v="800"/>
        <n v="544"/>
        <n v="245"/>
        <n v="676"/>
        <n v="11"/>
        <n v="374"/>
        <n v="866"/>
        <n v="213"/>
        <n v="965"/>
        <n v="9"/>
        <n v="310"/>
        <n v="785"/>
        <n v="440"/>
        <n v="693"/>
        <n v="424"/>
        <n v="679"/>
        <n v="500"/>
        <n v="772"/>
        <n v="906"/>
        <n v="861"/>
        <n v="586"/>
        <n v="542"/>
        <n v="7"/>
        <n v="390"/>
        <n v="132"/>
        <n v="897"/>
        <n v="526"/>
        <n v="263"/>
        <n v="516"/>
        <n v="437"/>
        <n v="83"/>
        <n v="18"/>
        <n v="534"/>
        <n v="946"/>
        <n v="643"/>
        <n v="593"/>
        <n v="192"/>
        <n v="187"/>
        <n v="532"/>
        <n v="226"/>
        <n v="39"/>
        <n v="748"/>
        <n v="403"/>
        <n v="933"/>
        <n v="36"/>
        <n v="747"/>
        <n v="337"/>
        <n v="411"/>
        <n v="833"/>
        <n v="461"/>
        <n v="513"/>
        <n v="839"/>
        <n v="595"/>
        <n v="753"/>
        <n v="336"/>
        <n v="565"/>
        <n v="100"/>
        <n v="928"/>
        <n v="30"/>
        <n v="725"/>
        <n v="829"/>
        <n v="173"/>
        <n v="238"/>
        <n v="230"/>
        <n v="727"/>
        <n v="241"/>
        <n v="640"/>
        <n v="821"/>
        <n v="834"/>
        <n v="191"/>
        <n v="27"/>
        <n v="407"/>
        <n v="174"/>
        <n v="237"/>
        <n v="152"/>
        <n v="247"/>
        <n v="653"/>
        <n v="947"/>
        <n v="478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566189814817" createdVersion="8" refreshedVersion="8" minRefreshableVersion="3" recordCount="136" xr:uid="{BCC0E132-4378-FE43-8EE8-EDB293C0F7C4}">
  <cacheSource type="worksheet">
    <worksheetSource name="Tabela5"/>
  </cacheSource>
  <cacheFields count="4">
    <cacheField name="problem" numFmtId="0">
      <sharedItems containsSemiMixedTypes="0" containsString="0" containsNumber="1" containsInteger="1" minValue="7" maxValue="973" count="97">
        <n v="973"/>
        <n v="377"/>
        <n v="523"/>
        <n v="892"/>
        <n v="451"/>
        <n v="794"/>
        <n v="395"/>
        <n v="715"/>
        <n v="301"/>
        <n v="771"/>
        <n v="667"/>
        <n v="427"/>
        <n v="125"/>
        <n v="387"/>
        <n v="456"/>
        <n v="79"/>
        <n v="131"/>
        <n v="386"/>
        <n v="812"/>
        <n v="421"/>
        <n v="537"/>
        <n v="795"/>
        <n v="967"/>
        <n v="788"/>
        <n v="871"/>
        <n v="674"/>
        <n v="800"/>
        <n v="544"/>
        <n v="245"/>
        <n v="676"/>
        <n v="11"/>
        <n v="374"/>
        <n v="866"/>
        <n v="213"/>
        <n v="965"/>
        <n v="9"/>
        <n v="310"/>
        <n v="785"/>
        <n v="440"/>
        <n v="693"/>
        <n v="424"/>
        <n v="679"/>
        <n v="772"/>
        <n v="906"/>
        <n v="542"/>
        <n v="7"/>
        <n v="390"/>
        <n v="132"/>
        <n v="897"/>
        <n v="526"/>
        <n v="263"/>
        <n v="705"/>
        <n v="516"/>
        <n v="437"/>
        <n v="83"/>
        <n v="18"/>
        <n v="946"/>
        <n v="643"/>
        <n v="593"/>
        <n v="192"/>
        <n v="532"/>
        <n v="226"/>
        <n v="39"/>
        <n v="748"/>
        <n v="500"/>
        <n v="933"/>
        <n v="36"/>
        <n v="337"/>
        <n v="411"/>
        <n v="833"/>
        <n v="461"/>
        <n v="513"/>
        <n v="839"/>
        <n v="595"/>
        <n v="753"/>
        <n v="336"/>
        <n v="565"/>
        <n v="100"/>
        <n v="928"/>
        <n v="725"/>
        <n v="829"/>
        <n v="173"/>
        <n v="238"/>
        <n v="230"/>
        <n v="241"/>
        <n v="640"/>
        <n v="821"/>
        <n v="834"/>
        <n v="191"/>
        <n v="27"/>
        <n v="407"/>
        <n v="237"/>
        <n v="247"/>
        <n v="947"/>
        <n v="478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cppcheck"/>
        <s v="gcc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730780787038" createdVersion="8" refreshedVersion="8" minRefreshableVersion="3" recordCount="112" xr:uid="{E9FAD6FC-A46C-0642-9BE7-CF6B156F5269}">
  <cacheSource type="worksheet">
    <worksheetSource name="Tabela6"/>
  </cacheSource>
  <cacheFields count="4">
    <cacheField name="problem" numFmtId="0">
      <sharedItems containsSemiMixedTypes="0" containsString="0" containsNumber="1" containsInteger="1" minValue="7" maxValue="973" count="79">
        <n v="973"/>
        <n v="377"/>
        <n v="523"/>
        <n v="892"/>
        <n v="794"/>
        <n v="395"/>
        <n v="715"/>
        <n v="301"/>
        <n v="771"/>
        <n v="667"/>
        <n v="427"/>
        <n v="125"/>
        <n v="387"/>
        <n v="456"/>
        <n v="79"/>
        <n v="131"/>
        <n v="386"/>
        <n v="812"/>
        <n v="421"/>
        <n v="537"/>
        <n v="967"/>
        <n v="788"/>
        <n v="871"/>
        <n v="674"/>
        <n v="800"/>
        <n v="544"/>
        <n v="245"/>
        <n v="676"/>
        <n v="11"/>
        <n v="374"/>
        <n v="866"/>
        <n v="965"/>
        <n v="9"/>
        <n v="310"/>
        <n v="440"/>
        <n v="424"/>
        <n v="679"/>
        <n v="500"/>
        <n v="906"/>
        <n v="542"/>
        <n v="7"/>
        <n v="390"/>
        <n v="132"/>
        <n v="897"/>
        <n v="526"/>
        <n v="705"/>
        <n v="516"/>
        <n v="437"/>
        <n v="83"/>
        <n v="18"/>
        <n v="643"/>
        <n v="593"/>
        <n v="192"/>
        <n v="532"/>
        <n v="226"/>
        <n v="230"/>
        <n v="39"/>
        <n v="748"/>
        <n v="933"/>
        <n v="36"/>
        <n v="461"/>
        <n v="513"/>
        <n v="753"/>
        <n v="336"/>
        <n v="565"/>
        <n v="100"/>
        <n v="928"/>
        <n v="725"/>
        <n v="173"/>
        <n v="238"/>
        <n v="241"/>
        <n v="821"/>
        <n v="834"/>
        <n v="27"/>
        <n v="407"/>
        <n v="247"/>
        <n v="947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cppcheck"/>
        <s v="gcc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x v="0"/>
    <x v="0"/>
    <n v="2"/>
  </r>
  <r>
    <x v="1"/>
    <x v="1"/>
    <x v="1"/>
    <n v="1"/>
  </r>
  <r>
    <x v="2"/>
    <x v="0"/>
    <x v="0"/>
    <n v="1"/>
  </r>
  <r>
    <x v="3"/>
    <x v="1"/>
    <x v="2"/>
    <n v="1"/>
  </r>
  <r>
    <x v="4"/>
    <x v="0"/>
    <x v="0"/>
    <n v="3"/>
  </r>
  <r>
    <x v="5"/>
    <x v="2"/>
    <x v="1"/>
    <n v="1"/>
  </r>
  <r>
    <x v="5"/>
    <x v="1"/>
    <x v="1"/>
    <n v="2"/>
  </r>
  <r>
    <x v="5"/>
    <x v="1"/>
    <x v="1"/>
    <n v="1"/>
  </r>
  <r>
    <x v="6"/>
    <x v="1"/>
    <x v="1"/>
    <n v="1"/>
  </r>
  <r>
    <x v="7"/>
    <x v="1"/>
    <x v="2"/>
    <n v="1"/>
  </r>
  <r>
    <x v="8"/>
    <x v="1"/>
    <x v="0"/>
    <n v="3"/>
  </r>
  <r>
    <x v="8"/>
    <x v="0"/>
    <x v="0"/>
    <n v="1"/>
  </r>
  <r>
    <x v="9"/>
    <x v="1"/>
    <x v="1"/>
    <n v="1"/>
  </r>
  <r>
    <x v="9"/>
    <x v="1"/>
    <x v="1"/>
    <n v="1"/>
  </r>
  <r>
    <x v="10"/>
    <x v="0"/>
    <x v="0"/>
    <n v="2"/>
  </r>
  <r>
    <x v="10"/>
    <x v="0"/>
    <x v="0"/>
    <n v="1"/>
  </r>
  <r>
    <x v="11"/>
    <x v="0"/>
    <x v="0"/>
    <n v="2"/>
  </r>
  <r>
    <x v="12"/>
    <x v="1"/>
    <x v="1"/>
    <n v="1"/>
  </r>
  <r>
    <x v="12"/>
    <x v="1"/>
    <x v="1"/>
    <n v="1"/>
  </r>
  <r>
    <x v="13"/>
    <x v="1"/>
    <x v="2"/>
    <n v="1"/>
  </r>
  <r>
    <x v="14"/>
    <x v="0"/>
    <x v="0"/>
    <n v="3"/>
  </r>
  <r>
    <x v="15"/>
    <x v="2"/>
    <x v="1"/>
    <n v="1"/>
  </r>
  <r>
    <x v="15"/>
    <x v="1"/>
    <x v="1"/>
    <n v="2"/>
  </r>
  <r>
    <x v="15"/>
    <x v="1"/>
    <x v="1"/>
    <n v="1"/>
  </r>
  <r>
    <x v="16"/>
    <x v="1"/>
    <x v="1"/>
    <n v="1"/>
  </r>
  <r>
    <x v="16"/>
    <x v="1"/>
    <x v="1"/>
    <n v="1"/>
  </r>
  <r>
    <x v="17"/>
    <x v="3"/>
    <x v="1"/>
    <n v="1"/>
  </r>
  <r>
    <x v="17"/>
    <x v="1"/>
    <x v="1"/>
    <n v="1"/>
  </r>
  <r>
    <x v="18"/>
    <x v="1"/>
    <x v="1"/>
    <n v="1"/>
  </r>
  <r>
    <x v="18"/>
    <x v="1"/>
    <x v="1"/>
    <n v="1"/>
  </r>
  <r>
    <x v="19"/>
    <x v="1"/>
    <x v="1"/>
    <n v="1"/>
  </r>
  <r>
    <x v="20"/>
    <x v="1"/>
    <x v="1"/>
    <n v="1"/>
  </r>
  <r>
    <x v="21"/>
    <x v="1"/>
    <x v="1"/>
    <n v="1"/>
  </r>
  <r>
    <x v="22"/>
    <x v="0"/>
    <x v="0"/>
    <n v="2"/>
  </r>
  <r>
    <x v="23"/>
    <x v="1"/>
    <x v="2"/>
    <n v="1"/>
  </r>
  <r>
    <x v="24"/>
    <x v="1"/>
    <x v="1"/>
    <n v="1"/>
  </r>
  <r>
    <x v="25"/>
    <x v="1"/>
    <x v="1"/>
    <n v="2"/>
  </r>
  <r>
    <x v="25"/>
    <x v="1"/>
    <x v="1"/>
    <n v="2"/>
  </r>
  <r>
    <x v="26"/>
    <x v="0"/>
    <x v="0"/>
    <n v="1"/>
  </r>
  <r>
    <x v="27"/>
    <x v="1"/>
    <x v="1"/>
    <n v="2"/>
  </r>
  <r>
    <x v="27"/>
    <x v="1"/>
    <x v="1"/>
    <n v="2"/>
  </r>
  <r>
    <x v="28"/>
    <x v="0"/>
    <x v="0"/>
    <n v="3"/>
  </r>
  <r>
    <x v="28"/>
    <x v="1"/>
    <x v="0"/>
    <n v="16"/>
  </r>
  <r>
    <x v="29"/>
    <x v="2"/>
    <x v="1"/>
    <n v="1"/>
  </r>
  <r>
    <x v="29"/>
    <x v="1"/>
    <x v="1"/>
    <n v="2"/>
  </r>
  <r>
    <x v="29"/>
    <x v="1"/>
    <x v="1"/>
    <n v="1"/>
  </r>
  <r>
    <x v="30"/>
    <x v="1"/>
    <x v="1"/>
    <n v="1"/>
  </r>
  <r>
    <x v="31"/>
    <x v="1"/>
    <x v="1"/>
    <n v="1"/>
  </r>
  <r>
    <x v="31"/>
    <x v="1"/>
    <x v="1"/>
    <n v="1"/>
  </r>
  <r>
    <x v="32"/>
    <x v="0"/>
    <x v="0"/>
    <n v="1"/>
  </r>
  <r>
    <x v="33"/>
    <x v="0"/>
    <x v="0"/>
    <n v="2"/>
  </r>
  <r>
    <x v="34"/>
    <x v="2"/>
    <x v="1"/>
    <n v="1"/>
  </r>
  <r>
    <x v="34"/>
    <x v="1"/>
    <x v="1"/>
    <n v="2"/>
  </r>
  <r>
    <x v="34"/>
    <x v="1"/>
    <x v="1"/>
    <n v="1"/>
  </r>
  <r>
    <x v="35"/>
    <x v="2"/>
    <x v="1"/>
    <n v="1"/>
  </r>
  <r>
    <x v="35"/>
    <x v="1"/>
    <x v="1"/>
    <n v="2"/>
  </r>
  <r>
    <x v="35"/>
    <x v="1"/>
    <x v="1"/>
    <n v="1"/>
  </r>
  <r>
    <x v="36"/>
    <x v="1"/>
    <x v="0"/>
    <n v="1"/>
  </r>
  <r>
    <x v="37"/>
    <x v="1"/>
    <x v="1"/>
    <n v="1"/>
  </r>
  <r>
    <x v="38"/>
    <x v="0"/>
    <x v="0"/>
    <n v="3"/>
  </r>
  <r>
    <x v="39"/>
    <x v="3"/>
    <x v="2"/>
    <n v="1"/>
  </r>
  <r>
    <x v="40"/>
    <x v="0"/>
    <x v="0"/>
    <n v="2"/>
  </r>
  <r>
    <x v="41"/>
    <x v="1"/>
    <x v="1"/>
    <n v="1"/>
  </r>
  <r>
    <x v="42"/>
    <x v="1"/>
    <x v="1"/>
    <n v="1"/>
  </r>
  <r>
    <x v="42"/>
    <x v="1"/>
    <x v="1"/>
    <n v="1"/>
  </r>
  <r>
    <x v="42"/>
    <x v="1"/>
    <x v="1"/>
    <n v="1"/>
  </r>
  <r>
    <x v="43"/>
    <x v="1"/>
    <x v="2"/>
    <n v="1"/>
  </r>
  <r>
    <x v="44"/>
    <x v="3"/>
    <x v="2"/>
    <n v="1"/>
  </r>
  <r>
    <x v="45"/>
    <x v="0"/>
    <x v="0"/>
    <n v="2"/>
  </r>
  <r>
    <x v="46"/>
    <x v="1"/>
    <x v="0"/>
    <n v="1"/>
  </r>
  <r>
    <x v="46"/>
    <x v="1"/>
    <x v="0"/>
    <n v="1"/>
  </r>
  <r>
    <x v="47"/>
    <x v="1"/>
    <x v="1"/>
    <n v="1"/>
  </r>
  <r>
    <x v="47"/>
    <x v="1"/>
    <x v="1"/>
    <n v="1"/>
  </r>
  <r>
    <x v="47"/>
    <x v="1"/>
    <x v="1"/>
    <n v="1"/>
  </r>
  <r>
    <x v="17"/>
    <x v="0"/>
    <x v="0"/>
    <n v="1"/>
  </r>
  <r>
    <x v="48"/>
    <x v="0"/>
    <x v="0"/>
    <n v="1"/>
  </r>
  <r>
    <x v="49"/>
    <x v="0"/>
    <x v="0"/>
    <n v="6"/>
  </r>
  <r>
    <x v="50"/>
    <x v="1"/>
    <x v="1"/>
    <n v="4"/>
  </r>
  <r>
    <x v="51"/>
    <x v="0"/>
    <x v="0"/>
    <n v="5"/>
  </r>
  <r>
    <x v="51"/>
    <x v="0"/>
    <x v="0"/>
    <n v="4"/>
  </r>
  <r>
    <x v="52"/>
    <x v="0"/>
    <x v="0"/>
    <n v="4"/>
  </r>
  <r>
    <x v="52"/>
    <x v="0"/>
    <x v="0"/>
    <n v="5"/>
  </r>
  <r>
    <x v="52"/>
    <x v="1"/>
    <x v="0"/>
    <n v="2"/>
  </r>
  <r>
    <x v="53"/>
    <x v="1"/>
    <x v="1"/>
    <n v="1"/>
  </r>
  <r>
    <x v="53"/>
    <x v="1"/>
    <x v="1"/>
    <n v="1"/>
  </r>
  <r>
    <x v="53"/>
    <x v="1"/>
    <x v="1"/>
    <n v="1"/>
  </r>
  <r>
    <x v="54"/>
    <x v="0"/>
    <x v="0"/>
    <n v="4"/>
  </r>
  <r>
    <x v="54"/>
    <x v="0"/>
    <x v="0"/>
    <n v="3"/>
  </r>
  <r>
    <x v="55"/>
    <x v="1"/>
    <x v="1"/>
    <n v="1"/>
  </r>
  <r>
    <x v="55"/>
    <x v="1"/>
    <x v="1"/>
    <n v="1"/>
  </r>
  <r>
    <x v="55"/>
    <x v="1"/>
    <x v="1"/>
    <n v="1"/>
  </r>
  <r>
    <x v="56"/>
    <x v="0"/>
    <x v="0"/>
    <n v="2"/>
  </r>
  <r>
    <x v="57"/>
    <x v="0"/>
    <x v="0"/>
    <n v="1"/>
  </r>
  <r>
    <x v="58"/>
    <x v="0"/>
    <x v="0"/>
    <n v="6"/>
  </r>
  <r>
    <x v="59"/>
    <x v="1"/>
    <x v="1"/>
    <n v="1"/>
  </r>
  <r>
    <x v="59"/>
    <x v="1"/>
    <x v="1"/>
    <n v="1"/>
  </r>
  <r>
    <x v="59"/>
    <x v="1"/>
    <x v="1"/>
    <n v="1"/>
  </r>
  <r>
    <x v="60"/>
    <x v="0"/>
    <x v="0"/>
    <n v="2"/>
  </r>
  <r>
    <x v="60"/>
    <x v="0"/>
    <x v="0"/>
    <n v="1"/>
  </r>
  <r>
    <x v="61"/>
    <x v="1"/>
    <x v="2"/>
    <n v="1"/>
  </r>
  <r>
    <x v="62"/>
    <x v="1"/>
    <x v="1"/>
    <n v="1"/>
  </r>
  <r>
    <x v="62"/>
    <x v="1"/>
    <x v="1"/>
    <n v="1"/>
  </r>
  <r>
    <x v="63"/>
    <x v="2"/>
    <x v="1"/>
    <n v="1"/>
  </r>
  <r>
    <x v="63"/>
    <x v="1"/>
    <x v="1"/>
    <n v="2"/>
  </r>
  <r>
    <x v="63"/>
    <x v="1"/>
    <x v="1"/>
    <n v="1"/>
  </r>
  <r>
    <x v="64"/>
    <x v="1"/>
    <x v="2"/>
    <n v="4"/>
  </r>
  <r>
    <x v="65"/>
    <x v="0"/>
    <x v="0"/>
    <n v="1"/>
  </r>
  <r>
    <x v="66"/>
    <x v="1"/>
    <x v="1"/>
    <n v="1"/>
  </r>
  <r>
    <x v="66"/>
    <x v="1"/>
    <x v="1"/>
    <n v="1"/>
  </r>
  <r>
    <x v="67"/>
    <x v="1"/>
    <x v="1"/>
    <n v="1"/>
  </r>
  <r>
    <x v="67"/>
    <x v="1"/>
    <x v="1"/>
    <n v="1"/>
  </r>
  <r>
    <x v="68"/>
    <x v="0"/>
    <x v="0"/>
    <n v="2"/>
  </r>
  <r>
    <x v="68"/>
    <x v="0"/>
    <x v="0"/>
    <n v="4"/>
  </r>
  <r>
    <x v="69"/>
    <x v="1"/>
    <x v="1"/>
    <n v="1"/>
  </r>
  <r>
    <x v="69"/>
    <x v="1"/>
    <x v="1"/>
    <n v="1"/>
  </r>
  <r>
    <x v="1"/>
    <x v="0"/>
    <x v="0"/>
    <n v="2"/>
  </r>
  <r>
    <x v="70"/>
    <x v="0"/>
    <x v="0"/>
    <n v="1"/>
  </r>
  <r>
    <x v="71"/>
    <x v="2"/>
    <x v="1"/>
    <n v="1"/>
  </r>
  <r>
    <x v="71"/>
    <x v="1"/>
    <x v="1"/>
    <n v="2"/>
  </r>
  <r>
    <x v="71"/>
    <x v="1"/>
    <x v="1"/>
    <n v="1"/>
  </r>
  <r>
    <x v="72"/>
    <x v="0"/>
    <x v="0"/>
    <n v="2"/>
  </r>
  <r>
    <x v="73"/>
    <x v="1"/>
    <x v="1"/>
    <n v="1"/>
  </r>
  <r>
    <x v="74"/>
    <x v="1"/>
    <x v="1"/>
    <n v="2"/>
  </r>
  <r>
    <x v="75"/>
    <x v="1"/>
    <x v="1"/>
    <n v="1"/>
  </r>
  <r>
    <x v="76"/>
    <x v="0"/>
    <x v="0"/>
    <n v="2"/>
  </r>
  <r>
    <x v="76"/>
    <x v="0"/>
    <x v="0"/>
    <n v="4"/>
  </r>
  <r>
    <x v="3"/>
    <x v="1"/>
    <x v="1"/>
    <n v="1"/>
  </r>
  <r>
    <x v="3"/>
    <x v="1"/>
    <x v="1"/>
    <n v="1"/>
  </r>
  <r>
    <x v="77"/>
    <x v="0"/>
    <x v="0"/>
    <n v="1"/>
  </r>
  <r>
    <x v="31"/>
    <x v="1"/>
    <x v="0"/>
    <n v="6"/>
  </r>
  <r>
    <x v="78"/>
    <x v="1"/>
    <x v="0"/>
    <n v="4"/>
  </r>
  <r>
    <x v="79"/>
    <x v="1"/>
    <x v="1"/>
    <n v="1"/>
  </r>
  <r>
    <x v="79"/>
    <x v="1"/>
    <x v="1"/>
    <n v="1"/>
  </r>
  <r>
    <x v="80"/>
    <x v="0"/>
    <x v="0"/>
    <n v="1"/>
  </r>
  <r>
    <x v="81"/>
    <x v="1"/>
    <x v="2"/>
    <n v="3"/>
  </r>
  <r>
    <x v="82"/>
    <x v="1"/>
    <x v="1"/>
    <n v="1"/>
  </r>
  <r>
    <x v="82"/>
    <x v="1"/>
    <x v="1"/>
    <n v="1"/>
  </r>
  <r>
    <x v="25"/>
    <x v="1"/>
    <x v="0"/>
    <n v="2"/>
  </r>
  <r>
    <x v="83"/>
    <x v="1"/>
    <x v="2"/>
    <n v="2"/>
  </r>
  <r>
    <x v="84"/>
    <x v="0"/>
    <x v="0"/>
    <n v="2"/>
  </r>
  <r>
    <x v="85"/>
    <x v="0"/>
    <x v="0"/>
    <n v="1"/>
  </r>
  <r>
    <x v="86"/>
    <x v="0"/>
    <x v="0"/>
    <n v="1"/>
  </r>
  <r>
    <x v="87"/>
    <x v="0"/>
    <x v="0"/>
    <n v="2"/>
  </r>
  <r>
    <x v="88"/>
    <x v="2"/>
    <x v="1"/>
    <n v="1"/>
  </r>
  <r>
    <x v="88"/>
    <x v="1"/>
    <x v="1"/>
    <n v="2"/>
  </r>
  <r>
    <x v="88"/>
    <x v="1"/>
    <x v="1"/>
    <n v="1"/>
  </r>
  <r>
    <x v="88"/>
    <x v="1"/>
    <x v="1"/>
    <n v="1"/>
  </r>
  <r>
    <x v="89"/>
    <x v="1"/>
    <x v="1"/>
    <n v="1"/>
  </r>
  <r>
    <x v="90"/>
    <x v="2"/>
    <x v="1"/>
    <n v="1"/>
  </r>
  <r>
    <x v="90"/>
    <x v="1"/>
    <x v="1"/>
    <n v="2"/>
  </r>
  <r>
    <x v="90"/>
    <x v="1"/>
    <x v="1"/>
    <n v="1"/>
  </r>
  <r>
    <x v="91"/>
    <x v="1"/>
    <x v="1"/>
    <n v="1"/>
  </r>
  <r>
    <x v="91"/>
    <x v="1"/>
    <x v="1"/>
    <n v="1"/>
  </r>
  <r>
    <x v="92"/>
    <x v="1"/>
    <x v="0"/>
    <n v="2"/>
  </r>
  <r>
    <x v="92"/>
    <x v="1"/>
    <x v="0"/>
    <n v="2"/>
  </r>
  <r>
    <x v="93"/>
    <x v="1"/>
    <x v="1"/>
    <n v="1"/>
  </r>
  <r>
    <x v="93"/>
    <x v="1"/>
    <x v="1"/>
    <n v="1"/>
  </r>
  <r>
    <x v="94"/>
    <x v="1"/>
    <x v="1"/>
    <n v="1"/>
  </r>
  <r>
    <x v="82"/>
    <x v="0"/>
    <x v="0"/>
    <n v="1"/>
  </r>
  <r>
    <x v="18"/>
    <x v="0"/>
    <x v="0"/>
    <n v="4"/>
  </r>
  <r>
    <x v="95"/>
    <x v="2"/>
    <x v="1"/>
    <n v="1"/>
  </r>
  <r>
    <x v="95"/>
    <x v="1"/>
    <x v="1"/>
    <n v="2"/>
  </r>
  <r>
    <x v="95"/>
    <x v="1"/>
    <x v="1"/>
    <n v="1"/>
  </r>
  <r>
    <x v="95"/>
    <x v="1"/>
    <x v="1"/>
    <n v="1"/>
  </r>
  <r>
    <x v="96"/>
    <x v="3"/>
    <x v="1"/>
    <n v="1"/>
  </r>
  <r>
    <x v="96"/>
    <x v="1"/>
    <x v="1"/>
    <n v="1"/>
  </r>
  <r>
    <x v="97"/>
    <x v="3"/>
    <x v="2"/>
    <n v="1"/>
  </r>
  <r>
    <x v="98"/>
    <x v="1"/>
    <x v="1"/>
    <n v="1"/>
  </r>
  <r>
    <x v="98"/>
    <x v="1"/>
    <x v="1"/>
    <n v="1"/>
  </r>
  <r>
    <x v="98"/>
    <x v="1"/>
    <x v="1"/>
    <n v="2"/>
  </r>
  <r>
    <x v="19"/>
    <x v="0"/>
    <x v="0"/>
    <n v="2"/>
  </r>
  <r>
    <x v="99"/>
    <x v="1"/>
    <x v="1"/>
    <n v="1"/>
  </r>
  <r>
    <x v="100"/>
    <x v="1"/>
    <x v="1"/>
    <n v="1"/>
  </r>
  <r>
    <x v="101"/>
    <x v="1"/>
    <x v="1"/>
    <n v="1"/>
  </r>
  <r>
    <x v="101"/>
    <x v="1"/>
    <x v="1"/>
    <n v="1"/>
  </r>
  <r>
    <x v="102"/>
    <x v="1"/>
    <x v="1"/>
    <n v="1"/>
  </r>
  <r>
    <x v="102"/>
    <x v="1"/>
    <x v="1"/>
    <n v="1"/>
  </r>
  <r>
    <x v="103"/>
    <x v="0"/>
    <x v="0"/>
    <n v="3"/>
  </r>
  <r>
    <x v="103"/>
    <x v="1"/>
    <x v="0"/>
    <n v="1"/>
  </r>
  <r>
    <x v="104"/>
    <x v="1"/>
    <x v="1"/>
    <n v="2"/>
  </r>
  <r>
    <x v="105"/>
    <x v="0"/>
    <x v="0"/>
    <n v="2"/>
  </r>
  <r>
    <x v="105"/>
    <x v="0"/>
    <x v="0"/>
    <n v="2"/>
  </r>
  <r>
    <x v="105"/>
    <x v="0"/>
    <x v="0"/>
    <n v="1"/>
  </r>
  <r>
    <x v="106"/>
    <x v="1"/>
    <x v="1"/>
    <n v="1"/>
  </r>
  <r>
    <x v="106"/>
    <x v="1"/>
    <x v="1"/>
    <n v="1"/>
  </r>
  <r>
    <x v="106"/>
    <x v="1"/>
    <x v="1"/>
    <n v="1"/>
  </r>
  <r>
    <x v="107"/>
    <x v="1"/>
    <x v="1"/>
    <n v="6"/>
  </r>
  <r>
    <x v="107"/>
    <x v="1"/>
    <x v="1"/>
    <n v="6"/>
  </r>
  <r>
    <x v="108"/>
    <x v="1"/>
    <x v="0"/>
    <n v="1"/>
  </r>
  <r>
    <x v="31"/>
    <x v="1"/>
    <x v="2"/>
    <n v="1"/>
  </r>
  <r>
    <x v="20"/>
    <x v="1"/>
    <x v="0"/>
    <n v="1"/>
  </r>
  <r>
    <x v="20"/>
    <x v="1"/>
    <x v="0"/>
    <n v="1"/>
  </r>
  <r>
    <x v="109"/>
    <x v="0"/>
    <x v="0"/>
    <n v="2"/>
  </r>
  <r>
    <x v="110"/>
    <x v="0"/>
    <x v="0"/>
    <n v="2"/>
  </r>
  <r>
    <x v="110"/>
    <x v="1"/>
    <x v="0"/>
    <n v="3"/>
  </r>
  <r>
    <x v="73"/>
    <x v="0"/>
    <x v="0"/>
    <n v="1"/>
  </r>
  <r>
    <x v="111"/>
    <x v="1"/>
    <x v="1"/>
    <n v="2"/>
  </r>
  <r>
    <x v="112"/>
    <x v="1"/>
    <x v="1"/>
    <n v="2"/>
  </r>
  <r>
    <x v="113"/>
    <x v="1"/>
    <x v="1"/>
    <n v="2"/>
  </r>
  <r>
    <x v="7"/>
    <x v="1"/>
    <x v="0"/>
    <n v="2"/>
  </r>
  <r>
    <x v="114"/>
    <x v="3"/>
    <x v="1"/>
    <n v="1"/>
  </r>
  <r>
    <x v="115"/>
    <x v="1"/>
    <x v="0"/>
    <n v="1"/>
  </r>
  <r>
    <x v="40"/>
    <x v="1"/>
    <x v="1"/>
    <n v="1"/>
  </r>
  <r>
    <x v="40"/>
    <x v="1"/>
    <x v="1"/>
    <n v="1"/>
  </r>
  <r>
    <x v="99"/>
    <x v="0"/>
    <x v="0"/>
    <n v="6"/>
  </r>
  <r>
    <x v="116"/>
    <x v="1"/>
    <x v="1"/>
    <n v="1"/>
  </r>
  <r>
    <x v="116"/>
    <x v="1"/>
    <x v="1"/>
    <n v="1"/>
  </r>
  <r>
    <x v="117"/>
    <x v="2"/>
    <x v="1"/>
    <n v="2"/>
  </r>
  <r>
    <x v="117"/>
    <x v="1"/>
    <x v="1"/>
    <n v="4"/>
  </r>
  <r>
    <x v="117"/>
    <x v="1"/>
    <x v="1"/>
    <n v="2"/>
  </r>
  <r>
    <x v="117"/>
    <x v="1"/>
    <x v="1"/>
    <n v="2"/>
  </r>
  <r>
    <x v="118"/>
    <x v="0"/>
    <x v="0"/>
    <n v="2"/>
  </r>
  <r>
    <x v="87"/>
    <x v="1"/>
    <x v="1"/>
    <n v="1"/>
  </r>
  <r>
    <x v="87"/>
    <x v="1"/>
    <x v="1"/>
    <n v="1"/>
  </r>
  <r>
    <x v="87"/>
    <x v="1"/>
    <x v="1"/>
    <n v="1"/>
  </r>
  <r>
    <x v="119"/>
    <x v="0"/>
    <x v="0"/>
    <n v="2"/>
  </r>
  <r>
    <x v="120"/>
    <x v="0"/>
    <x v="0"/>
    <n v="2"/>
  </r>
  <r>
    <x v="121"/>
    <x v="0"/>
    <x v="2"/>
    <n v="1"/>
  </r>
  <r>
    <x v="122"/>
    <x v="1"/>
    <x v="1"/>
    <n v="1"/>
  </r>
  <r>
    <x v="123"/>
    <x v="3"/>
    <x v="0"/>
    <n v="1"/>
  </r>
  <r>
    <x v="124"/>
    <x v="1"/>
    <x v="2"/>
    <n v="1"/>
  </r>
  <r>
    <x v="2"/>
    <x v="1"/>
    <x v="1"/>
    <n v="1"/>
  </r>
  <r>
    <x v="125"/>
    <x v="2"/>
    <x v="1"/>
    <n v="2"/>
  </r>
  <r>
    <x v="125"/>
    <x v="1"/>
    <x v="1"/>
    <n v="3"/>
  </r>
  <r>
    <x v="125"/>
    <x v="1"/>
    <x v="1"/>
    <n v="1"/>
  </r>
  <r>
    <x v="126"/>
    <x v="1"/>
    <x v="1"/>
    <n v="4"/>
  </r>
  <r>
    <x v="127"/>
    <x v="1"/>
    <x v="1"/>
    <n v="1"/>
  </r>
  <r>
    <x v="128"/>
    <x v="1"/>
    <x v="1"/>
    <n v="1"/>
  </r>
  <r>
    <x v="42"/>
    <x v="0"/>
    <x v="0"/>
    <n v="1"/>
  </r>
  <r>
    <x v="129"/>
    <x v="1"/>
    <x v="2"/>
    <n v="1"/>
  </r>
  <r>
    <x v="9"/>
    <x v="1"/>
    <x v="2"/>
    <n v="2"/>
  </r>
  <r>
    <x v="130"/>
    <x v="0"/>
    <x v="0"/>
    <n v="5"/>
  </r>
  <r>
    <x v="130"/>
    <x v="0"/>
    <x v="0"/>
    <n v="9"/>
  </r>
  <r>
    <x v="130"/>
    <x v="1"/>
    <x v="0"/>
    <n v="1"/>
  </r>
  <r>
    <x v="78"/>
    <x v="1"/>
    <x v="1"/>
    <n v="1"/>
  </r>
  <r>
    <x v="78"/>
    <x v="1"/>
    <x v="1"/>
    <n v="1"/>
  </r>
  <r>
    <x v="131"/>
    <x v="2"/>
    <x v="1"/>
    <n v="1"/>
  </r>
  <r>
    <x v="131"/>
    <x v="1"/>
    <x v="1"/>
    <n v="2"/>
  </r>
  <r>
    <x v="131"/>
    <x v="1"/>
    <x v="1"/>
    <n v="1"/>
  </r>
  <r>
    <x v="132"/>
    <x v="2"/>
    <x v="1"/>
    <n v="2"/>
  </r>
  <r>
    <x v="132"/>
    <x v="1"/>
    <x v="1"/>
    <n v="3"/>
  </r>
  <r>
    <x v="132"/>
    <x v="1"/>
    <x v="1"/>
    <n v="1"/>
  </r>
  <r>
    <x v="133"/>
    <x v="1"/>
    <x v="1"/>
    <n v="2"/>
  </r>
  <r>
    <x v="134"/>
    <x v="0"/>
    <x v="0"/>
    <n v="1"/>
  </r>
  <r>
    <x v="134"/>
    <x v="1"/>
    <x v="0"/>
    <n v="2"/>
  </r>
  <r>
    <x v="135"/>
    <x v="1"/>
    <x v="1"/>
    <n v="1"/>
  </r>
  <r>
    <x v="136"/>
    <x v="1"/>
    <x v="1"/>
    <n v="1"/>
  </r>
  <r>
    <x v="136"/>
    <x v="1"/>
    <x v="1"/>
    <n v="1"/>
  </r>
  <r>
    <x v="137"/>
    <x v="1"/>
    <x v="1"/>
    <n v="1"/>
  </r>
  <r>
    <x v="137"/>
    <x v="1"/>
    <x v="1"/>
    <n v="1"/>
  </r>
  <r>
    <x v="138"/>
    <x v="2"/>
    <x v="1"/>
    <n v="1"/>
  </r>
  <r>
    <x v="138"/>
    <x v="1"/>
    <x v="1"/>
    <n v="2"/>
  </r>
  <r>
    <x v="138"/>
    <x v="1"/>
    <x v="1"/>
    <n v="1"/>
  </r>
  <r>
    <x v="139"/>
    <x v="1"/>
    <x v="1"/>
    <n v="1"/>
  </r>
  <r>
    <x v="139"/>
    <x v="1"/>
    <x v="1"/>
    <n v="1"/>
  </r>
  <r>
    <x v="139"/>
    <x v="1"/>
    <x v="1"/>
    <n v="2"/>
  </r>
  <r>
    <x v="67"/>
    <x v="0"/>
    <x v="0"/>
    <n v="2"/>
  </r>
  <r>
    <x v="104"/>
    <x v="1"/>
    <x v="0"/>
    <n v="1"/>
  </r>
  <r>
    <x v="140"/>
    <x v="0"/>
    <x v="0"/>
    <n v="1"/>
  </r>
  <r>
    <x v="9"/>
    <x v="1"/>
    <x v="0"/>
    <n v="6"/>
  </r>
  <r>
    <x v="141"/>
    <x v="1"/>
    <x v="1"/>
    <n v="2"/>
  </r>
  <r>
    <x v="142"/>
    <x v="0"/>
    <x v="0"/>
    <n v="2"/>
  </r>
  <r>
    <x v="143"/>
    <x v="1"/>
    <x v="1"/>
    <n v="1"/>
  </r>
  <r>
    <x v="90"/>
    <x v="0"/>
    <x v="0"/>
    <n v="1"/>
  </r>
  <r>
    <x v="144"/>
    <x v="2"/>
    <x v="1"/>
    <n v="1"/>
  </r>
  <r>
    <x v="144"/>
    <x v="1"/>
    <x v="1"/>
    <n v="2"/>
  </r>
  <r>
    <x v="144"/>
    <x v="1"/>
    <x v="1"/>
    <n v="1"/>
  </r>
  <r>
    <x v="54"/>
    <x v="1"/>
    <x v="1"/>
    <n v="1"/>
  </r>
  <r>
    <x v="105"/>
    <x v="1"/>
    <x v="1"/>
    <n v="2"/>
  </r>
  <r>
    <x v="12"/>
    <x v="0"/>
    <x v="0"/>
    <n v="1"/>
  </r>
  <r>
    <x v="145"/>
    <x v="2"/>
    <x v="1"/>
    <n v="1"/>
  </r>
  <r>
    <x v="145"/>
    <x v="1"/>
    <x v="1"/>
    <n v="3"/>
  </r>
  <r>
    <x v="145"/>
    <x v="1"/>
    <x v="1"/>
    <n v="2"/>
  </r>
  <r>
    <x v="146"/>
    <x v="1"/>
    <x v="1"/>
    <n v="3"/>
  </r>
  <r>
    <x v="147"/>
    <x v="1"/>
    <x v="1"/>
    <n v="1"/>
  </r>
  <r>
    <x v="147"/>
    <x v="1"/>
    <x v="1"/>
    <n v="1"/>
  </r>
  <r>
    <x v="148"/>
    <x v="0"/>
    <x v="0"/>
    <n v="2"/>
  </r>
  <r>
    <x v="149"/>
    <x v="1"/>
    <x v="1"/>
    <n v="3"/>
  </r>
  <r>
    <x v="150"/>
    <x v="0"/>
    <x v="0"/>
    <n v="3"/>
  </r>
  <r>
    <x v="151"/>
    <x v="0"/>
    <x v="0"/>
    <n v="1"/>
  </r>
  <r>
    <x v="152"/>
    <x v="1"/>
    <x v="1"/>
    <n v="2"/>
  </r>
  <r>
    <x v="81"/>
    <x v="0"/>
    <x v="0"/>
    <n v="2"/>
  </r>
  <r>
    <x v="81"/>
    <x v="1"/>
    <x v="0"/>
    <n v="3"/>
  </r>
  <r>
    <x v="153"/>
    <x v="0"/>
    <x v="0"/>
    <n v="2"/>
  </r>
  <r>
    <x v="154"/>
    <x v="3"/>
    <x v="2"/>
    <n v="2"/>
  </r>
  <r>
    <x v="155"/>
    <x v="0"/>
    <x v="0"/>
    <n v="2"/>
  </r>
  <r>
    <x v="156"/>
    <x v="0"/>
    <x v="0"/>
    <n v="2"/>
  </r>
  <r>
    <x v="157"/>
    <x v="0"/>
    <x v="0"/>
    <n v="5"/>
  </r>
  <r>
    <x v="157"/>
    <x v="0"/>
    <x v="0"/>
    <n v="1"/>
  </r>
  <r>
    <x v="157"/>
    <x v="0"/>
    <x v="0"/>
    <n v="3"/>
  </r>
  <r>
    <x v="158"/>
    <x v="1"/>
    <x v="2"/>
    <n v="1"/>
  </r>
  <r>
    <x v="159"/>
    <x v="1"/>
    <x v="1"/>
    <n v="1"/>
  </r>
  <r>
    <x v="159"/>
    <x v="1"/>
    <x v="1"/>
    <n v="1"/>
  </r>
  <r>
    <x v="159"/>
    <x v="1"/>
    <x v="1"/>
    <n v="1"/>
  </r>
  <r>
    <x v="160"/>
    <x v="0"/>
    <x v="0"/>
    <n v="2"/>
  </r>
  <r>
    <x v="160"/>
    <x v="0"/>
    <x v="0"/>
    <n v="2"/>
  </r>
  <r>
    <x v="160"/>
    <x v="1"/>
    <x v="0"/>
    <n v="1"/>
  </r>
  <r>
    <x v="161"/>
    <x v="0"/>
    <x v="0"/>
    <n v="1"/>
  </r>
  <r>
    <x v="161"/>
    <x v="1"/>
    <x v="0"/>
    <n v="1"/>
  </r>
  <r>
    <x v="94"/>
    <x v="0"/>
    <x v="0"/>
    <n v="4"/>
  </r>
  <r>
    <x v="162"/>
    <x v="0"/>
    <x v="0"/>
    <n v="1"/>
  </r>
  <r>
    <x v="163"/>
    <x v="0"/>
    <x v="0"/>
    <n v="1"/>
  </r>
  <r>
    <x v="163"/>
    <x v="1"/>
    <x v="0"/>
    <n v="2"/>
  </r>
  <r>
    <x v="130"/>
    <x v="1"/>
    <x v="2"/>
    <n v="1"/>
  </r>
  <r>
    <x v="124"/>
    <x v="1"/>
    <x v="0"/>
    <n v="2"/>
  </r>
  <r>
    <x v="164"/>
    <x v="1"/>
    <x v="1"/>
    <n v="1"/>
  </r>
  <r>
    <x v="164"/>
    <x v="1"/>
    <x v="1"/>
    <n v="1"/>
  </r>
  <r>
    <x v="165"/>
    <x v="0"/>
    <x v="0"/>
    <n v="1"/>
  </r>
  <r>
    <x v="21"/>
    <x v="0"/>
    <x v="0"/>
    <n v="2"/>
  </r>
  <r>
    <x v="166"/>
    <x v="1"/>
    <x v="1"/>
    <n v="1"/>
  </r>
  <r>
    <x v="166"/>
    <x v="1"/>
    <x v="1"/>
    <n v="1"/>
  </r>
  <r>
    <x v="166"/>
    <x v="1"/>
    <x v="1"/>
    <n v="1"/>
  </r>
  <r>
    <x v="167"/>
    <x v="1"/>
    <x v="1"/>
    <n v="1"/>
  </r>
  <r>
    <x v="167"/>
    <x v="1"/>
    <x v="1"/>
    <n v="1"/>
  </r>
  <r>
    <x v="168"/>
    <x v="0"/>
    <x v="0"/>
    <n v="4"/>
  </r>
  <r>
    <x v="168"/>
    <x v="0"/>
    <x v="0"/>
    <n v="3"/>
  </r>
  <r>
    <x v="169"/>
    <x v="0"/>
    <x v="0"/>
    <n v="1"/>
  </r>
  <r>
    <x v="170"/>
    <x v="0"/>
    <x v="0"/>
    <n v="1"/>
  </r>
  <r>
    <x v="171"/>
    <x v="1"/>
    <x v="1"/>
    <n v="2"/>
  </r>
  <r>
    <x v="108"/>
    <x v="1"/>
    <x v="1"/>
    <n v="1"/>
  </r>
  <r>
    <x v="108"/>
    <x v="1"/>
    <x v="1"/>
    <n v="1"/>
  </r>
  <r>
    <x v="107"/>
    <x v="0"/>
    <x v="0"/>
    <n v="2"/>
  </r>
  <r>
    <x v="172"/>
    <x v="1"/>
    <x v="0"/>
    <n v="1"/>
  </r>
  <r>
    <x v="173"/>
    <x v="2"/>
    <x v="1"/>
    <n v="1"/>
  </r>
  <r>
    <x v="173"/>
    <x v="1"/>
    <x v="1"/>
    <n v="2"/>
  </r>
  <r>
    <x v="173"/>
    <x v="1"/>
    <x v="1"/>
    <n v="1"/>
  </r>
  <r>
    <x v="174"/>
    <x v="0"/>
    <x v="0"/>
    <n v="2"/>
  </r>
  <r>
    <x v="175"/>
    <x v="1"/>
    <x v="1"/>
    <n v="1"/>
  </r>
  <r>
    <x v="175"/>
    <x v="1"/>
    <x v="1"/>
    <n v="1"/>
  </r>
  <r>
    <x v="175"/>
    <x v="1"/>
    <x v="1"/>
    <n v="3"/>
  </r>
  <r>
    <x v="176"/>
    <x v="1"/>
    <x v="1"/>
    <n v="1"/>
  </r>
  <r>
    <x v="64"/>
    <x v="1"/>
    <x v="0"/>
    <n v="1"/>
  </r>
  <r>
    <x v="43"/>
    <x v="1"/>
    <x v="0"/>
    <n v="1"/>
  </r>
  <r>
    <x v="78"/>
    <x v="1"/>
    <x v="2"/>
    <n v="2"/>
  </r>
  <r>
    <x v="177"/>
    <x v="3"/>
    <x v="1"/>
    <n v="2"/>
  </r>
  <r>
    <x v="178"/>
    <x v="2"/>
    <x v="1"/>
    <n v="1"/>
  </r>
  <r>
    <x v="178"/>
    <x v="1"/>
    <x v="1"/>
    <n v="2"/>
  </r>
  <r>
    <x v="178"/>
    <x v="1"/>
    <x v="1"/>
    <n v="1"/>
  </r>
  <r>
    <x v="178"/>
    <x v="1"/>
    <x v="1"/>
    <n v="1"/>
  </r>
  <r>
    <x v="179"/>
    <x v="1"/>
    <x v="0"/>
    <n v="3"/>
  </r>
  <r>
    <x v="180"/>
    <x v="2"/>
    <x v="1"/>
    <n v="1"/>
  </r>
  <r>
    <x v="180"/>
    <x v="1"/>
    <x v="1"/>
    <n v="3"/>
  </r>
  <r>
    <x v="180"/>
    <x v="1"/>
    <x v="1"/>
    <n v="2"/>
  </r>
  <r>
    <x v="181"/>
    <x v="1"/>
    <x v="1"/>
    <n v="1"/>
  </r>
  <r>
    <x v="182"/>
    <x v="1"/>
    <x v="1"/>
    <n v="1"/>
  </r>
  <r>
    <x v="182"/>
    <x v="1"/>
    <x v="1"/>
    <n v="1"/>
  </r>
  <r>
    <x v="183"/>
    <x v="0"/>
    <x v="0"/>
    <n v="2"/>
  </r>
  <r>
    <x v="184"/>
    <x v="1"/>
    <x v="2"/>
    <n v="1"/>
  </r>
  <r>
    <x v="185"/>
    <x v="0"/>
    <x v="0"/>
    <n v="3"/>
  </r>
  <r>
    <x v="185"/>
    <x v="0"/>
    <x v="0"/>
    <n v="5"/>
  </r>
  <r>
    <x v="155"/>
    <x v="1"/>
    <x v="1"/>
    <n v="1"/>
  </r>
  <r>
    <x v="155"/>
    <x v="1"/>
    <x v="1"/>
    <n v="1"/>
  </r>
  <r>
    <x v="186"/>
    <x v="0"/>
    <x v="0"/>
    <n v="2"/>
  </r>
  <r>
    <x v="187"/>
    <x v="1"/>
    <x v="0"/>
    <n v="2"/>
  </r>
  <r>
    <x v="187"/>
    <x v="0"/>
    <x v="0"/>
    <n v="1"/>
  </r>
  <r>
    <x v="187"/>
    <x v="0"/>
    <x v="0"/>
    <n v="1"/>
  </r>
  <r>
    <x v="59"/>
    <x v="0"/>
    <x v="0"/>
    <n v="1"/>
  </r>
  <r>
    <x v="188"/>
    <x v="0"/>
    <x v="0"/>
    <n v="1"/>
  </r>
  <r>
    <x v="148"/>
    <x v="1"/>
    <x v="1"/>
    <n v="1"/>
  </r>
  <r>
    <x v="189"/>
    <x v="2"/>
    <x v="1"/>
    <n v="1"/>
  </r>
  <r>
    <x v="189"/>
    <x v="1"/>
    <x v="1"/>
    <n v="1"/>
  </r>
  <r>
    <x v="188"/>
    <x v="1"/>
    <x v="1"/>
    <n v="1"/>
  </r>
  <r>
    <x v="188"/>
    <x v="1"/>
    <x v="1"/>
    <n v="1"/>
  </r>
  <r>
    <x v="190"/>
    <x v="1"/>
    <x v="1"/>
    <n v="1"/>
  </r>
  <r>
    <x v="191"/>
    <x v="1"/>
    <x v="1"/>
    <n v="1"/>
  </r>
  <r>
    <x v="191"/>
    <x v="1"/>
    <x v="1"/>
    <n v="1"/>
  </r>
  <r>
    <x v="191"/>
    <x v="1"/>
    <x v="1"/>
    <n v="1"/>
  </r>
  <r>
    <x v="74"/>
    <x v="4"/>
    <x v="2"/>
    <n v="1"/>
  </r>
  <r>
    <x v="192"/>
    <x v="1"/>
    <x v="1"/>
    <n v="1"/>
  </r>
  <r>
    <x v="192"/>
    <x v="1"/>
    <x v="1"/>
    <n v="1"/>
  </r>
  <r>
    <x v="193"/>
    <x v="1"/>
    <x v="1"/>
    <n v="1"/>
  </r>
  <r>
    <x v="194"/>
    <x v="1"/>
    <x v="1"/>
    <n v="1"/>
  </r>
  <r>
    <x v="194"/>
    <x v="1"/>
    <x v="1"/>
    <n v="1"/>
  </r>
  <r>
    <x v="194"/>
    <x v="1"/>
    <x v="1"/>
    <n v="1"/>
  </r>
  <r>
    <x v="195"/>
    <x v="1"/>
    <x v="1"/>
    <n v="3"/>
  </r>
  <r>
    <x v="195"/>
    <x v="1"/>
    <x v="1"/>
    <n v="3"/>
  </r>
  <r>
    <x v="195"/>
    <x v="1"/>
    <x v="1"/>
    <n v="1"/>
  </r>
  <r>
    <x v="196"/>
    <x v="1"/>
    <x v="0"/>
    <n v="1"/>
  </r>
  <r>
    <x v="196"/>
    <x v="1"/>
    <x v="0"/>
    <n v="1"/>
  </r>
  <r>
    <x v="197"/>
    <x v="1"/>
    <x v="1"/>
    <n v="1"/>
  </r>
  <r>
    <x v="197"/>
    <x v="1"/>
    <x v="1"/>
    <n v="1"/>
  </r>
  <r>
    <x v="198"/>
    <x v="1"/>
    <x v="1"/>
    <n v="1"/>
  </r>
  <r>
    <x v="198"/>
    <x v="1"/>
    <x v="1"/>
    <n v="1"/>
  </r>
  <r>
    <x v="198"/>
    <x v="1"/>
    <x v="1"/>
    <n v="1"/>
  </r>
  <r>
    <x v="199"/>
    <x v="1"/>
    <x v="1"/>
    <n v="1"/>
  </r>
  <r>
    <x v="199"/>
    <x v="1"/>
    <x v="1"/>
    <n v="1"/>
  </r>
  <r>
    <x v="200"/>
    <x v="2"/>
    <x v="1"/>
    <n v="1"/>
  </r>
  <r>
    <x v="200"/>
    <x v="1"/>
    <x v="1"/>
    <n v="2"/>
  </r>
  <r>
    <x v="200"/>
    <x v="1"/>
    <x v="1"/>
    <n v="1"/>
  </r>
  <r>
    <x v="201"/>
    <x v="3"/>
    <x v="1"/>
    <n v="1"/>
  </r>
  <r>
    <x v="201"/>
    <x v="1"/>
    <x v="1"/>
    <n v="1"/>
  </r>
  <r>
    <x v="201"/>
    <x v="1"/>
    <x v="1"/>
    <n v="1"/>
  </r>
  <r>
    <x v="201"/>
    <x v="1"/>
    <x v="1"/>
    <n v="1"/>
  </r>
  <r>
    <x v="202"/>
    <x v="0"/>
    <x v="0"/>
    <n v="1"/>
  </r>
  <r>
    <x v="203"/>
    <x v="1"/>
    <x v="1"/>
    <n v="1"/>
  </r>
  <r>
    <x v="203"/>
    <x v="1"/>
    <x v="1"/>
    <n v="1"/>
  </r>
  <r>
    <x v="204"/>
    <x v="0"/>
    <x v="0"/>
    <n v="1"/>
  </r>
  <r>
    <x v="205"/>
    <x v="1"/>
    <x v="2"/>
    <n v="1"/>
  </r>
  <r>
    <x v="110"/>
    <x v="1"/>
    <x v="1"/>
    <n v="2"/>
  </r>
  <r>
    <x v="110"/>
    <x v="1"/>
    <x v="1"/>
    <n v="2"/>
  </r>
  <r>
    <x v="206"/>
    <x v="0"/>
    <x v="0"/>
    <n v="2"/>
  </r>
  <r>
    <x v="207"/>
    <x v="0"/>
    <x v="0"/>
    <n v="1"/>
  </r>
  <r>
    <x v="208"/>
    <x v="1"/>
    <x v="1"/>
    <n v="1"/>
  </r>
  <r>
    <x v="106"/>
    <x v="0"/>
    <x v="0"/>
    <n v="1"/>
  </r>
  <r>
    <x v="209"/>
    <x v="0"/>
    <x v="0"/>
    <n v="1"/>
  </r>
  <r>
    <x v="210"/>
    <x v="3"/>
    <x v="2"/>
    <n v="1"/>
  </r>
  <r>
    <x v="211"/>
    <x v="0"/>
    <x v="0"/>
    <n v="1"/>
  </r>
  <r>
    <x v="212"/>
    <x v="2"/>
    <x v="1"/>
    <n v="1"/>
  </r>
  <r>
    <x v="212"/>
    <x v="1"/>
    <x v="1"/>
    <n v="2"/>
  </r>
  <r>
    <x v="212"/>
    <x v="1"/>
    <x v="1"/>
    <n v="1"/>
  </r>
  <r>
    <x v="213"/>
    <x v="1"/>
    <x v="1"/>
    <n v="1"/>
  </r>
  <r>
    <x v="214"/>
    <x v="1"/>
    <x v="1"/>
    <n v="1"/>
  </r>
  <r>
    <x v="215"/>
    <x v="0"/>
    <x v="0"/>
    <n v="1"/>
  </r>
  <r>
    <x v="216"/>
    <x v="1"/>
    <x v="2"/>
    <n v="2"/>
  </r>
  <r>
    <x v="189"/>
    <x v="0"/>
    <x v="0"/>
    <n v="4"/>
  </r>
  <r>
    <x v="217"/>
    <x v="1"/>
    <x v="1"/>
    <n v="1"/>
  </r>
  <r>
    <x v="146"/>
    <x v="0"/>
    <x v="0"/>
    <n v="10"/>
  </r>
  <r>
    <x v="38"/>
    <x v="1"/>
    <x v="1"/>
    <n v="2"/>
  </r>
  <r>
    <x v="38"/>
    <x v="1"/>
    <x v="1"/>
    <n v="2"/>
  </r>
  <r>
    <x v="218"/>
    <x v="0"/>
    <x v="0"/>
    <n v="1"/>
  </r>
  <r>
    <x v="151"/>
    <x v="1"/>
    <x v="1"/>
    <n v="1"/>
  </r>
  <r>
    <x v="151"/>
    <x v="1"/>
    <x v="1"/>
    <n v="1"/>
  </r>
  <r>
    <x v="151"/>
    <x v="3"/>
    <x v="1"/>
    <n v="2"/>
  </r>
  <r>
    <x v="219"/>
    <x v="0"/>
    <x v="0"/>
    <n v="2"/>
  </r>
  <r>
    <x v="220"/>
    <x v="0"/>
    <x v="0"/>
    <n v="3"/>
  </r>
  <r>
    <x v="220"/>
    <x v="0"/>
    <x v="0"/>
    <n v="5"/>
  </r>
  <r>
    <x v="221"/>
    <x v="0"/>
    <x v="0"/>
    <n v="6"/>
  </r>
  <r>
    <x v="222"/>
    <x v="0"/>
    <x v="0"/>
    <n v="1"/>
  </r>
  <r>
    <x v="223"/>
    <x v="0"/>
    <x v="0"/>
    <n v="2"/>
  </r>
  <r>
    <x v="224"/>
    <x v="1"/>
    <x v="1"/>
    <n v="1"/>
  </r>
  <r>
    <x v="225"/>
    <x v="1"/>
    <x v="0"/>
    <n v="3"/>
  </r>
  <r>
    <x v="226"/>
    <x v="0"/>
    <x v="0"/>
    <n v="1"/>
  </r>
  <r>
    <x v="227"/>
    <x v="0"/>
    <x v="0"/>
    <n v="3"/>
  </r>
  <r>
    <x v="227"/>
    <x v="1"/>
    <x v="0"/>
    <n v="1"/>
  </r>
  <r>
    <x v="194"/>
    <x v="0"/>
    <x v="0"/>
    <n v="4"/>
  </r>
  <r>
    <x v="228"/>
    <x v="1"/>
    <x v="1"/>
    <n v="1"/>
  </r>
  <r>
    <x v="218"/>
    <x v="2"/>
    <x v="1"/>
    <n v="2"/>
  </r>
  <r>
    <x v="218"/>
    <x v="1"/>
    <x v="1"/>
    <n v="3"/>
  </r>
  <r>
    <x v="218"/>
    <x v="1"/>
    <x v="1"/>
    <n v="1"/>
  </r>
  <r>
    <x v="218"/>
    <x v="1"/>
    <x v="1"/>
    <n v="2"/>
  </r>
  <r>
    <x v="229"/>
    <x v="1"/>
    <x v="1"/>
    <n v="2"/>
  </r>
  <r>
    <x v="72"/>
    <x v="1"/>
    <x v="1"/>
    <n v="1"/>
  </r>
  <r>
    <x v="72"/>
    <x v="1"/>
    <x v="1"/>
    <n v="1"/>
  </r>
  <r>
    <x v="230"/>
    <x v="0"/>
    <x v="0"/>
    <n v="2"/>
  </r>
  <r>
    <x v="230"/>
    <x v="0"/>
    <x v="0"/>
    <n v="1"/>
  </r>
  <r>
    <x v="41"/>
    <x v="0"/>
    <x v="0"/>
    <n v="1"/>
  </r>
  <r>
    <x v="231"/>
    <x v="0"/>
    <x v="0"/>
    <n v="3"/>
  </r>
  <r>
    <x v="231"/>
    <x v="0"/>
    <x v="0"/>
    <n v="7"/>
  </r>
  <r>
    <x v="231"/>
    <x v="1"/>
    <x v="0"/>
    <n v="1"/>
  </r>
  <r>
    <x v="92"/>
    <x v="2"/>
    <x v="2"/>
    <n v="1"/>
  </r>
  <r>
    <x v="232"/>
    <x v="1"/>
    <x v="1"/>
    <n v="1"/>
  </r>
  <r>
    <x v="233"/>
    <x v="1"/>
    <x v="1"/>
    <n v="1"/>
  </r>
  <r>
    <x v="234"/>
    <x v="0"/>
    <x v="0"/>
    <n v="3"/>
  </r>
  <r>
    <x v="235"/>
    <x v="5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x v="0"/>
    <x v="0"/>
    <n v="1"/>
  </r>
  <r>
    <x v="1"/>
    <x v="1"/>
    <x v="1"/>
    <n v="4"/>
  </r>
  <r>
    <x v="1"/>
    <x v="1"/>
    <x v="1"/>
    <n v="1"/>
  </r>
  <r>
    <x v="2"/>
    <x v="0"/>
    <x v="0"/>
    <n v="1"/>
  </r>
  <r>
    <x v="2"/>
    <x v="0"/>
    <x v="0"/>
    <n v="1"/>
  </r>
  <r>
    <x v="3"/>
    <x v="0"/>
    <x v="0"/>
    <n v="1"/>
  </r>
  <r>
    <x v="3"/>
    <x v="0"/>
    <x v="0"/>
    <n v="1"/>
  </r>
  <r>
    <x v="4"/>
    <x v="0"/>
    <x v="0"/>
    <n v="1"/>
  </r>
  <r>
    <x v="5"/>
    <x v="0"/>
    <x v="0"/>
    <n v="1"/>
  </r>
  <r>
    <x v="5"/>
    <x v="0"/>
    <x v="0"/>
    <n v="3"/>
  </r>
  <r>
    <x v="6"/>
    <x v="0"/>
    <x v="2"/>
    <n v="1"/>
  </r>
  <r>
    <x v="7"/>
    <x v="0"/>
    <x v="0"/>
    <n v="2"/>
  </r>
  <r>
    <x v="7"/>
    <x v="0"/>
    <x v="0"/>
    <n v="1"/>
  </r>
  <r>
    <x v="8"/>
    <x v="0"/>
    <x v="0"/>
    <n v="1"/>
  </r>
  <r>
    <x v="8"/>
    <x v="0"/>
    <x v="0"/>
    <n v="1"/>
  </r>
  <r>
    <x v="9"/>
    <x v="0"/>
    <x v="0"/>
    <n v="1"/>
  </r>
  <r>
    <x v="9"/>
    <x v="0"/>
    <x v="0"/>
    <n v="1"/>
  </r>
  <r>
    <x v="10"/>
    <x v="0"/>
    <x v="2"/>
    <n v="1"/>
  </r>
  <r>
    <x v="11"/>
    <x v="0"/>
    <x v="0"/>
    <n v="4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3"/>
  </r>
  <r>
    <x v="15"/>
    <x v="0"/>
    <x v="0"/>
    <n v="1"/>
  </r>
  <r>
    <x v="16"/>
    <x v="0"/>
    <x v="0"/>
    <n v="2"/>
  </r>
  <r>
    <x v="16"/>
    <x v="0"/>
    <x v="0"/>
    <n v="1"/>
  </r>
  <r>
    <x v="17"/>
    <x v="1"/>
    <x v="1"/>
    <n v="1"/>
  </r>
  <r>
    <x v="18"/>
    <x v="0"/>
    <x v="0"/>
    <n v="1"/>
  </r>
  <r>
    <x v="19"/>
    <x v="0"/>
    <x v="0"/>
    <n v="2"/>
  </r>
  <r>
    <x v="20"/>
    <x v="0"/>
    <x v="0"/>
    <n v="1"/>
  </r>
  <r>
    <x v="21"/>
    <x v="0"/>
    <x v="0"/>
    <n v="2"/>
  </r>
  <r>
    <x v="22"/>
    <x v="0"/>
    <x v="0"/>
    <n v="3"/>
  </r>
  <r>
    <x v="22"/>
    <x v="0"/>
    <x v="0"/>
    <n v="1"/>
  </r>
  <r>
    <x v="23"/>
    <x v="0"/>
    <x v="0"/>
    <n v="2"/>
  </r>
  <r>
    <x v="24"/>
    <x v="1"/>
    <x v="1"/>
    <n v="1"/>
  </r>
  <r>
    <x v="25"/>
    <x v="0"/>
    <x v="0"/>
    <n v="1"/>
  </r>
  <r>
    <x v="26"/>
    <x v="0"/>
    <x v="0"/>
    <n v="1"/>
  </r>
  <r>
    <x v="27"/>
    <x v="0"/>
    <x v="0"/>
    <n v="1"/>
  </r>
  <r>
    <x v="27"/>
    <x v="0"/>
    <x v="0"/>
    <n v="3"/>
  </r>
  <r>
    <x v="28"/>
    <x v="0"/>
    <x v="0"/>
    <n v="1"/>
  </r>
  <r>
    <x v="29"/>
    <x v="0"/>
    <x v="1"/>
    <n v="2"/>
  </r>
  <r>
    <x v="29"/>
    <x v="0"/>
    <x v="1"/>
    <n v="2"/>
  </r>
  <r>
    <x v="29"/>
    <x v="0"/>
    <x v="1"/>
    <n v="1"/>
  </r>
  <r>
    <x v="30"/>
    <x v="0"/>
    <x v="0"/>
    <n v="1"/>
  </r>
  <r>
    <x v="31"/>
    <x v="0"/>
    <x v="0"/>
    <n v="4"/>
  </r>
  <r>
    <x v="32"/>
    <x v="0"/>
    <x v="1"/>
    <n v="4"/>
  </r>
  <r>
    <x v="32"/>
    <x v="0"/>
    <x v="1"/>
    <n v="1"/>
  </r>
  <r>
    <x v="33"/>
    <x v="0"/>
    <x v="0"/>
    <n v="1"/>
  </r>
  <r>
    <x v="33"/>
    <x v="0"/>
    <x v="0"/>
    <n v="1"/>
  </r>
  <r>
    <x v="34"/>
    <x v="0"/>
    <x v="0"/>
    <n v="1"/>
  </r>
  <r>
    <x v="10"/>
    <x v="0"/>
    <x v="0"/>
    <n v="2"/>
  </r>
  <r>
    <x v="10"/>
    <x v="0"/>
    <x v="0"/>
    <n v="2"/>
  </r>
  <r>
    <x v="35"/>
    <x v="0"/>
    <x v="2"/>
    <n v="1"/>
  </r>
  <r>
    <x v="36"/>
    <x v="0"/>
    <x v="0"/>
    <n v="3"/>
  </r>
  <r>
    <x v="36"/>
    <x v="0"/>
    <x v="0"/>
    <n v="6"/>
  </r>
  <r>
    <x v="37"/>
    <x v="0"/>
    <x v="0"/>
    <n v="2"/>
  </r>
  <r>
    <x v="38"/>
    <x v="0"/>
    <x v="2"/>
    <n v="3"/>
  </r>
  <r>
    <x v="39"/>
    <x v="0"/>
    <x v="0"/>
    <n v="1"/>
  </r>
  <r>
    <x v="39"/>
    <x v="0"/>
    <x v="0"/>
    <n v="1"/>
  </r>
  <r>
    <x v="40"/>
    <x v="0"/>
    <x v="0"/>
    <n v="4"/>
  </r>
  <r>
    <x v="41"/>
    <x v="0"/>
    <x v="0"/>
    <n v="1"/>
  </r>
  <r>
    <x v="42"/>
    <x v="0"/>
    <x v="1"/>
    <n v="1"/>
  </r>
  <r>
    <x v="43"/>
    <x v="0"/>
    <x v="0"/>
    <n v="1"/>
  </r>
  <r>
    <x v="44"/>
    <x v="0"/>
    <x v="0"/>
    <n v="1"/>
  </r>
  <r>
    <x v="44"/>
    <x v="0"/>
    <x v="0"/>
    <n v="1"/>
  </r>
  <r>
    <x v="45"/>
    <x v="0"/>
    <x v="0"/>
    <n v="2"/>
  </r>
  <r>
    <x v="45"/>
    <x v="0"/>
    <x v="0"/>
    <n v="1"/>
  </r>
  <r>
    <x v="46"/>
    <x v="0"/>
    <x v="0"/>
    <n v="3"/>
  </r>
  <r>
    <x v="46"/>
    <x v="0"/>
    <x v="0"/>
    <n v="2"/>
  </r>
  <r>
    <x v="47"/>
    <x v="0"/>
    <x v="0"/>
    <n v="1"/>
  </r>
  <r>
    <x v="48"/>
    <x v="1"/>
    <x v="1"/>
    <n v="3"/>
  </r>
  <r>
    <x v="49"/>
    <x v="0"/>
    <x v="0"/>
    <n v="5"/>
  </r>
  <r>
    <x v="49"/>
    <x v="0"/>
    <x v="0"/>
    <n v="2"/>
  </r>
  <r>
    <x v="50"/>
    <x v="1"/>
    <x v="1"/>
    <n v="1"/>
  </r>
  <r>
    <x v="51"/>
    <x v="0"/>
    <x v="0"/>
    <n v="1"/>
  </r>
  <r>
    <x v="51"/>
    <x v="0"/>
    <x v="0"/>
    <n v="2"/>
  </r>
  <r>
    <x v="52"/>
    <x v="0"/>
    <x v="0"/>
    <n v="3"/>
  </r>
  <r>
    <x v="53"/>
    <x v="1"/>
    <x v="1"/>
    <n v="2"/>
  </r>
  <r>
    <x v="54"/>
    <x v="0"/>
    <x v="2"/>
    <n v="2"/>
  </r>
  <r>
    <x v="55"/>
    <x v="1"/>
    <x v="1"/>
    <n v="2"/>
  </r>
  <r>
    <x v="56"/>
    <x v="0"/>
    <x v="0"/>
    <n v="1"/>
  </r>
  <r>
    <x v="56"/>
    <x v="0"/>
    <x v="0"/>
    <n v="1"/>
  </r>
  <r>
    <x v="57"/>
    <x v="0"/>
    <x v="0"/>
    <n v="1"/>
  </r>
  <r>
    <x v="58"/>
    <x v="0"/>
    <x v="0"/>
    <n v="1"/>
  </r>
  <r>
    <x v="58"/>
    <x v="0"/>
    <x v="0"/>
    <n v="1"/>
  </r>
  <r>
    <x v="59"/>
    <x v="0"/>
    <x v="0"/>
    <n v="1"/>
  </r>
  <r>
    <x v="60"/>
    <x v="0"/>
    <x v="0"/>
    <n v="2"/>
  </r>
  <r>
    <x v="61"/>
    <x v="0"/>
    <x v="0"/>
    <n v="1"/>
  </r>
  <r>
    <x v="62"/>
    <x v="0"/>
    <x v="0"/>
    <n v="5"/>
  </r>
  <r>
    <x v="62"/>
    <x v="0"/>
    <x v="0"/>
    <n v="1"/>
  </r>
  <r>
    <x v="63"/>
    <x v="0"/>
    <x v="0"/>
    <n v="1"/>
  </r>
  <r>
    <x v="63"/>
    <x v="0"/>
    <x v="0"/>
    <n v="2"/>
  </r>
  <r>
    <x v="64"/>
    <x v="0"/>
    <x v="0"/>
    <n v="1"/>
  </r>
  <r>
    <x v="64"/>
    <x v="0"/>
    <x v="0"/>
    <n v="2"/>
  </r>
  <r>
    <x v="65"/>
    <x v="0"/>
    <x v="0"/>
    <n v="2"/>
  </r>
  <r>
    <x v="65"/>
    <x v="0"/>
    <x v="0"/>
    <n v="1"/>
  </r>
  <r>
    <x v="66"/>
    <x v="0"/>
    <x v="0"/>
    <n v="2"/>
  </r>
  <r>
    <x v="66"/>
    <x v="2"/>
    <x v="0"/>
    <n v="1"/>
  </r>
  <r>
    <x v="67"/>
    <x v="0"/>
    <x v="0"/>
    <n v="1"/>
  </r>
  <r>
    <x v="68"/>
    <x v="0"/>
    <x v="0"/>
    <n v="1"/>
  </r>
  <r>
    <x v="69"/>
    <x v="0"/>
    <x v="0"/>
    <n v="1"/>
  </r>
  <r>
    <x v="70"/>
    <x v="0"/>
    <x v="0"/>
    <n v="1"/>
  </r>
  <r>
    <x v="71"/>
    <x v="0"/>
    <x v="0"/>
    <n v="1"/>
  </r>
  <r>
    <x v="56"/>
    <x v="1"/>
    <x v="1"/>
    <n v="1"/>
  </r>
  <r>
    <x v="72"/>
    <x v="0"/>
    <x v="0"/>
    <n v="2"/>
  </r>
  <r>
    <x v="73"/>
    <x v="0"/>
    <x v="0"/>
    <n v="1"/>
  </r>
  <r>
    <x v="73"/>
    <x v="0"/>
    <x v="0"/>
    <n v="1"/>
  </r>
  <r>
    <x v="74"/>
    <x v="0"/>
    <x v="0"/>
    <n v="6"/>
  </r>
  <r>
    <x v="75"/>
    <x v="0"/>
    <x v="0"/>
    <n v="2"/>
  </r>
  <r>
    <x v="76"/>
    <x v="0"/>
    <x v="0"/>
    <n v="2"/>
  </r>
  <r>
    <x v="77"/>
    <x v="1"/>
    <x v="1"/>
    <n v="1"/>
  </r>
  <r>
    <x v="78"/>
    <x v="1"/>
    <x v="1"/>
    <n v="1"/>
  </r>
  <r>
    <x v="79"/>
    <x v="0"/>
    <x v="0"/>
    <n v="2"/>
  </r>
  <r>
    <x v="79"/>
    <x v="0"/>
    <x v="0"/>
    <n v="1"/>
  </r>
  <r>
    <x v="80"/>
    <x v="0"/>
    <x v="0"/>
    <n v="2"/>
  </r>
  <r>
    <x v="81"/>
    <x v="1"/>
    <x v="1"/>
    <n v="2"/>
  </r>
  <r>
    <x v="82"/>
    <x v="0"/>
    <x v="0"/>
    <n v="1"/>
  </r>
  <r>
    <x v="82"/>
    <x v="0"/>
    <x v="0"/>
    <n v="1"/>
  </r>
  <r>
    <x v="83"/>
    <x v="0"/>
    <x v="0"/>
    <n v="1"/>
  </r>
  <r>
    <x v="84"/>
    <x v="0"/>
    <x v="0"/>
    <n v="2"/>
  </r>
  <r>
    <x v="85"/>
    <x v="0"/>
    <x v="0"/>
    <n v="1"/>
  </r>
  <r>
    <x v="85"/>
    <x v="0"/>
    <x v="0"/>
    <n v="1"/>
  </r>
  <r>
    <x v="86"/>
    <x v="1"/>
    <x v="1"/>
    <n v="2"/>
  </r>
  <r>
    <x v="87"/>
    <x v="1"/>
    <x v="2"/>
    <n v="1"/>
  </r>
  <r>
    <x v="88"/>
    <x v="0"/>
    <x v="0"/>
    <n v="1"/>
  </r>
  <r>
    <x v="89"/>
    <x v="0"/>
    <x v="0"/>
    <n v="1"/>
  </r>
  <r>
    <x v="90"/>
    <x v="1"/>
    <x v="1"/>
    <n v="4"/>
  </r>
  <r>
    <x v="90"/>
    <x v="1"/>
    <x v="1"/>
    <n v="2"/>
  </r>
  <r>
    <x v="90"/>
    <x v="0"/>
    <x v="1"/>
    <n v="3"/>
  </r>
  <r>
    <x v="91"/>
    <x v="0"/>
    <x v="0"/>
    <n v="4"/>
  </r>
  <r>
    <x v="92"/>
    <x v="0"/>
    <x v="0"/>
    <n v="2"/>
  </r>
  <r>
    <x v="93"/>
    <x v="0"/>
    <x v="0"/>
    <n v="1"/>
  </r>
  <r>
    <x v="94"/>
    <x v="1"/>
    <x v="1"/>
    <n v="3"/>
  </r>
  <r>
    <x v="94"/>
    <x v="0"/>
    <x v="1"/>
    <n v="1"/>
  </r>
  <r>
    <x v="95"/>
    <x v="0"/>
    <x v="2"/>
    <n v="1"/>
  </r>
  <r>
    <x v="39"/>
    <x v="1"/>
    <x v="1"/>
    <n v="5"/>
  </r>
  <r>
    <x v="81"/>
    <x v="0"/>
    <x v="0"/>
    <n v="1"/>
  </r>
  <r>
    <x v="96"/>
    <x v="0"/>
    <x v="1"/>
    <n v="1"/>
  </r>
  <r>
    <x v="97"/>
    <x v="0"/>
    <x v="0"/>
    <n v="1"/>
  </r>
  <r>
    <x v="97"/>
    <x v="0"/>
    <x v="0"/>
    <n v="1"/>
  </r>
  <r>
    <x v="98"/>
    <x v="0"/>
    <x v="0"/>
    <n v="2"/>
  </r>
  <r>
    <x v="99"/>
    <x v="0"/>
    <x v="0"/>
    <n v="3"/>
  </r>
  <r>
    <x v="100"/>
    <x v="0"/>
    <x v="0"/>
    <n v="2"/>
  </r>
  <r>
    <x v="101"/>
    <x v="0"/>
    <x v="0"/>
    <n v="1"/>
  </r>
  <r>
    <x v="102"/>
    <x v="0"/>
    <x v="0"/>
    <n v="1"/>
  </r>
  <r>
    <x v="102"/>
    <x v="0"/>
    <x v="0"/>
    <n v="1"/>
  </r>
  <r>
    <x v="103"/>
    <x v="0"/>
    <x v="0"/>
    <n v="2"/>
  </r>
  <r>
    <x v="104"/>
    <x v="0"/>
    <x v="0"/>
    <n v="2"/>
  </r>
  <r>
    <x v="41"/>
    <x v="1"/>
    <x v="1"/>
    <n v="1"/>
  </r>
  <r>
    <x v="41"/>
    <x v="0"/>
    <x v="1"/>
    <n v="1"/>
  </r>
  <r>
    <x v="105"/>
    <x v="0"/>
    <x v="0"/>
    <n v="1"/>
  </r>
  <r>
    <x v="72"/>
    <x v="0"/>
    <x v="1"/>
    <n v="2"/>
  </r>
  <r>
    <x v="72"/>
    <x v="0"/>
    <x v="1"/>
    <n v="2"/>
  </r>
  <r>
    <x v="29"/>
    <x v="0"/>
    <x v="0"/>
    <n v="1"/>
  </r>
  <r>
    <x v="106"/>
    <x v="0"/>
    <x v="2"/>
    <n v="1"/>
  </r>
  <r>
    <x v="107"/>
    <x v="0"/>
    <x v="0"/>
    <n v="2"/>
  </r>
  <r>
    <x v="108"/>
    <x v="0"/>
    <x v="0"/>
    <n v="1"/>
  </r>
  <r>
    <x v="109"/>
    <x v="0"/>
    <x v="0"/>
    <n v="2"/>
  </r>
  <r>
    <x v="110"/>
    <x v="0"/>
    <x v="0"/>
    <n v="1"/>
  </r>
  <r>
    <x v="110"/>
    <x v="0"/>
    <x v="0"/>
    <n v="1"/>
  </r>
  <r>
    <x v="111"/>
    <x v="0"/>
    <x v="0"/>
    <n v="2"/>
  </r>
  <r>
    <x v="55"/>
    <x v="0"/>
    <x v="0"/>
    <n v="2"/>
  </r>
  <r>
    <x v="55"/>
    <x v="0"/>
    <x v="0"/>
    <n v="2"/>
  </r>
  <r>
    <x v="112"/>
    <x v="0"/>
    <x v="0"/>
    <n v="3"/>
  </r>
  <r>
    <x v="112"/>
    <x v="0"/>
    <x v="0"/>
    <n v="3"/>
  </r>
  <r>
    <x v="113"/>
    <x v="0"/>
    <x v="0"/>
    <n v="1"/>
  </r>
  <r>
    <x v="114"/>
    <x v="0"/>
    <x v="0"/>
    <n v="3"/>
  </r>
  <r>
    <x v="115"/>
    <x v="0"/>
    <x v="0"/>
    <n v="2"/>
  </r>
  <r>
    <x v="116"/>
    <x v="1"/>
    <x v="1"/>
    <n v="4"/>
  </r>
  <r>
    <x v="117"/>
    <x v="1"/>
    <x v="1"/>
    <n v="3"/>
  </r>
  <r>
    <x v="63"/>
    <x v="1"/>
    <x v="1"/>
    <n v="2"/>
  </r>
  <r>
    <x v="118"/>
    <x v="0"/>
    <x v="2"/>
    <n v="1"/>
  </r>
  <r>
    <x v="119"/>
    <x v="0"/>
    <x v="0"/>
    <n v="3"/>
  </r>
  <r>
    <x v="119"/>
    <x v="0"/>
    <x v="0"/>
    <n v="1"/>
  </r>
  <r>
    <x v="120"/>
    <x v="0"/>
    <x v="0"/>
    <n v="2"/>
  </r>
  <r>
    <x v="121"/>
    <x v="1"/>
    <x v="1"/>
    <n v="2"/>
  </r>
  <r>
    <x v="121"/>
    <x v="1"/>
    <x v="1"/>
    <n v="1"/>
  </r>
  <r>
    <x v="121"/>
    <x v="0"/>
    <x v="1"/>
    <n v="1"/>
  </r>
  <r>
    <x v="122"/>
    <x v="0"/>
    <x v="1"/>
    <n v="1"/>
  </r>
  <r>
    <x v="123"/>
    <x v="0"/>
    <x v="0"/>
    <n v="1"/>
  </r>
  <r>
    <x v="124"/>
    <x v="0"/>
    <x v="0"/>
    <n v="3"/>
  </r>
  <r>
    <x v="124"/>
    <x v="0"/>
    <x v="0"/>
    <n v="1"/>
  </r>
  <r>
    <x v="125"/>
    <x v="0"/>
    <x v="0"/>
    <n v="4"/>
  </r>
  <r>
    <x v="106"/>
    <x v="0"/>
    <x v="1"/>
    <n v="2"/>
  </r>
  <r>
    <x v="126"/>
    <x v="0"/>
    <x v="0"/>
    <n v="2"/>
  </r>
  <r>
    <x v="127"/>
    <x v="0"/>
    <x v="0"/>
    <n v="4"/>
  </r>
  <r>
    <x v="128"/>
    <x v="0"/>
    <x v="0"/>
    <n v="2"/>
  </r>
  <r>
    <x v="129"/>
    <x v="0"/>
    <x v="0"/>
    <n v="1"/>
  </r>
  <r>
    <x v="3"/>
    <x v="1"/>
    <x v="1"/>
    <n v="3"/>
  </r>
  <r>
    <x v="130"/>
    <x v="0"/>
    <x v="0"/>
    <n v="1"/>
  </r>
  <r>
    <x v="130"/>
    <x v="0"/>
    <x v="0"/>
    <n v="3"/>
  </r>
  <r>
    <x v="131"/>
    <x v="0"/>
    <x v="0"/>
    <n v="2"/>
  </r>
  <r>
    <x v="131"/>
    <x v="0"/>
    <x v="0"/>
    <n v="1"/>
  </r>
  <r>
    <x v="132"/>
    <x v="0"/>
    <x v="0"/>
    <n v="7"/>
  </r>
  <r>
    <x v="132"/>
    <x v="0"/>
    <x v="0"/>
    <n v="1"/>
  </r>
  <r>
    <x v="133"/>
    <x v="0"/>
    <x v="0"/>
    <n v="1"/>
  </r>
  <r>
    <x v="134"/>
    <x v="0"/>
    <x v="0"/>
    <n v="1"/>
  </r>
  <r>
    <x v="116"/>
    <x v="0"/>
    <x v="0"/>
    <n v="1"/>
  </r>
  <r>
    <x v="135"/>
    <x v="0"/>
    <x v="2"/>
    <n v="1"/>
  </r>
  <r>
    <x v="43"/>
    <x v="0"/>
    <x v="1"/>
    <n v="1"/>
  </r>
  <r>
    <x v="136"/>
    <x v="1"/>
    <x v="1"/>
    <n v="1"/>
  </r>
  <r>
    <x v="10"/>
    <x v="0"/>
    <x v="1"/>
    <n v="1"/>
  </r>
  <r>
    <x v="137"/>
    <x v="0"/>
    <x v="0"/>
    <n v="1"/>
  </r>
  <r>
    <x v="138"/>
    <x v="1"/>
    <x v="1"/>
    <n v="3"/>
  </r>
  <r>
    <x v="135"/>
    <x v="0"/>
    <x v="0"/>
    <n v="1"/>
  </r>
  <r>
    <x v="139"/>
    <x v="0"/>
    <x v="0"/>
    <n v="1"/>
  </r>
  <r>
    <x v="139"/>
    <x v="0"/>
    <x v="0"/>
    <n v="3"/>
  </r>
  <r>
    <x v="140"/>
    <x v="0"/>
    <x v="0"/>
    <n v="1"/>
  </r>
  <r>
    <x v="141"/>
    <x v="0"/>
    <x v="0"/>
    <n v="1"/>
  </r>
  <r>
    <x v="141"/>
    <x v="0"/>
    <x v="0"/>
    <n v="3"/>
  </r>
  <r>
    <x v="142"/>
    <x v="0"/>
    <x v="0"/>
    <n v="1"/>
  </r>
  <r>
    <x v="57"/>
    <x v="1"/>
    <x v="1"/>
    <n v="2"/>
  </r>
  <r>
    <x v="143"/>
    <x v="0"/>
    <x v="0"/>
    <n v="4"/>
  </r>
  <r>
    <x v="143"/>
    <x v="0"/>
    <x v="0"/>
    <n v="5"/>
  </r>
  <r>
    <x v="144"/>
    <x v="0"/>
    <x v="0"/>
    <n v="6"/>
  </r>
  <r>
    <x v="144"/>
    <x v="0"/>
    <x v="0"/>
    <n v="1"/>
  </r>
  <r>
    <x v="145"/>
    <x v="1"/>
    <x v="1"/>
    <n v="5"/>
  </r>
  <r>
    <x v="146"/>
    <x v="0"/>
    <x v="0"/>
    <n v="2"/>
  </r>
  <r>
    <x v="147"/>
    <x v="0"/>
    <x v="0"/>
    <n v="1"/>
  </r>
  <r>
    <x v="147"/>
    <x v="0"/>
    <x v="0"/>
    <n v="1"/>
  </r>
  <r>
    <x v="148"/>
    <x v="0"/>
    <x v="0"/>
    <n v="3"/>
  </r>
  <r>
    <x v="149"/>
    <x v="0"/>
    <x v="0"/>
    <n v="1"/>
  </r>
  <r>
    <x v="150"/>
    <x v="0"/>
    <x v="0"/>
    <n v="2"/>
  </r>
  <r>
    <x v="104"/>
    <x v="1"/>
    <x v="1"/>
    <n v="2"/>
  </r>
  <r>
    <x v="104"/>
    <x v="0"/>
    <x v="1"/>
    <n v="1"/>
  </r>
  <r>
    <x v="151"/>
    <x v="0"/>
    <x v="0"/>
    <n v="1"/>
  </r>
  <r>
    <x v="152"/>
    <x v="2"/>
    <x v="0"/>
    <n v="1"/>
  </r>
  <r>
    <x v="152"/>
    <x v="0"/>
    <x v="0"/>
    <n v="2"/>
  </r>
  <r>
    <x v="152"/>
    <x v="0"/>
    <x v="0"/>
    <n v="1"/>
  </r>
  <r>
    <x v="153"/>
    <x v="0"/>
    <x v="0"/>
    <n v="1"/>
  </r>
  <r>
    <x v="154"/>
    <x v="1"/>
    <x v="1"/>
    <n v="1"/>
  </r>
  <r>
    <x v="155"/>
    <x v="0"/>
    <x v="0"/>
    <n v="4"/>
  </r>
  <r>
    <x v="156"/>
    <x v="0"/>
    <x v="0"/>
    <n v="1"/>
  </r>
  <r>
    <x v="157"/>
    <x v="0"/>
    <x v="0"/>
    <n v="2"/>
  </r>
  <r>
    <x v="158"/>
    <x v="0"/>
    <x v="0"/>
    <n v="1"/>
  </r>
  <r>
    <x v="159"/>
    <x v="1"/>
    <x v="1"/>
    <n v="2"/>
  </r>
  <r>
    <x v="122"/>
    <x v="0"/>
    <x v="0"/>
    <n v="3"/>
  </r>
  <r>
    <x v="160"/>
    <x v="0"/>
    <x v="0"/>
    <n v="1"/>
  </r>
  <r>
    <x v="161"/>
    <x v="0"/>
    <x v="2"/>
    <n v="2"/>
  </r>
  <r>
    <x v="94"/>
    <x v="0"/>
    <x v="0"/>
    <n v="1"/>
  </r>
  <r>
    <x v="24"/>
    <x v="0"/>
    <x v="0"/>
    <n v="4"/>
  </r>
  <r>
    <x v="162"/>
    <x v="0"/>
    <x v="0"/>
    <n v="2"/>
  </r>
  <r>
    <x v="163"/>
    <x v="1"/>
    <x v="1"/>
    <n v="2"/>
  </r>
  <r>
    <x v="164"/>
    <x v="1"/>
    <x v="1"/>
    <n v="1"/>
  </r>
  <r>
    <x v="86"/>
    <x v="0"/>
    <x v="0"/>
    <n v="1"/>
  </r>
  <r>
    <x v="165"/>
    <x v="0"/>
    <x v="0"/>
    <n v="1"/>
  </r>
  <r>
    <x v="143"/>
    <x v="0"/>
    <x v="1"/>
    <n v="1"/>
  </r>
  <r>
    <x v="166"/>
    <x v="0"/>
    <x v="0"/>
    <n v="1"/>
  </r>
  <r>
    <x v="167"/>
    <x v="0"/>
    <x v="0"/>
    <n v="1"/>
  </r>
  <r>
    <x v="167"/>
    <x v="0"/>
    <x v="0"/>
    <n v="2"/>
  </r>
  <r>
    <x v="168"/>
    <x v="0"/>
    <x v="0"/>
    <n v="2"/>
  </r>
  <r>
    <x v="169"/>
    <x v="0"/>
    <x v="0"/>
    <n v="2"/>
  </r>
  <r>
    <x v="170"/>
    <x v="0"/>
    <x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n v="1"/>
  </r>
  <r>
    <x v="1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4"/>
    <x v="0"/>
    <x v="0"/>
    <n v="3"/>
  </r>
  <r>
    <x v="5"/>
    <x v="0"/>
    <x v="0"/>
    <n v="2"/>
  </r>
  <r>
    <x v="6"/>
    <x v="0"/>
    <x v="0"/>
    <n v="1"/>
  </r>
  <r>
    <x v="6"/>
    <x v="0"/>
    <x v="0"/>
    <n v="1"/>
  </r>
  <r>
    <x v="7"/>
    <x v="0"/>
    <x v="0"/>
    <n v="1"/>
  </r>
  <r>
    <x v="7"/>
    <x v="0"/>
    <x v="0"/>
    <n v="1"/>
  </r>
  <r>
    <x v="8"/>
    <x v="0"/>
    <x v="0"/>
    <n v="2"/>
  </r>
  <r>
    <x v="9"/>
    <x v="0"/>
    <x v="0"/>
    <n v="1"/>
  </r>
  <r>
    <x v="10"/>
    <x v="0"/>
    <x v="0"/>
    <n v="1"/>
  </r>
  <r>
    <x v="11"/>
    <x v="0"/>
    <x v="0"/>
    <n v="3"/>
  </r>
  <r>
    <x v="11"/>
    <x v="0"/>
    <x v="0"/>
    <n v="1"/>
  </r>
  <r>
    <x v="12"/>
    <x v="0"/>
    <x v="0"/>
    <n v="1"/>
  </r>
  <r>
    <x v="13"/>
    <x v="0"/>
    <x v="0"/>
    <n v="1"/>
  </r>
  <r>
    <x v="14"/>
    <x v="1"/>
    <x v="1"/>
    <n v="4"/>
  </r>
  <r>
    <x v="15"/>
    <x v="0"/>
    <x v="0"/>
    <n v="2"/>
  </r>
  <r>
    <x v="16"/>
    <x v="0"/>
    <x v="0"/>
    <n v="1"/>
  </r>
  <r>
    <x v="17"/>
    <x v="0"/>
    <x v="0"/>
    <n v="1"/>
  </r>
  <r>
    <x v="18"/>
    <x v="0"/>
    <x v="0"/>
    <n v="1"/>
  </r>
  <r>
    <x v="18"/>
    <x v="0"/>
    <x v="0"/>
    <n v="2"/>
  </r>
  <r>
    <x v="19"/>
    <x v="0"/>
    <x v="0"/>
    <n v="1"/>
  </r>
  <r>
    <x v="20"/>
    <x v="0"/>
    <x v="0"/>
    <n v="1"/>
  </r>
  <r>
    <x v="21"/>
    <x v="0"/>
    <x v="0"/>
    <n v="1"/>
  </r>
  <r>
    <x v="21"/>
    <x v="0"/>
    <x v="0"/>
    <n v="3"/>
  </r>
  <r>
    <x v="22"/>
    <x v="0"/>
    <x v="0"/>
    <n v="1"/>
  </r>
  <r>
    <x v="23"/>
    <x v="0"/>
    <x v="1"/>
    <n v="2"/>
  </r>
  <r>
    <x v="23"/>
    <x v="0"/>
    <x v="1"/>
    <n v="2"/>
  </r>
  <r>
    <x v="23"/>
    <x v="0"/>
    <x v="1"/>
    <n v="1"/>
  </r>
  <r>
    <x v="24"/>
    <x v="0"/>
    <x v="0"/>
    <n v="1"/>
  </r>
  <r>
    <x v="25"/>
    <x v="0"/>
    <x v="0"/>
    <n v="4"/>
  </r>
  <r>
    <x v="26"/>
    <x v="0"/>
    <x v="1"/>
    <n v="1"/>
  </r>
  <r>
    <x v="27"/>
    <x v="0"/>
    <x v="0"/>
    <n v="1"/>
  </r>
  <r>
    <x v="28"/>
    <x v="0"/>
    <x v="0"/>
    <n v="1"/>
  </r>
  <r>
    <x v="29"/>
    <x v="0"/>
    <x v="0"/>
    <n v="1"/>
  </r>
  <r>
    <x v="29"/>
    <x v="0"/>
    <x v="0"/>
    <n v="1"/>
  </r>
  <r>
    <x v="30"/>
    <x v="0"/>
    <x v="2"/>
    <n v="1"/>
  </r>
  <r>
    <x v="31"/>
    <x v="0"/>
    <x v="0"/>
    <n v="3"/>
  </r>
  <r>
    <x v="32"/>
    <x v="0"/>
    <x v="0"/>
    <n v="1"/>
  </r>
  <r>
    <x v="33"/>
    <x v="0"/>
    <x v="0"/>
    <n v="2"/>
  </r>
  <r>
    <x v="33"/>
    <x v="0"/>
    <x v="0"/>
    <n v="1"/>
  </r>
  <r>
    <x v="34"/>
    <x v="0"/>
    <x v="0"/>
    <n v="4"/>
  </r>
  <r>
    <x v="34"/>
    <x v="0"/>
    <x v="0"/>
    <n v="1"/>
  </r>
  <r>
    <x v="35"/>
    <x v="0"/>
    <x v="0"/>
    <n v="1"/>
  </r>
  <r>
    <x v="36"/>
    <x v="0"/>
    <x v="1"/>
    <n v="1"/>
  </r>
  <r>
    <x v="37"/>
    <x v="0"/>
    <x v="0"/>
    <n v="1"/>
  </r>
  <r>
    <x v="38"/>
    <x v="0"/>
    <x v="0"/>
    <n v="1"/>
  </r>
  <r>
    <x v="39"/>
    <x v="0"/>
    <x v="0"/>
    <n v="2"/>
  </r>
  <r>
    <x v="14"/>
    <x v="0"/>
    <x v="0"/>
    <n v="2"/>
  </r>
  <r>
    <x v="14"/>
    <x v="0"/>
    <x v="0"/>
    <n v="2"/>
  </r>
  <r>
    <x v="40"/>
    <x v="0"/>
    <x v="0"/>
    <n v="1"/>
  </r>
  <r>
    <x v="41"/>
    <x v="0"/>
    <x v="0"/>
    <n v="2"/>
  </r>
  <r>
    <x v="41"/>
    <x v="0"/>
    <x v="0"/>
    <n v="2"/>
  </r>
  <r>
    <x v="42"/>
    <x v="0"/>
    <x v="0"/>
    <n v="1"/>
  </r>
  <r>
    <x v="42"/>
    <x v="0"/>
    <x v="0"/>
    <n v="4"/>
  </r>
  <r>
    <x v="43"/>
    <x v="0"/>
    <x v="0"/>
    <n v="3"/>
  </r>
  <r>
    <x v="43"/>
    <x v="0"/>
    <x v="0"/>
    <n v="5"/>
  </r>
  <r>
    <x v="44"/>
    <x v="0"/>
    <x v="2"/>
    <n v="2"/>
  </r>
  <r>
    <x v="45"/>
    <x v="0"/>
    <x v="0"/>
    <n v="3"/>
  </r>
  <r>
    <x v="45"/>
    <x v="0"/>
    <x v="0"/>
    <n v="1"/>
  </r>
  <r>
    <x v="46"/>
    <x v="0"/>
    <x v="0"/>
    <n v="1"/>
  </r>
  <r>
    <x v="47"/>
    <x v="0"/>
    <x v="0"/>
    <n v="1"/>
  </r>
  <r>
    <x v="47"/>
    <x v="0"/>
    <x v="0"/>
    <n v="1"/>
  </r>
  <r>
    <x v="48"/>
    <x v="0"/>
    <x v="0"/>
    <n v="1"/>
  </r>
  <r>
    <x v="49"/>
    <x v="0"/>
    <x v="0"/>
    <n v="1"/>
  </r>
  <r>
    <x v="50"/>
    <x v="0"/>
    <x v="0"/>
    <n v="5"/>
  </r>
  <r>
    <x v="51"/>
    <x v="0"/>
    <x v="0"/>
    <n v="1"/>
  </r>
  <r>
    <x v="51"/>
    <x v="0"/>
    <x v="0"/>
    <n v="1"/>
  </r>
  <r>
    <x v="52"/>
    <x v="0"/>
    <x v="0"/>
    <n v="1"/>
  </r>
  <r>
    <x v="52"/>
    <x v="0"/>
    <x v="0"/>
    <n v="2"/>
  </r>
  <r>
    <x v="43"/>
    <x v="1"/>
    <x v="1"/>
    <n v="4"/>
  </r>
  <r>
    <x v="53"/>
    <x v="0"/>
    <x v="0"/>
    <n v="2"/>
  </r>
  <r>
    <x v="54"/>
    <x v="0"/>
    <x v="0"/>
    <n v="2"/>
  </r>
  <r>
    <x v="54"/>
    <x v="0"/>
    <x v="0"/>
    <n v="1"/>
  </r>
  <r>
    <x v="55"/>
    <x v="0"/>
    <x v="0"/>
    <n v="1"/>
  </r>
  <r>
    <x v="55"/>
    <x v="0"/>
    <x v="0"/>
    <n v="1"/>
  </r>
  <r>
    <x v="56"/>
    <x v="0"/>
    <x v="0"/>
    <n v="1"/>
  </r>
  <r>
    <x v="57"/>
    <x v="0"/>
    <x v="0"/>
    <n v="2"/>
  </r>
  <r>
    <x v="58"/>
    <x v="0"/>
    <x v="0"/>
    <n v="1"/>
  </r>
  <r>
    <x v="58"/>
    <x v="0"/>
    <x v="0"/>
    <n v="1"/>
  </r>
  <r>
    <x v="59"/>
    <x v="0"/>
    <x v="0"/>
    <n v="1"/>
  </r>
  <r>
    <x v="59"/>
    <x v="0"/>
    <x v="0"/>
    <n v="2"/>
  </r>
  <r>
    <x v="60"/>
    <x v="1"/>
    <x v="1"/>
    <n v="2"/>
  </r>
  <r>
    <x v="61"/>
    <x v="0"/>
    <x v="0"/>
    <n v="1"/>
  </r>
  <r>
    <x v="61"/>
    <x v="0"/>
    <x v="0"/>
    <n v="1"/>
  </r>
  <r>
    <x v="62"/>
    <x v="0"/>
    <x v="0"/>
    <n v="6"/>
  </r>
  <r>
    <x v="63"/>
    <x v="0"/>
    <x v="0"/>
    <n v="2"/>
  </r>
  <r>
    <x v="64"/>
    <x v="0"/>
    <x v="0"/>
    <n v="2"/>
  </r>
  <r>
    <x v="13"/>
    <x v="1"/>
    <x v="1"/>
    <n v="2"/>
  </r>
  <r>
    <x v="65"/>
    <x v="0"/>
    <x v="0"/>
    <n v="1"/>
  </r>
  <r>
    <x v="65"/>
    <x v="0"/>
    <x v="0"/>
    <n v="2"/>
  </r>
  <r>
    <x v="66"/>
    <x v="0"/>
    <x v="0"/>
    <n v="2"/>
  </r>
  <r>
    <x v="67"/>
    <x v="0"/>
    <x v="0"/>
    <n v="1"/>
  </r>
  <r>
    <x v="67"/>
    <x v="0"/>
    <x v="0"/>
    <n v="1"/>
  </r>
  <r>
    <x v="68"/>
    <x v="0"/>
    <x v="0"/>
    <n v="1"/>
  </r>
  <r>
    <x v="69"/>
    <x v="0"/>
    <x v="0"/>
    <n v="2"/>
  </r>
  <r>
    <x v="70"/>
    <x v="0"/>
    <x v="0"/>
    <n v="1"/>
  </r>
  <r>
    <x v="70"/>
    <x v="0"/>
    <x v="0"/>
    <n v="1"/>
  </r>
  <r>
    <x v="18"/>
    <x v="1"/>
    <x v="1"/>
    <n v="1"/>
  </r>
  <r>
    <x v="71"/>
    <x v="0"/>
    <x v="0"/>
    <n v="4"/>
  </r>
  <r>
    <x v="72"/>
    <x v="0"/>
    <x v="0"/>
    <n v="2"/>
  </r>
  <r>
    <x v="73"/>
    <x v="0"/>
    <x v="0"/>
    <n v="1"/>
  </r>
  <r>
    <x v="74"/>
    <x v="0"/>
    <x v="1"/>
    <n v="1"/>
  </r>
  <r>
    <x v="74"/>
    <x v="0"/>
    <x v="1"/>
    <n v="1"/>
  </r>
  <r>
    <x v="75"/>
    <x v="0"/>
    <x v="2"/>
    <n v="1"/>
  </r>
  <r>
    <x v="76"/>
    <x v="0"/>
    <x v="0"/>
    <n v="1"/>
  </r>
  <r>
    <x v="77"/>
    <x v="0"/>
    <x v="0"/>
    <n v="1"/>
  </r>
  <r>
    <x v="77"/>
    <x v="0"/>
    <x v="0"/>
    <n v="1"/>
  </r>
  <r>
    <x v="78"/>
    <x v="0"/>
    <x v="0"/>
    <n v="1"/>
  </r>
  <r>
    <x v="79"/>
    <x v="0"/>
    <x v="0"/>
    <n v="1"/>
  </r>
  <r>
    <x v="79"/>
    <x v="0"/>
    <x v="0"/>
    <n v="2"/>
  </r>
  <r>
    <x v="80"/>
    <x v="0"/>
    <x v="0"/>
    <n v="2"/>
  </r>
  <r>
    <x v="81"/>
    <x v="0"/>
    <x v="0"/>
    <n v="2"/>
  </r>
  <r>
    <x v="82"/>
    <x v="0"/>
    <x v="0"/>
    <n v="1"/>
  </r>
  <r>
    <x v="82"/>
    <x v="0"/>
    <x v="0"/>
    <n v="1"/>
  </r>
  <r>
    <x v="83"/>
    <x v="0"/>
    <x v="0"/>
    <n v="1"/>
  </r>
  <r>
    <x v="84"/>
    <x v="0"/>
    <x v="0"/>
    <n v="2"/>
  </r>
  <r>
    <x v="35"/>
    <x v="0"/>
    <x v="1"/>
    <n v="1"/>
  </r>
  <r>
    <x v="85"/>
    <x v="0"/>
    <x v="1"/>
    <n v="2"/>
  </r>
  <r>
    <x v="85"/>
    <x v="0"/>
    <x v="1"/>
    <n v="2"/>
  </r>
  <r>
    <x v="1"/>
    <x v="1"/>
    <x v="1"/>
    <n v="4"/>
  </r>
  <r>
    <x v="23"/>
    <x v="0"/>
    <x v="0"/>
    <n v="1"/>
  </r>
  <r>
    <x v="86"/>
    <x v="0"/>
    <x v="0"/>
    <n v="2"/>
  </r>
  <r>
    <x v="87"/>
    <x v="0"/>
    <x v="0"/>
    <n v="1"/>
  </r>
  <r>
    <x v="88"/>
    <x v="0"/>
    <x v="0"/>
    <n v="1"/>
  </r>
  <r>
    <x v="88"/>
    <x v="0"/>
    <x v="0"/>
    <n v="3"/>
  </r>
  <r>
    <x v="89"/>
    <x v="0"/>
    <x v="0"/>
    <n v="2"/>
  </r>
  <r>
    <x v="60"/>
    <x v="0"/>
    <x v="0"/>
    <n v="2"/>
  </r>
  <r>
    <x v="90"/>
    <x v="1"/>
    <x v="1"/>
    <n v="2"/>
  </r>
  <r>
    <x v="91"/>
    <x v="0"/>
    <x v="0"/>
    <n v="2"/>
  </r>
  <r>
    <x v="91"/>
    <x v="0"/>
    <x v="0"/>
    <n v="1"/>
  </r>
  <r>
    <x v="92"/>
    <x v="0"/>
    <x v="0"/>
    <n v="3"/>
  </r>
  <r>
    <x v="93"/>
    <x v="0"/>
    <x v="0"/>
    <n v="1"/>
  </r>
  <r>
    <x v="93"/>
    <x v="0"/>
    <x v="0"/>
    <n v="1"/>
  </r>
  <r>
    <x v="94"/>
    <x v="1"/>
    <x v="1"/>
    <n v="1"/>
  </r>
  <r>
    <x v="95"/>
    <x v="0"/>
    <x v="0"/>
    <n v="3"/>
  </r>
  <r>
    <x v="96"/>
    <x v="0"/>
    <x v="0"/>
    <n v="4"/>
  </r>
  <r>
    <x v="97"/>
    <x v="0"/>
    <x v="0"/>
    <n v="3"/>
  </r>
  <r>
    <x v="97"/>
    <x v="0"/>
    <x v="0"/>
    <n v="1"/>
  </r>
  <r>
    <x v="98"/>
    <x v="0"/>
    <x v="0"/>
    <n v="1"/>
  </r>
  <r>
    <x v="99"/>
    <x v="0"/>
    <x v="0"/>
    <n v="1"/>
  </r>
  <r>
    <x v="99"/>
    <x v="0"/>
    <x v="0"/>
    <n v="4"/>
  </r>
  <r>
    <x v="100"/>
    <x v="0"/>
    <x v="0"/>
    <n v="4"/>
  </r>
  <r>
    <x v="101"/>
    <x v="0"/>
    <x v="0"/>
    <n v="3"/>
  </r>
  <r>
    <x v="102"/>
    <x v="0"/>
    <x v="0"/>
    <n v="4"/>
  </r>
  <r>
    <x v="103"/>
    <x v="0"/>
    <x v="0"/>
    <n v="1"/>
  </r>
  <r>
    <x v="104"/>
    <x v="0"/>
    <x v="0"/>
    <n v="1"/>
  </r>
  <r>
    <x v="105"/>
    <x v="0"/>
    <x v="0"/>
    <n v="1"/>
  </r>
  <r>
    <x v="106"/>
    <x v="0"/>
    <x v="0"/>
    <n v="1"/>
  </r>
  <r>
    <x v="106"/>
    <x v="0"/>
    <x v="0"/>
    <n v="1"/>
  </r>
  <r>
    <x v="107"/>
    <x v="0"/>
    <x v="0"/>
    <n v="7"/>
  </r>
  <r>
    <x v="107"/>
    <x v="0"/>
    <x v="0"/>
    <n v="1"/>
  </r>
  <r>
    <x v="108"/>
    <x v="0"/>
    <x v="0"/>
    <n v="1"/>
  </r>
  <r>
    <x v="109"/>
    <x v="0"/>
    <x v="0"/>
    <n v="1"/>
  </r>
  <r>
    <x v="110"/>
    <x v="0"/>
    <x v="0"/>
    <n v="1"/>
  </r>
  <r>
    <x v="111"/>
    <x v="0"/>
    <x v="0"/>
    <n v="1"/>
  </r>
  <r>
    <x v="112"/>
    <x v="0"/>
    <x v="0"/>
    <n v="1"/>
  </r>
  <r>
    <x v="112"/>
    <x v="0"/>
    <x v="0"/>
    <n v="3"/>
  </r>
  <r>
    <x v="113"/>
    <x v="0"/>
    <x v="0"/>
    <n v="1"/>
  </r>
  <r>
    <x v="113"/>
    <x v="0"/>
    <x v="0"/>
    <n v="1"/>
  </r>
  <r>
    <x v="114"/>
    <x v="0"/>
    <x v="0"/>
    <n v="2"/>
  </r>
  <r>
    <x v="115"/>
    <x v="0"/>
    <x v="0"/>
    <n v="3"/>
  </r>
  <r>
    <x v="115"/>
    <x v="0"/>
    <x v="0"/>
    <n v="4"/>
  </r>
  <r>
    <x v="116"/>
    <x v="0"/>
    <x v="0"/>
    <n v="4"/>
  </r>
  <r>
    <x v="117"/>
    <x v="0"/>
    <x v="0"/>
    <n v="2"/>
  </r>
  <r>
    <x v="118"/>
    <x v="0"/>
    <x v="0"/>
    <n v="1"/>
  </r>
  <r>
    <x v="119"/>
    <x v="0"/>
    <x v="0"/>
    <n v="3"/>
  </r>
  <r>
    <x v="120"/>
    <x v="0"/>
    <x v="0"/>
    <n v="1"/>
  </r>
  <r>
    <x v="121"/>
    <x v="0"/>
    <x v="0"/>
    <n v="2"/>
  </r>
  <r>
    <x v="116"/>
    <x v="0"/>
    <x v="2"/>
    <n v="1"/>
  </r>
  <r>
    <x v="84"/>
    <x v="0"/>
    <x v="1"/>
    <n v="1"/>
  </r>
  <r>
    <x v="122"/>
    <x v="0"/>
    <x v="0"/>
    <n v="1"/>
  </r>
  <r>
    <x v="123"/>
    <x v="0"/>
    <x v="0"/>
    <n v="1"/>
  </r>
  <r>
    <x v="123"/>
    <x v="0"/>
    <x v="0"/>
    <n v="1"/>
  </r>
  <r>
    <x v="124"/>
    <x v="0"/>
    <x v="0"/>
    <n v="1"/>
  </r>
  <r>
    <x v="125"/>
    <x v="0"/>
    <x v="0"/>
    <n v="4"/>
  </r>
  <r>
    <x v="126"/>
    <x v="0"/>
    <x v="0"/>
    <n v="2"/>
  </r>
  <r>
    <x v="127"/>
    <x v="0"/>
    <x v="2"/>
    <n v="2"/>
  </r>
  <r>
    <x v="74"/>
    <x v="0"/>
    <x v="0"/>
    <n v="1"/>
  </r>
  <r>
    <x v="128"/>
    <x v="0"/>
    <x v="0"/>
    <n v="4"/>
  </r>
  <r>
    <x v="129"/>
    <x v="0"/>
    <x v="0"/>
    <n v="1"/>
  </r>
  <r>
    <x v="130"/>
    <x v="0"/>
    <x v="1"/>
    <n v="2"/>
  </r>
  <r>
    <x v="131"/>
    <x v="0"/>
    <x v="0"/>
    <n v="1"/>
  </r>
  <r>
    <x v="132"/>
    <x v="0"/>
    <x v="0"/>
    <n v="1"/>
  </r>
  <r>
    <x v="133"/>
    <x v="0"/>
    <x v="0"/>
    <n v="1"/>
  </r>
  <r>
    <x v="134"/>
    <x v="0"/>
    <x v="0"/>
    <n v="2"/>
  </r>
  <r>
    <x v="135"/>
    <x v="0"/>
    <x v="0"/>
    <n v="2"/>
  </r>
  <r>
    <x v="136"/>
    <x v="0"/>
    <x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x v="0"/>
    <x v="0"/>
    <x v="0"/>
    <x v="0"/>
  </r>
  <r>
    <x v="1"/>
    <x v="0"/>
    <x v="0"/>
    <x v="0"/>
  </r>
  <r>
    <x v="1"/>
    <x v="0"/>
    <x v="0"/>
    <x v="0"/>
  </r>
  <r>
    <x v="2"/>
    <x v="0"/>
    <x v="0"/>
    <x v="0"/>
  </r>
  <r>
    <x v="2"/>
    <x v="0"/>
    <x v="0"/>
    <x v="1"/>
  </r>
  <r>
    <x v="3"/>
    <x v="0"/>
    <x v="0"/>
    <x v="0"/>
  </r>
  <r>
    <x v="4"/>
    <x v="0"/>
    <x v="0"/>
    <x v="2"/>
  </r>
  <r>
    <x v="5"/>
    <x v="0"/>
    <x v="0"/>
    <x v="0"/>
  </r>
  <r>
    <x v="6"/>
    <x v="0"/>
    <x v="0"/>
    <x v="0"/>
  </r>
  <r>
    <x v="7"/>
    <x v="0"/>
    <x v="0"/>
    <x v="0"/>
  </r>
  <r>
    <x v="7"/>
    <x v="0"/>
    <x v="0"/>
    <x v="1"/>
  </r>
  <r>
    <x v="8"/>
    <x v="0"/>
    <x v="0"/>
    <x v="1"/>
  </r>
  <r>
    <x v="9"/>
    <x v="0"/>
    <x v="0"/>
    <x v="0"/>
  </r>
  <r>
    <x v="10"/>
    <x v="0"/>
    <x v="0"/>
    <x v="2"/>
  </r>
  <r>
    <x v="10"/>
    <x v="0"/>
    <x v="0"/>
    <x v="0"/>
  </r>
  <r>
    <x v="11"/>
    <x v="0"/>
    <x v="0"/>
    <x v="0"/>
  </r>
  <r>
    <x v="12"/>
    <x v="0"/>
    <x v="0"/>
    <x v="0"/>
  </r>
  <r>
    <x v="13"/>
    <x v="0"/>
    <x v="0"/>
    <x v="1"/>
  </r>
  <r>
    <x v="14"/>
    <x v="0"/>
    <x v="0"/>
    <x v="0"/>
  </r>
  <r>
    <x v="14"/>
    <x v="0"/>
    <x v="0"/>
    <x v="0"/>
  </r>
  <r>
    <x v="15"/>
    <x v="0"/>
    <x v="0"/>
    <x v="0"/>
  </r>
  <r>
    <x v="16"/>
    <x v="0"/>
    <x v="0"/>
    <x v="1"/>
  </r>
  <r>
    <x v="16"/>
    <x v="0"/>
    <x v="0"/>
    <x v="0"/>
  </r>
  <r>
    <x v="17"/>
    <x v="0"/>
    <x v="0"/>
    <x v="0"/>
  </r>
  <r>
    <x v="18"/>
    <x v="0"/>
    <x v="0"/>
    <x v="0"/>
  </r>
  <r>
    <x v="19"/>
    <x v="0"/>
    <x v="0"/>
    <x v="0"/>
  </r>
  <r>
    <x v="20"/>
    <x v="0"/>
    <x v="1"/>
    <x v="1"/>
  </r>
  <r>
    <x v="20"/>
    <x v="0"/>
    <x v="1"/>
    <x v="1"/>
  </r>
  <r>
    <x v="20"/>
    <x v="0"/>
    <x v="1"/>
    <x v="0"/>
  </r>
  <r>
    <x v="21"/>
    <x v="0"/>
    <x v="0"/>
    <x v="0"/>
  </r>
  <r>
    <x v="22"/>
    <x v="0"/>
    <x v="0"/>
    <x v="3"/>
  </r>
  <r>
    <x v="23"/>
    <x v="0"/>
    <x v="0"/>
    <x v="0"/>
  </r>
  <r>
    <x v="24"/>
    <x v="0"/>
    <x v="0"/>
    <x v="0"/>
  </r>
  <r>
    <x v="25"/>
    <x v="0"/>
    <x v="0"/>
    <x v="0"/>
  </r>
  <r>
    <x v="26"/>
    <x v="0"/>
    <x v="2"/>
    <x v="0"/>
  </r>
  <r>
    <x v="27"/>
    <x v="0"/>
    <x v="0"/>
    <x v="2"/>
  </r>
  <r>
    <x v="28"/>
    <x v="0"/>
    <x v="0"/>
    <x v="0"/>
  </r>
  <r>
    <x v="29"/>
    <x v="0"/>
    <x v="0"/>
    <x v="0"/>
  </r>
  <r>
    <x v="29"/>
    <x v="0"/>
    <x v="0"/>
    <x v="0"/>
  </r>
  <r>
    <x v="30"/>
    <x v="0"/>
    <x v="1"/>
    <x v="1"/>
  </r>
  <r>
    <x v="30"/>
    <x v="0"/>
    <x v="1"/>
    <x v="1"/>
  </r>
  <r>
    <x v="31"/>
    <x v="0"/>
    <x v="0"/>
    <x v="3"/>
  </r>
  <r>
    <x v="31"/>
    <x v="0"/>
    <x v="0"/>
    <x v="0"/>
  </r>
  <r>
    <x v="32"/>
    <x v="0"/>
    <x v="0"/>
    <x v="0"/>
  </r>
  <r>
    <x v="33"/>
    <x v="1"/>
    <x v="1"/>
    <x v="3"/>
  </r>
  <r>
    <x v="34"/>
    <x v="0"/>
    <x v="0"/>
    <x v="0"/>
  </r>
  <r>
    <x v="35"/>
    <x v="0"/>
    <x v="0"/>
    <x v="0"/>
  </r>
  <r>
    <x v="35"/>
    <x v="0"/>
    <x v="0"/>
    <x v="0"/>
  </r>
  <r>
    <x v="36"/>
    <x v="0"/>
    <x v="0"/>
    <x v="1"/>
  </r>
  <r>
    <x v="37"/>
    <x v="0"/>
    <x v="0"/>
    <x v="1"/>
  </r>
  <r>
    <x v="37"/>
    <x v="0"/>
    <x v="0"/>
    <x v="1"/>
  </r>
  <r>
    <x v="30"/>
    <x v="0"/>
    <x v="0"/>
    <x v="2"/>
  </r>
  <r>
    <x v="30"/>
    <x v="0"/>
    <x v="0"/>
    <x v="1"/>
  </r>
  <r>
    <x v="38"/>
    <x v="0"/>
    <x v="0"/>
    <x v="0"/>
  </r>
  <r>
    <x v="39"/>
    <x v="0"/>
    <x v="0"/>
    <x v="2"/>
  </r>
  <r>
    <x v="39"/>
    <x v="0"/>
    <x v="0"/>
    <x v="1"/>
  </r>
  <r>
    <x v="40"/>
    <x v="0"/>
    <x v="2"/>
    <x v="1"/>
  </r>
  <r>
    <x v="38"/>
    <x v="1"/>
    <x v="1"/>
    <x v="1"/>
  </r>
  <r>
    <x v="41"/>
    <x v="0"/>
    <x v="0"/>
    <x v="2"/>
  </r>
  <r>
    <x v="41"/>
    <x v="0"/>
    <x v="0"/>
    <x v="0"/>
  </r>
  <r>
    <x v="42"/>
    <x v="0"/>
    <x v="0"/>
    <x v="0"/>
  </r>
  <r>
    <x v="43"/>
    <x v="0"/>
    <x v="0"/>
    <x v="0"/>
  </r>
  <r>
    <x v="44"/>
    <x v="0"/>
    <x v="0"/>
    <x v="0"/>
  </r>
  <r>
    <x v="45"/>
    <x v="0"/>
    <x v="0"/>
    <x v="4"/>
  </r>
  <r>
    <x v="46"/>
    <x v="0"/>
    <x v="0"/>
    <x v="0"/>
  </r>
  <r>
    <x v="47"/>
    <x v="0"/>
    <x v="0"/>
    <x v="1"/>
  </r>
  <r>
    <x v="47"/>
    <x v="0"/>
    <x v="0"/>
    <x v="0"/>
  </r>
  <r>
    <x v="48"/>
    <x v="0"/>
    <x v="0"/>
    <x v="0"/>
  </r>
  <r>
    <x v="49"/>
    <x v="0"/>
    <x v="0"/>
    <x v="1"/>
  </r>
  <r>
    <x v="49"/>
    <x v="0"/>
    <x v="0"/>
    <x v="0"/>
  </r>
  <r>
    <x v="50"/>
    <x v="0"/>
    <x v="0"/>
    <x v="0"/>
  </r>
  <r>
    <x v="50"/>
    <x v="0"/>
    <x v="0"/>
    <x v="0"/>
  </r>
  <r>
    <x v="51"/>
    <x v="0"/>
    <x v="0"/>
    <x v="0"/>
  </r>
  <r>
    <x v="52"/>
    <x v="0"/>
    <x v="0"/>
    <x v="1"/>
  </r>
  <r>
    <x v="53"/>
    <x v="0"/>
    <x v="0"/>
    <x v="0"/>
  </r>
  <r>
    <x v="41"/>
    <x v="1"/>
    <x v="1"/>
    <x v="3"/>
  </r>
  <r>
    <x v="54"/>
    <x v="0"/>
    <x v="0"/>
    <x v="1"/>
  </r>
  <r>
    <x v="55"/>
    <x v="0"/>
    <x v="0"/>
    <x v="0"/>
  </r>
  <r>
    <x v="55"/>
    <x v="0"/>
    <x v="0"/>
    <x v="0"/>
  </r>
  <r>
    <x v="56"/>
    <x v="0"/>
    <x v="0"/>
    <x v="5"/>
  </r>
  <r>
    <x v="56"/>
    <x v="0"/>
    <x v="0"/>
    <x v="0"/>
  </r>
  <r>
    <x v="57"/>
    <x v="0"/>
    <x v="0"/>
    <x v="1"/>
  </r>
  <r>
    <x v="58"/>
    <x v="1"/>
    <x v="1"/>
    <x v="1"/>
  </r>
  <r>
    <x v="59"/>
    <x v="0"/>
    <x v="0"/>
    <x v="1"/>
  </r>
  <r>
    <x v="59"/>
    <x v="0"/>
    <x v="0"/>
    <x v="1"/>
  </r>
  <r>
    <x v="60"/>
    <x v="0"/>
    <x v="0"/>
    <x v="1"/>
  </r>
  <r>
    <x v="61"/>
    <x v="0"/>
    <x v="0"/>
    <x v="0"/>
  </r>
  <r>
    <x v="61"/>
    <x v="0"/>
    <x v="0"/>
    <x v="0"/>
  </r>
  <r>
    <x v="62"/>
    <x v="0"/>
    <x v="0"/>
    <x v="0"/>
  </r>
  <r>
    <x v="63"/>
    <x v="0"/>
    <x v="0"/>
    <x v="1"/>
  </r>
  <r>
    <x v="64"/>
    <x v="0"/>
    <x v="0"/>
    <x v="0"/>
  </r>
  <r>
    <x v="65"/>
    <x v="0"/>
    <x v="0"/>
    <x v="3"/>
  </r>
  <r>
    <x v="66"/>
    <x v="0"/>
    <x v="0"/>
    <x v="1"/>
  </r>
  <r>
    <x v="67"/>
    <x v="0"/>
    <x v="1"/>
    <x v="0"/>
  </r>
  <r>
    <x v="68"/>
    <x v="0"/>
    <x v="2"/>
    <x v="0"/>
  </r>
  <r>
    <x v="29"/>
    <x v="1"/>
    <x v="1"/>
    <x v="0"/>
  </r>
  <r>
    <x v="29"/>
    <x v="0"/>
    <x v="1"/>
    <x v="0"/>
  </r>
  <r>
    <x v="69"/>
    <x v="0"/>
    <x v="0"/>
    <x v="0"/>
  </r>
  <r>
    <x v="70"/>
    <x v="0"/>
    <x v="0"/>
    <x v="0"/>
  </r>
  <r>
    <x v="70"/>
    <x v="0"/>
    <x v="0"/>
    <x v="0"/>
  </r>
  <r>
    <x v="58"/>
    <x v="0"/>
    <x v="0"/>
    <x v="0"/>
  </r>
  <r>
    <x v="58"/>
    <x v="0"/>
    <x v="0"/>
    <x v="0"/>
  </r>
  <r>
    <x v="71"/>
    <x v="0"/>
    <x v="0"/>
    <x v="0"/>
  </r>
  <r>
    <x v="72"/>
    <x v="0"/>
    <x v="0"/>
    <x v="1"/>
  </r>
  <r>
    <x v="73"/>
    <x v="1"/>
    <x v="1"/>
    <x v="1"/>
  </r>
  <r>
    <x v="73"/>
    <x v="0"/>
    <x v="1"/>
    <x v="0"/>
  </r>
  <r>
    <x v="74"/>
    <x v="0"/>
    <x v="0"/>
    <x v="0"/>
  </r>
  <r>
    <x v="75"/>
    <x v="0"/>
    <x v="0"/>
    <x v="0"/>
  </r>
  <r>
    <x v="75"/>
    <x v="0"/>
    <x v="0"/>
    <x v="0"/>
  </r>
  <r>
    <x v="76"/>
    <x v="0"/>
    <x v="0"/>
    <x v="0"/>
  </r>
  <r>
    <x v="77"/>
    <x v="0"/>
    <x v="0"/>
    <x v="1"/>
  </r>
  <r>
    <x v="32"/>
    <x v="0"/>
    <x v="1"/>
    <x v="0"/>
  </r>
  <r>
    <x v="54"/>
    <x v="0"/>
    <x v="1"/>
    <x v="1"/>
  </r>
  <r>
    <x v="54"/>
    <x v="0"/>
    <x v="1"/>
    <x v="1"/>
  </r>
  <r>
    <x v="20"/>
    <x v="0"/>
    <x v="0"/>
    <x v="0"/>
  </r>
  <r>
    <x v="78"/>
    <x v="0"/>
    <x v="0"/>
    <x v="0"/>
  </r>
  <r>
    <x v="79"/>
    <x v="0"/>
    <x v="0"/>
    <x v="1"/>
  </r>
  <r>
    <x v="79"/>
    <x v="0"/>
    <x v="0"/>
    <x v="2"/>
  </r>
  <r>
    <x v="80"/>
    <x v="0"/>
    <x v="0"/>
    <x v="1"/>
  </r>
  <r>
    <x v="81"/>
    <x v="0"/>
    <x v="0"/>
    <x v="1"/>
  </r>
  <r>
    <x v="82"/>
    <x v="0"/>
    <x v="0"/>
    <x v="2"/>
  </r>
  <r>
    <x v="83"/>
    <x v="0"/>
    <x v="0"/>
    <x v="0"/>
  </r>
  <r>
    <x v="84"/>
    <x v="0"/>
    <x v="0"/>
    <x v="2"/>
  </r>
  <r>
    <x v="85"/>
    <x v="0"/>
    <x v="0"/>
    <x v="1"/>
  </r>
  <r>
    <x v="86"/>
    <x v="0"/>
    <x v="0"/>
    <x v="2"/>
  </r>
  <r>
    <x v="87"/>
    <x v="0"/>
    <x v="1"/>
    <x v="0"/>
  </r>
  <r>
    <x v="88"/>
    <x v="0"/>
    <x v="0"/>
    <x v="0"/>
  </r>
  <r>
    <x v="89"/>
    <x v="0"/>
    <x v="0"/>
    <x v="0"/>
  </r>
  <r>
    <x v="89"/>
    <x v="0"/>
    <x v="0"/>
    <x v="5"/>
  </r>
  <r>
    <x v="90"/>
    <x v="0"/>
    <x v="0"/>
    <x v="3"/>
  </r>
  <r>
    <x v="90"/>
    <x v="0"/>
    <x v="0"/>
    <x v="5"/>
  </r>
  <r>
    <x v="91"/>
    <x v="0"/>
    <x v="0"/>
    <x v="1"/>
  </r>
  <r>
    <x v="92"/>
    <x v="0"/>
    <x v="0"/>
    <x v="3"/>
  </r>
  <r>
    <x v="93"/>
    <x v="0"/>
    <x v="0"/>
    <x v="0"/>
  </r>
  <r>
    <x v="94"/>
    <x v="0"/>
    <x v="0"/>
    <x v="0"/>
  </r>
  <r>
    <x v="5"/>
    <x v="1"/>
    <x v="1"/>
    <x v="3"/>
  </r>
  <r>
    <x v="95"/>
    <x v="0"/>
    <x v="0"/>
    <x v="0"/>
  </r>
  <r>
    <x v="95"/>
    <x v="0"/>
    <x v="0"/>
    <x v="0"/>
  </r>
  <r>
    <x v="96"/>
    <x v="0"/>
    <x v="0"/>
    <x v="6"/>
  </r>
  <r>
    <x v="96"/>
    <x v="0"/>
    <x v="0"/>
    <x v="0"/>
  </r>
  <r>
    <x v="97"/>
    <x v="0"/>
    <x v="0"/>
    <x v="0"/>
  </r>
  <r>
    <x v="98"/>
    <x v="0"/>
    <x v="0"/>
    <x v="0"/>
  </r>
  <r>
    <x v="99"/>
    <x v="0"/>
    <x v="0"/>
    <x v="0"/>
  </r>
  <r>
    <x v="100"/>
    <x v="0"/>
    <x v="0"/>
    <x v="0"/>
  </r>
  <r>
    <x v="101"/>
    <x v="0"/>
    <x v="0"/>
    <x v="0"/>
  </r>
  <r>
    <x v="101"/>
    <x v="0"/>
    <x v="0"/>
    <x v="1"/>
  </r>
  <r>
    <x v="102"/>
    <x v="0"/>
    <x v="0"/>
    <x v="0"/>
  </r>
  <r>
    <x v="102"/>
    <x v="0"/>
    <x v="0"/>
    <x v="0"/>
  </r>
  <r>
    <x v="103"/>
    <x v="0"/>
    <x v="0"/>
    <x v="1"/>
  </r>
  <r>
    <x v="104"/>
    <x v="0"/>
    <x v="0"/>
    <x v="2"/>
  </r>
  <r>
    <x v="104"/>
    <x v="0"/>
    <x v="0"/>
    <x v="3"/>
  </r>
  <r>
    <x v="73"/>
    <x v="0"/>
    <x v="0"/>
    <x v="1"/>
  </r>
  <r>
    <x v="73"/>
    <x v="0"/>
    <x v="0"/>
    <x v="1"/>
  </r>
  <r>
    <x v="105"/>
    <x v="0"/>
    <x v="0"/>
    <x v="1"/>
  </r>
  <r>
    <x v="106"/>
    <x v="0"/>
    <x v="0"/>
    <x v="0"/>
  </r>
  <r>
    <x v="107"/>
    <x v="0"/>
    <x v="0"/>
    <x v="3"/>
  </r>
  <r>
    <x v="108"/>
    <x v="0"/>
    <x v="0"/>
    <x v="0"/>
  </r>
  <r>
    <x v="109"/>
    <x v="0"/>
    <x v="0"/>
    <x v="0"/>
  </r>
  <r>
    <x v="109"/>
    <x v="0"/>
    <x v="0"/>
    <x v="2"/>
  </r>
  <r>
    <x v="110"/>
    <x v="0"/>
    <x v="0"/>
    <x v="0"/>
  </r>
  <r>
    <x v="111"/>
    <x v="0"/>
    <x v="0"/>
    <x v="0"/>
  </r>
  <r>
    <x v="111"/>
    <x v="0"/>
    <x v="0"/>
    <x v="0"/>
  </r>
  <r>
    <x v="112"/>
    <x v="0"/>
    <x v="0"/>
    <x v="0"/>
  </r>
  <r>
    <x v="113"/>
    <x v="0"/>
    <x v="0"/>
    <x v="3"/>
  </r>
  <r>
    <x v="114"/>
    <x v="0"/>
    <x v="0"/>
    <x v="1"/>
  </r>
  <r>
    <x v="115"/>
    <x v="0"/>
    <x v="2"/>
    <x v="1"/>
  </r>
  <r>
    <x v="67"/>
    <x v="0"/>
    <x v="0"/>
    <x v="0"/>
  </r>
  <r>
    <x v="116"/>
    <x v="0"/>
    <x v="0"/>
    <x v="3"/>
  </r>
  <r>
    <x v="117"/>
    <x v="0"/>
    <x v="0"/>
    <x v="0"/>
  </r>
  <r>
    <x v="118"/>
    <x v="0"/>
    <x v="0"/>
    <x v="1"/>
  </r>
  <r>
    <x v="119"/>
    <x v="0"/>
    <x v="0"/>
    <x v="1"/>
  </r>
  <r>
    <x v="120"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1"/>
  </r>
  <r>
    <x v="1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3"/>
    <x v="0"/>
    <x v="0"/>
    <n v="3"/>
  </r>
  <r>
    <x v="4"/>
    <x v="0"/>
    <x v="0"/>
    <n v="1"/>
  </r>
  <r>
    <x v="4"/>
    <x v="0"/>
    <x v="0"/>
    <n v="4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2"/>
  </r>
  <r>
    <x v="9"/>
    <x v="0"/>
    <x v="0"/>
    <n v="5"/>
  </r>
  <r>
    <x v="9"/>
    <x v="0"/>
    <x v="0"/>
    <n v="2"/>
  </r>
  <r>
    <x v="10"/>
    <x v="0"/>
    <x v="0"/>
    <n v="2"/>
  </r>
  <r>
    <x v="11"/>
    <x v="0"/>
    <x v="0"/>
    <n v="1"/>
  </r>
  <r>
    <x v="12"/>
    <x v="0"/>
    <x v="0"/>
    <n v="2"/>
  </r>
  <r>
    <x v="13"/>
    <x v="0"/>
    <x v="0"/>
    <n v="1"/>
  </r>
  <r>
    <x v="14"/>
    <x v="0"/>
    <x v="0"/>
    <n v="1"/>
  </r>
  <r>
    <x v="15"/>
    <x v="0"/>
    <x v="0"/>
    <n v="2"/>
  </r>
  <r>
    <x v="16"/>
    <x v="0"/>
    <x v="0"/>
    <n v="1"/>
  </r>
  <r>
    <x v="17"/>
    <x v="0"/>
    <x v="0"/>
    <n v="1"/>
  </r>
  <r>
    <x v="18"/>
    <x v="1"/>
    <x v="1"/>
    <n v="1"/>
  </r>
  <r>
    <x v="19"/>
    <x v="0"/>
    <x v="0"/>
    <n v="1"/>
  </r>
  <r>
    <x v="20"/>
    <x v="0"/>
    <x v="0"/>
    <n v="3"/>
  </r>
  <r>
    <x v="20"/>
    <x v="0"/>
    <x v="0"/>
    <n v="1"/>
  </r>
  <r>
    <x v="21"/>
    <x v="0"/>
    <x v="0"/>
    <n v="2"/>
  </r>
  <r>
    <x v="22"/>
    <x v="0"/>
    <x v="0"/>
    <n v="1"/>
  </r>
  <r>
    <x v="23"/>
    <x v="0"/>
    <x v="0"/>
    <n v="3"/>
  </r>
  <r>
    <x v="23"/>
    <x v="0"/>
    <x v="0"/>
    <n v="2"/>
  </r>
  <r>
    <x v="24"/>
    <x v="0"/>
    <x v="0"/>
    <n v="1"/>
  </r>
  <r>
    <x v="24"/>
    <x v="0"/>
    <x v="0"/>
    <n v="1"/>
  </r>
  <r>
    <x v="25"/>
    <x v="0"/>
    <x v="1"/>
    <n v="2"/>
  </r>
  <r>
    <x v="25"/>
    <x v="0"/>
    <x v="1"/>
    <n v="2"/>
  </r>
  <r>
    <x v="26"/>
    <x v="0"/>
    <x v="0"/>
    <n v="1"/>
  </r>
  <r>
    <x v="27"/>
    <x v="0"/>
    <x v="0"/>
    <n v="1"/>
  </r>
  <r>
    <x v="28"/>
    <x v="0"/>
    <x v="0"/>
    <n v="1"/>
  </r>
  <r>
    <x v="28"/>
    <x v="0"/>
    <x v="0"/>
    <n v="1"/>
  </r>
  <r>
    <x v="29"/>
    <x v="0"/>
    <x v="0"/>
    <n v="2"/>
  </r>
  <r>
    <x v="30"/>
    <x v="0"/>
    <x v="0"/>
    <n v="2"/>
  </r>
  <r>
    <x v="25"/>
    <x v="0"/>
    <x v="0"/>
    <n v="3"/>
  </r>
  <r>
    <x v="25"/>
    <x v="0"/>
    <x v="0"/>
    <n v="2"/>
  </r>
  <r>
    <x v="31"/>
    <x v="0"/>
    <x v="0"/>
    <n v="1"/>
  </r>
  <r>
    <x v="32"/>
    <x v="0"/>
    <x v="0"/>
    <n v="3"/>
  </r>
  <r>
    <x v="32"/>
    <x v="0"/>
    <x v="0"/>
    <n v="2"/>
  </r>
  <r>
    <x v="33"/>
    <x v="0"/>
    <x v="2"/>
    <n v="2"/>
  </r>
  <r>
    <x v="34"/>
    <x v="0"/>
    <x v="0"/>
    <n v="3"/>
  </r>
  <r>
    <x v="34"/>
    <x v="0"/>
    <x v="0"/>
    <n v="1"/>
  </r>
  <r>
    <x v="35"/>
    <x v="0"/>
    <x v="0"/>
    <n v="1"/>
  </r>
  <r>
    <x v="35"/>
    <x v="0"/>
    <x v="0"/>
    <n v="2"/>
  </r>
  <r>
    <x v="36"/>
    <x v="0"/>
    <x v="0"/>
    <n v="1"/>
  </r>
  <r>
    <x v="37"/>
    <x v="0"/>
    <x v="0"/>
    <n v="1"/>
  </r>
  <r>
    <x v="38"/>
    <x v="0"/>
    <x v="0"/>
    <n v="5"/>
  </r>
  <r>
    <x v="38"/>
    <x v="0"/>
    <x v="0"/>
    <n v="2"/>
  </r>
  <r>
    <x v="39"/>
    <x v="0"/>
    <x v="0"/>
    <n v="1"/>
  </r>
  <r>
    <x v="40"/>
    <x v="0"/>
    <x v="0"/>
    <n v="1"/>
  </r>
  <r>
    <x v="40"/>
    <x v="0"/>
    <x v="0"/>
    <n v="2"/>
  </r>
  <r>
    <x v="32"/>
    <x v="1"/>
    <x v="1"/>
    <n v="4"/>
  </r>
  <r>
    <x v="41"/>
    <x v="0"/>
    <x v="0"/>
    <n v="1"/>
  </r>
  <r>
    <x v="42"/>
    <x v="0"/>
    <x v="0"/>
    <n v="1"/>
  </r>
  <r>
    <x v="43"/>
    <x v="0"/>
    <x v="0"/>
    <n v="1"/>
  </r>
  <r>
    <x v="43"/>
    <x v="0"/>
    <x v="0"/>
    <n v="1"/>
  </r>
  <r>
    <x v="44"/>
    <x v="0"/>
    <x v="0"/>
    <n v="1"/>
  </r>
  <r>
    <x v="45"/>
    <x v="0"/>
    <x v="0"/>
    <n v="2"/>
  </r>
  <r>
    <x v="46"/>
    <x v="0"/>
    <x v="0"/>
    <n v="1"/>
  </r>
  <r>
    <x v="46"/>
    <x v="0"/>
    <x v="0"/>
    <n v="1"/>
  </r>
  <r>
    <x v="47"/>
    <x v="1"/>
    <x v="1"/>
    <n v="2"/>
  </r>
  <r>
    <x v="48"/>
    <x v="0"/>
    <x v="0"/>
    <n v="1"/>
  </r>
  <r>
    <x v="49"/>
    <x v="0"/>
    <x v="0"/>
    <n v="6"/>
  </r>
  <r>
    <x v="49"/>
    <x v="0"/>
    <x v="0"/>
    <n v="1"/>
  </r>
  <r>
    <x v="50"/>
    <x v="0"/>
    <x v="0"/>
    <n v="2"/>
  </r>
  <r>
    <x v="51"/>
    <x v="1"/>
    <x v="1"/>
    <n v="4"/>
  </r>
  <r>
    <x v="51"/>
    <x v="1"/>
    <x v="1"/>
    <n v="2"/>
  </r>
  <r>
    <x v="51"/>
    <x v="0"/>
    <x v="1"/>
    <n v="1"/>
  </r>
  <r>
    <x v="52"/>
    <x v="0"/>
    <x v="0"/>
    <n v="2"/>
  </r>
  <r>
    <x v="52"/>
    <x v="0"/>
    <x v="0"/>
    <n v="5"/>
  </r>
  <r>
    <x v="53"/>
    <x v="0"/>
    <x v="0"/>
    <n v="1"/>
  </r>
  <r>
    <x v="54"/>
    <x v="0"/>
    <x v="0"/>
    <n v="1"/>
  </r>
  <r>
    <x v="54"/>
    <x v="0"/>
    <x v="0"/>
    <n v="1"/>
  </r>
  <r>
    <x v="55"/>
    <x v="0"/>
    <x v="0"/>
    <n v="1"/>
  </r>
  <r>
    <x v="56"/>
    <x v="0"/>
    <x v="0"/>
    <n v="5"/>
  </r>
  <r>
    <x v="57"/>
    <x v="0"/>
    <x v="0"/>
    <n v="1"/>
  </r>
  <r>
    <x v="57"/>
    <x v="0"/>
    <x v="0"/>
    <n v="1"/>
  </r>
  <r>
    <x v="15"/>
    <x v="0"/>
    <x v="1"/>
    <n v="8"/>
  </r>
  <r>
    <x v="15"/>
    <x v="0"/>
    <x v="1"/>
    <n v="8"/>
  </r>
  <r>
    <x v="58"/>
    <x v="0"/>
    <x v="0"/>
    <n v="4"/>
  </r>
  <r>
    <x v="18"/>
    <x v="0"/>
    <x v="0"/>
    <n v="2"/>
  </r>
  <r>
    <x v="59"/>
    <x v="0"/>
    <x v="2"/>
    <n v="1"/>
  </r>
  <r>
    <x v="24"/>
    <x v="0"/>
    <x v="1"/>
    <n v="1"/>
  </r>
  <r>
    <x v="41"/>
    <x v="1"/>
    <x v="1"/>
    <n v="1"/>
  </r>
  <r>
    <x v="60"/>
    <x v="0"/>
    <x v="0"/>
    <n v="1"/>
  </r>
  <r>
    <x v="60"/>
    <x v="0"/>
    <x v="0"/>
    <n v="1"/>
  </r>
  <r>
    <x v="61"/>
    <x v="0"/>
    <x v="0"/>
    <n v="1"/>
  </r>
  <r>
    <x v="62"/>
    <x v="0"/>
    <x v="0"/>
    <n v="1"/>
  </r>
  <r>
    <x v="63"/>
    <x v="0"/>
    <x v="0"/>
    <n v="2"/>
  </r>
  <r>
    <x v="64"/>
    <x v="1"/>
    <x v="1"/>
    <n v="2"/>
  </r>
  <r>
    <x v="64"/>
    <x v="0"/>
    <x v="1"/>
    <n v="1"/>
  </r>
  <r>
    <x v="65"/>
    <x v="0"/>
    <x v="0"/>
    <n v="1"/>
  </r>
  <r>
    <x v="66"/>
    <x v="0"/>
    <x v="0"/>
    <n v="1"/>
  </r>
  <r>
    <x v="66"/>
    <x v="0"/>
    <x v="0"/>
    <n v="1"/>
  </r>
  <r>
    <x v="67"/>
    <x v="0"/>
    <x v="0"/>
    <n v="1"/>
  </r>
  <r>
    <x v="68"/>
    <x v="0"/>
    <x v="0"/>
    <n v="2"/>
  </r>
  <r>
    <x v="27"/>
    <x v="0"/>
    <x v="1"/>
    <n v="1"/>
  </r>
  <r>
    <x v="69"/>
    <x v="0"/>
    <x v="1"/>
    <n v="2"/>
  </r>
  <r>
    <x v="69"/>
    <x v="0"/>
    <x v="1"/>
    <n v="2"/>
  </r>
  <r>
    <x v="70"/>
    <x v="0"/>
    <x v="0"/>
    <n v="2"/>
  </r>
  <r>
    <x v="70"/>
    <x v="0"/>
    <x v="0"/>
    <n v="1"/>
  </r>
  <r>
    <x v="71"/>
    <x v="0"/>
    <x v="0"/>
    <n v="1"/>
  </r>
  <r>
    <x v="72"/>
    <x v="0"/>
    <x v="0"/>
    <n v="2"/>
  </r>
  <r>
    <x v="72"/>
    <x v="0"/>
    <x v="0"/>
    <n v="2"/>
  </r>
  <r>
    <x v="47"/>
    <x v="0"/>
    <x v="0"/>
    <n v="2"/>
  </r>
  <r>
    <x v="73"/>
    <x v="0"/>
    <x v="0"/>
    <n v="2"/>
  </r>
  <r>
    <x v="74"/>
    <x v="0"/>
    <x v="0"/>
    <n v="2"/>
  </r>
  <r>
    <x v="75"/>
    <x v="0"/>
    <x v="0"/>
    <n v="1"/>
  </r>
  <r>
    <x v="75"/>
    <x v="0"/>
    <x v="0"/>
    <n v="1"/>
  </r>
  <r>
    <x v="76"/>
    <x v="0"/>
    <x v="0"/>
    <n v="3"/>
  </r>
  <r>
    <x v="77"/>
    <x v="0"/>
    <x v="0"/>
    <n v="4"/>
  </r>
  <r>
    <x v="39"/>
    <x v="1"/>
    <x v="1"/>
    <n v="2"/>
  </r>
  <r>
    <x v="78"/>
    <x v="0"/>
    <x v="0"/>
    <n v="3"/>
  </r>
  <r>
    <x v="79"/>
    <x v="0"/>
    <x v="1"/>
    <n v="1"/>
  </r>
  <r>
    <x v="80"/>
    <x v="0"/>
    <x v="0"/>
    <n v="1"/>
  </r>
  <r>
    <x v="81"/>
    <x v="0"/>
    <x v="0"/>
    <n v="1"/>
  </r>
  <r>
    <x v="81"/>
    <x v="0"/>
    <x v="0"/>
    <n v="4"/>
  </r>
  <r>
    <x v="82"/>
    <x v="0"/>
    <x v="0"/>
    <n v="4"/>
  </r>
  <r>
    <x v="82"/>
    <x v="0"/>
    <x v="0"/>
    <n v="6"/>
  </r>
  <r>
    <x v="83"/>
    <x v="0"/>
    <x v="0"/>
    <n v="2"/>
  </r>
  <r>
    <x v="84"/>
    <x v="0"/>
    <x v="0"/>
    <n v="4"/>
  </r>
  <r>
    <x v="85"/>
    <x v="0"/>
    <x v="0"/>
    <n v="1"/>
  </r>
  <r>
    <x v="85"/>
    <x v="0"/>
    <x v="0"/>
    <n v="1"/>
  </r>
  <r>
    <x v="86"/>
    <x v="0"/>
    <x v="0"/>
    <n v="1"/>
  </r>
  <r>
    <x v="87"/>
    <x v="0"/>
    <x v="0"/>
    <n v="1"/>
  </r>
  <r>
    <x v="87"/>
    <x v="0"/>
    <x v="0"/>
    <n v="1"/>
  </r>
  <r>
    <x v="88"/>
    <x v="0"/>
    <x v="0"/>
    <n v="7"/>
  </r>
  <r>
    <x v="88"/>
    <x v="0"/>
    <x v="0"/>
    <n v="1"/>
  </r>
  <r>
    <x v="89"/>
    <x v="0"/>
    <x v="0"/>
    <n v="1"/>
  </r>
  <r>
    <x v="90"/>
    <x v="0"/>
    <x v="0"/>
    <n v="1"/>
  </r>
  <r>
    <x v="91"/>
    <x v="0"/>
    <x v="0"/>
    <n v="1"/>
  </r>
  <r>
    <x v="92"/>
    <x v="0"/>
    <x v="0"/>
    <n v="1"/>
  </r>
  <r>
    <x v="92"/>
    <x v="0"/>
    <x v="0"/>
    <n v="2"/>
  </r>
  <r>
    <x v="93"/>
    <x v="0"/>
    <x v="0"/>
    <n v="1"/>
  </r>
  <r>
    <x v="93"/>
    <x v="0"/>
    <x v="0"/>
    <n v="2"/>
  </r>
  <r>
    <x v="94"/>
    <x v="0"/>
    <x v="0"/>
    <n v="2"/>
  </r>
  <r>
    <x v="94"/>
    <x v="0"/>
    <x v="0"/>
    <n v="2"/>
  </r>
  <r>
    <x v="95"/>
    <x v="0"/>
    <x v="0"/>
    <n v="3"/>
  </r>
  <r>
    <x v="95"/>
    <x v="0"/>
    <x v="0"/>
    <n v="3"/>
  </r>
  <r>
    <x v="64"/>
    <x v="0"/>
    <x v="0"/>
    <n v="4"/>
  </r>
  <r>
    <x v="64"/>
    <x v="0"/>
    <x v="0"/>
    <n v="4"/>
  </r>
  <r>
    <x v="96"/>
    <x v="0"/>
    <x v="0"/>
    <n v="2"/>
  </r>
  <r>
    <x v="97"/>
    <x v="0"/>
    <x v="0"/>
    <n v="1"/>
  </r>
  <r>
    <x v="97"/>
    <x v="0"/>
    <x v="0"/>
    <n v="1"/>
  </r>
  <r>
    <x v="98"/>
    <x v="0"/>
    <x v="0"/>
    <n v="3"/>
  </r>
  <r>
    <x v="99"/>
    <x v="0"/>
    <x v="0"/>
    <n v="1"/>
  </r>
  <r>
    <x v="100"/>
    <x v="0"/>
    <x v="0"/>
    <n v="1"/>
  </r>
  <r>
    <x v="100"/>
    <x v="0"/>
    <x v="0"/>
    <n v="1"/>
  </r>
  <r>
    <x v="101"/>
    <x v="0"/>
    <x v="0"/>
    <n v="1"/>
  </r>
  <r>
    <x v="102"/>
    <x v="0"/>
    <x v="0"/>
    <n v="1"/>
  </r>
  <r>
    <x v="103"/>
    <x v="0"/>
    <x v="0"/>
    <n v="4"/>
  </r>
  <r>
    <x v="104"/>
    <x v="0"/>
    <x v="0"/>
    <n v="2"/>
  </r>
  <r>
    <x v="52"/>
    <x v="0"/>
    <x v="1"/>
    <n v="2"/>
  </r>
  <r>
    <x v="52"/>
    <x v="0"/>
    <x v="1"/>
    <n v="2"/>
  </r>
  <r>
    <x v="105"/>
    <x v="0"/>
    <x v="2"/>
    <n v="2"/>
  </r>
  <r>
    <x v="106"/>
    <x v="0"/>
    <x v="0"/>
    <n v="1"/>
  </r>
  <r>
    <x v="107"/>
    <x v="0"/>
    <x v="0"/>
    <n v="4"/>
  </r>
  <r>
    <x v="108"/>
    <x v="0"/>
    <x v="0"/>
    <n v="1"/>
  </r>
  <r>
    <x v="109"/>
    <x v="0"/>
    <x v="0"/>
    <n v="2"/>
  </r>
  <r>
    <x v="110"/>
    <x v="0"/>
    <x v="0"/>
    <n v="2"/>
  </r>
  <r>
    <x v="111"/>
    <x v="0"/>
    <x v="0"/>
    <n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4"/>
    <x v="0"/>
    <x v="0"/>
    <n v="1"/>
  </r>
  <r>
    <x v="4"/>
    <x v="0"/>
    <x v="0"/>
    <n v="5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2"/>
  </r>
  <r>
    <x v="8"/>
    <x v="0"/>
    <x v="0"/>
    <n v="1"/>
  </r>
  <r>
    <x v="9"/>
    <x v="0"/>
    <x v="0"/>
    <n v="1"/>
  </r>
  <r>
    <x v="10"/>
    <x v="0"/>
    <x v="0"/>
    <n v="1"/>
  </r>
  <r>
    <x v="10"/>
    <x v="0"/>
    <x v="0"/>
    <n v="1"/>
  </r>
  <r>
    <x v="11"/>
    <x v="0"/>
    <x v="0"/>
    <n v="2"/>
  </r>
  <r>
    <x v="12"/>
    <x v="0"/>
    <x v="0"/>
    <n v="1"/>
  </r>
  <r>
    <x v="12"/>
    <x v="0"/>
    <x v="0"/>
    <n v="2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1"/>
  </r>
  <r>
    <x v="17"/>
    <x v="0"/>
    <x v="0"/>
    <n v="1"/>
  </r>
  <r>
    <x v="18"/>
    <x v="0"/>
    <x v="0"/>
    <n v="3"/>
  </r>
  <r>
    <x v="19"/>
    <x v="0"/>
    <x v="0"/>
    <n v="3"/>
  </r>
  <r>
    <x v="20"/>
    <x v="0"/>
    <x v="0"/>
    <n v="1"/>
  </r>
  <r>
    <x v="20"/>
    <x v="0"/>
    <x v="0"/>
    <n v="1"/>
  </r>
  <r>
    <x v="21"/>
    <x v="0"/>
    <x v="0"/>
    <n v="1"/>
  </r>
  <r>
    <x v="22"/>
    <x v="0"/>
    <x v="0"/>
    <n v="1"/>
  </r>
  <r>
    <x v="23"/>
    <x v="0"/>
    <x v="0"/>
    <n v="2"/>
  </r>
  <r>
    <x v="24"/>
    <x v="0"/>
    <x v="0"/>
    <n v="2"/>
  </r>
  <r>
    <x v="25"/>
    <x v="0"/>
    <x v="0"/>
    <n v="4"/>
  </r>
  <r>
    <x v="25"/>
    <x v="0"/>
    <x v="0"/>
    <n v="2"/>
  </r>
  <r>
    <x v="26"/>
    <x v="0"/>
    <x v="0"/>
    <n v="1"/>
  </r>
  <r>
    <x v="26"/>
    <x v="0"/>
    <x v="0"/>
    <n v="1"/>
  </r>
  <r>
    <x v="27"/>
    <x v="0"/>
    <x v="0"/>
    <n v="3"/>
  </r>
  <r>
    <x v="27"/>
    <x v="0"/>
    <x v="0"/>
    <n v="2"/>
  </r>
  <r>
    <x v="28"/>
    <x v="0"/>
    <x v="1"/>
    <n v="2"/>
  </r>
  <r>
    <x v="29"/>
    <x v="0"/>
    <x v="0"/>
    <n v="3"/>
  </r>
  <r>
    <x v="30"/>
    <x v="0"/>
    <x v="0"/>
    <n v="1"/>
  </r>
  <r>
    <x v="31"/>
    <x v="0"/>
    <x v="0"/>
    <n v="1"/>
  </r>
  <r>
    <x v="32"/>
    <x v="0"/>
    <x v="0"/>
    <n v="1"/>
  </r>
  <r>
    <x v="33"/>
    <x v="0"/>
    <x v="0"/>
    <n v="4"/>
  </r>
  <r>
    <x v="34"/>
    <x v="0"/>
    <x v="0"/>
    <n v="1"/>
  </r>
  <r>
    <x v="35"/>
    <x v="0"/>
    <x v="0"/>
    <n v="2"/>
  </r>
  <r>
    <x v="35"/>
    <x v="0"/>
    <x v="0"/>
    <n v="1"/>
  </r>
  <r>
    <x v="36"/>
    <x v="0"/>
    <x v="0"/>
    <n v="1"/>
  </r>
  <r>
    <x v="37"/>
    <x v="0"/>
    <x v="0"/>
    <n v="1"/>
  </r>
  <r>
    <x v="38"/>
    <x v="0"/>
    <x v="0"/>
    <n v="3"/>
  </r>
  <r>
    <x v="38"/>
    <x v="0"/>
    <x v="0"/>
    <n v="1"/>
  </r>
  <r>
    <x v="39"/>
    <x v="0"/>
    <x v="0"/>
    <n v="1"/>
  </r>
  <r>
    <x v="40"/>
    <x v="0"/>
    <x v="0"/>
    <n v="1"/>
  </r>
  <r>
    <x v="41"/>
    <x v="0"/>
    <x v="0"/>
    <n v="1"/>
  </r>
  <r>
    <x v="42"/>
    <x v="0"/>
    <x v="0"/>
    <n v="1"/>
  </r>
  <r>
    <x v="43"/>
    <x v="0"/>
    <x v="0"/>
    <n v="6"/>
  </r>
  <r>
    <x v="44"/>
    <x v="0"/>
    <x v="0"/>
    <n v="3"/>
  </r>
  <r>
    <x v="44"/>
    <x v="0"/>
    <x v="0"/>
    <n v="2"/>
  </r>
  <r>
    <x v="45"/>
    <x v="0"/>
    <x v="0"/>
    <n v="1"/>
  </r>
  <r>
    <x v="45"/>
    <x v="0"/>
    <x v="0"/>
    <n v="1"/>
  </r>
  <r>
    <x v="46"/>
    <x v="0"/>
    <x v="0"/>
    <n v="1"/>
  </r>
  <r>
    <x v="46"/>
    <x v="0"/>
    <x v="0"/>
    <n v="1"/>
  </r>
  <r>
    <x v="47"/>
    <x v="0"/>
    <x v="0"/>
    <n v="1"/>
  </r>
  <r>
    <x v="48"/>
    <x v="0"/>
    <x v="0"/>
    <n v="2"/>
  </r>
  <r>
    <x v="49"/>
    <x v="0"/>
    <x v="0"/>
    <n v="1"/>
  </r>
  <r>
    <x v="49"/>
    <x v="0"/>
    <x v="0"/>
    <n v="1"/>
  </r>
  <r>
    <x v="14"/>
    <x v="0"/>
    <x v="2"/>
    <n v="2"/>
  </r>
  <r>
    <x v="14"/>
    <x v="0"/>
    <x v="2"/>
    <n v="4"/>
  </r>
  <r>
    <x v="14"/>
    <x v="0"/>
    <x v="2"/>
    <n v="4"/>
  </r>
  <r>
    <x v="50"/>
    <x v="0"/>
    <x v="0"/>
    <n v="4"/>
  </r>
  <r>
    <x v="51"/>
    <x v="0"/>
    <x v="0"/>
    <n v="2"/>
  </r>
  <r>
    <x v="52"/>
    <x v="0"/>
    <x v="1"/>
    <n v="1"/>
  </r>
  <r>
    <x v="53"/>
    <x v="0"/>
    <x v="0"/>
    <n v="1"/>
  </r>
  <r>
    <x v="54"/>
    <x v="0"/>
    <x v="0"/>
    <n v="1"/>
  </r>
  <r>
    <x v="55"/>
    <x v="0"/>
    <x v="0"/>
    <n v="1"/>
  </r>
  <r>
    <x v="56"/>
    <x v="1"/>
    <x v="2"/>
    <n v="2"/>
  </r>
  <r>
    <x v="56"/>
    <x v="0"/>
    <x v="2"/>
    <n v="1"/>
  </r>
  <r>
    <x v="57"/>
    <x v="0"/>
    <x v="0"/>
    <n v="2"/>
  </r>
  <r>
    <x v="58"/>
    <x v="0"/>
    <x v="0"/>
    <n v="1"/>
  </r>
  <r>
    <x v="59"/>
    <x v="0"/>
    <x v="0"/>
    <n v="1"/>
  </r>
  <r>
    <x v="60"/>
    <x v="0"/>
    <x v="2"/>
    <n v="2"/>
  </r>
  <r>
    <x v="60"/>
    <x v="0"/>
    <x v="2"/>
    <n v="2"/>
  </r>
  <r>
    <x v="1"/>
    <x v="1"/>
    <x v="2"/>
    <n v="2"/>
  </r>
  <r>
    <x v="61"/>
    <x v="0"/>
    <x v="0"/>
    <n v="3"/>
  </r>
  <r>
    <x v="61"/>
    <x v="0"/>
    <x v="0"/>
    <n v="1"/>
  </r>
  <r>
    <x v="62"/>
    <x v="0"/>
    <x v="0"/>
    <n v="1"/>
  </r>
  <r>
    <x v="63"/>
    <x v="0"/>
    <x v="0"/>
    <n v="2"/>
  </r>
  <r>
    <x v="64"/>
    <x v="0"/>
    <x v="0"/>
    <n v="2"/>
  </r>
  <r>
    <x v="65"/>
    <x v="0"/>
    <x v="0"/>
    <n v="4"/>
  </r>
  <r>
    <x v="65"/>
    <x v="0"/>
    <x v="0"/>
    <n v="3"/>
  </r>
  <r>
    <x v="66"/>
    <x v="0"/>
    <x v="0"/>
    <n v="1"/>
  </r>
  <r>
    <x v="66"/>
    <x v="0"/>
    <x v="0"/>
    <n v="1"/>
  </r>
  <r>
    <x v="67"/>
    <x v="0"/>
    <x v="0"/>
    <n v="2"/>
  </r>
  <r>
    <x v="68"/>
    <x v="0"/>
    <x v="0"/>
    <n v="2"/>
  </r>
  <r>
    <x v="69"/>
    <x v="0"/>
    <x v="2"/>
    <n v="1"/>
  </r>
  <r>
    <x v="35"/>
    <x v="0"/>
    <x v="2"/>
    <n v="2"/>
  </r>
  <r>
    <x v="35"/>
    <x v="0"/>
    <x v="2"/>
    <n v="2"/>
  </r>
  <r>
    <x v="70"/>
    <x v="0"/>
    <x v="0"/>
    <n v="1"/>
  </r>
  <r>
    <x v="70"/>
    <x v="0"/>
    <x v="0"/>
    <n v="2"/>
  </r>
  <r>
    <x v="71"/>
    <x v="0"/>
    <x v="0"/>
    <n v="3"/>
  </r>
  <r>
    <x v="71"/>
    <x v="0"/>
    <x v="0"/>
    <n v="1"/>
  </r>
  <r>
    <x v="72"/>
    <x v="0"/>
    <x v="0"/>
    <n v="4"/>
  </r>
  <r>
    <x v="73"/>
    <x v="0"/>
    <x v="0"/>
    <n v="2"/>
  </r>
  <r>
    <x v="74"/>
    <x v="0"/>
    <x v="0"/>
    <n v="4"/>
  </r>
  <r>
    <x v="75"/>
    <x v="0"/>
    <x v="0"/>
    <n v="1"/>
  </r>
  <r>
    <x v="75"/>
    <x v="0"/>
    <x v="0"/>
    <n v="2"/>
  </r>
  <r>
    <x v="76"/>
    <x v="0"/>
    <x v="0"/>
    <n v="1"/>
  </r>
  <r>
    <x v="77"/>
    <x v="0"/>
    <x v="0"/>
    <n v="1"/>
  </r>
  <r>
    <x v="77"/>
    <x v="0"/>
    <x v="0"/>
    <n v="1"/>
  </r>
  <r>
    <x v="78"/>
    <x v="0"/>
    <x v="0"/>
    <n v="7"/>
  </r>
  <r>
    <x v="78"/>
    <x v="0"/>
    <x v="0"/>
    <n v="1"/>
  </r>
  <r>
    <x v="79"/>
    <x v="0"/>
    <x v="0"/>
    <n v="1"/>
  </r>
  <r>
    <x v="80"/>
    <x v="0"/>
    <x v="0"/>
    <n v="1"/>
  </r>
  <r>
    <x v="81"/>
    <x v="0"/>
    <x v="0"/>
    <n v="1"/>
  </r>
  <r>
    <x v="81"/>
    <x v="0"/>
    <x v="0"/>
    <n v="1"/>
  </r>
  <r>
    <x v="82"/>
    <x v="0"/>
    <x v="0"/>
    <n v="1"/>
  </r>
  <r>
    <x v="82"/>
    <x v="0"/>
    <x v="0"/>
    <n v="2"/>
  </r>
  <r>
    <x v="83"/>
    <x v="0"/>
    <x v="0"/>
    <n v="2"/>
  </r>
  <r>
    <x v="83"/>
    <x v="0"/>
    <x v="0"/>
    <n v="1"/>
  </r>
  <r>
    <x v="56"/>
    <x v="0"/>
    <x v="0"/>
    <n v="3"/>
  </r>
  <r>
    <x v="56"/>
    <x v="0"/>
    <x v="0"/>
    <n v="1"/>
  </r>
  <r>
    <x v="84"/>
    <x v="0"/>
    <x v="0"/>
    <n v="2"/>
  </r>
  <r>
    <x v="85"/>
    <x v="0"/>
    <x v="0"/>
    <n v="1"/>
  </r>
  <r>
    <x v="85"/>
    <x v="0"/>
    <x v="0"/>
    <n v="1"/>
  </r>
  <r>
    <x v="86"/>
    <x v="0"/>
    <x v="0"/>
    <n v="3"/>
  </r>
  <r>
    <x v="87"/>
    <x v="0"/>
    <x v="0"/>
    <n v="1"/>
  </r>
  <r>
    <x v="88"/>
    <x v="0"/>
    <x v="0"/>
    <n v="1"/>
  </r>
  <r>
    <x v="88"/>
    <x v="0"/>
    <x v="0"/>
    <n v="2"/>
  </r>
  <r>
    <x v="89"/>
    <x v="0"/>
    <x v="0"/>
    <n v="2"/>
  </r>
  <r>
    <x v="90"/>
    <x v="0"/>
    <x v="0"/>
    <n v="1"/>
  </r>
  <r>
    <x v="46"/>
    <x v="1"/>
    <x v="2"/>
    <n v="1"/>
  </r>
  <r>
    <x v="91"/>
    <x v="0"/>
    <x v="0"/>
    <n v="2"/>
  </r>
  <r>
    <x v="92"/>
    <x v="0"/>
    <x v="0"/>
    <n v="1"/>
  </r>
  <r>
    <x v="93"/>
    <x v="0"/>
    <x v="0"/>
    <n v="1"/>
  </r>
  <r>
    <x v="94"/>
    <x v="0"/>
    <x v="0"/>
    <n v="1"/>
  </r>
  <r>
    <x v="95"/>
    <x v="0"/>
    <x v="0"/>
    <n v="2"/>
  </r>
  <r>
    <x v="96"/>
    <x v="0"/>
    <x v="0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x v="0"/>
    <n v="1"/>
  </r>
  <r>
    <x v="0"/>
    <x v="0"/>
    <x v="0"/>
    <n v="3"/>
  </r>
  <r>
    <x v="1"/>
    <x v="0"/>
    <x v="0"/>
    <n v="1"/>
  </r>
  <r>
    <x v="1"/>
    <x v="0"/>
    <x v="0"/>
    <n v="2"/>
  </r>
  <r>
    <x v="2"/>
    <x v="0"/>
    <x v="0"/>
    <n v="1"/>
  </r>
  <r>
    <x v="3"/>
    <x v="0"/>
    <x v="0"/>
    <n v="1"/>
  </r>
  <r>
    <x v="4"/>
    <x v="0"/>
    <x v="0"/>
    <n v="1"/>
  </r>
  <r>
    <x v="5"/>
    <x v="0"/>
    <x v="0"/>
    <n v="1"/>
  </r>
  <r>
    <x v="5"/>
    <x v="0"/>
    <x v="0"/>
    <n v="3"/>
  </r>
  <r>
    <x v="6"/>
    <x v="0"/>
    <x v="0"/>
    <n v="1"/>
  </r>
  <r>
    <x v="7"/>
    <x v="0"/>
    <x v="0"/>
    <n v="2"/>
  </r>
  <r>
    <x v="8"/>
    <x v="0"/>
    <x v="0"/>
    <n v="2"/>
  </r>
  <r>
    <x v="9"/>
    <x v="0"/>
    <x v="0"/>
    <n v="1"/>
  </r>
  <r>
    <x v="10"/>
    <x v="0"/>
    <x v="0"/>
    <n v="2"/>
  </r>
  <r>
    <x v="11"/>
    <x v="0"/>
    <x v="0"/>
    <n v="1"/>
  </r>
  <r>
    <x v="11"/>
    <x v="0"/>
    <x v="0"/>
    <n v="2"/>
  </r>
  <r>
    <x v="12"/>
    <x v="0"/>
    <x v="0"/>
    <n v="1"/>
  </r>
  <r>
    <x v="13"/>
    <x v="0"/>
    <x v="0"/>
    <n v="2"/>
  </r>
  <r>
    <x v="13"/>
    <x v="0"/>
    <x v="0"/>
    <n v="1"/>
  </r>
  <r>
    <x v="14"/>
    <x v="0"/>
    <x v="0"/>
    <n v="2"/>
  </r>
  <r>
    <x v="15"/>
    <x v="0"/>
    <x v="0"/>
    <n v="1"/>
  </r>
  <r>
    <x v="16"/>
    <x v="0"/>
    <x v="0"/>
    <n v="1"/>
  </r>
  <r>
    <x v="17"/>
    <x v="0"/>
    <x v="0"/>
    <n v="3"/>
  </r>
  <r>
    <x v="18"/>
    <x v="0"/>
    <x v="0"/>
    <n v="3"/>
  </r>
  <r>
    <x v="19"/>
    <x v="0"/>
    <x v="0"/>
    <n v="1"/>
  </r>
  <r>
    <x v="19"/>
    <x v="0"/>
    <x v="0"/>
    <n v="1"/>
  </r>
  <r>
    <x v="20"/>
    <x v="0"/>
    <x v="0"/>
    <n v="1"/>
  </r>
  <r>
    <x v="20"/>
    <x v="0"/>
    <x v="0"/>
    <n v="1"/>
  </r>
  <r>
    <x v="21"/>
    <x v="0"/>
    <x v="0"/>
    <n v="1"/>
  </r>
  <r>
    <x v="21"/>
    <x v="0"/>
    <x v="0"/>
    <n v="1"/>
  </r>
  <r>
    <x v="22"/>
    <x v="0"/>
    <x v="0"/>
    <n v="2"/>
  </r>
  <r>
    <x v="23"/>
    <x v="0"/>
    <x v="0"/>
    <n v="4"/>
  </r>
  <r>
    <x v="23"/>
    <x v="0"/>
    <x v="0"/>
    <n v="2"/>
  </r>
  <r>
    <x v="24"/>
    <x v="0"/>
    <x v="0"/>
    <n v="1"/>
  </r>
  <r>
    <x v="24"/>
    <x v="0"/>
    <x v="0"/>
    <n v="2"/>
  </r>
  <r>
    <x v="25"/>
    <x v="0"/>
    <x v="0"/>
    <n v="3"/>
  </r>
  <r>
    <x v="25"/>
    <x v="0"/>
    <x v="0"/>
    <n v="2"/>
  </r>
  <r>
    <x v="26"/>
    <x v="0"/>
    <x v="1"/>
    <n v="2"/>
  </r>
  <r>
    <x v="27"/>
    <x v="0"/>
    <x v="0"/>
    <n v="1"/>
  </r>
  <r>
    <x v="28"/>
    <x v="0"/>
    <x v="0"/>
    <n v="1"/>
  </r>
  <r>
    <x v="29"/>
    <x v="0"/>
    <x v="0"/>
    <n v="1"/>
  </r>
  <r>
    <x v="30"/>
    <x v="0"/>
    <x v="0"/>
    <n v="1"/>
  </r>
  <r>
    <x v="31"/>
    <x v="0"/>
    <x v="0"/>
    <n v="1"/>
  </r>
  <r>
    <x v="31"/>
    <x v="0"/>
    <x v="0"/>
    <n v="2"/>
  </r>
  <r>
    <x v="32"/>
    <x v="0"/>
    <x v="0"/>
    <n v="1"/>
  </r>
  <r>
    <x v="32"/>
    <x v="0"/>
    <x v="0"/>
    <n v="2"/>
  </r>
  <r>
    <x v="25"/>
    <x v="1"/>
    <x v="2"/>
    <n v="5"/>
  </r>
  <r>
    <x v="33"/>
    <x v="0"/>
    <x v="0"/>
    <n v="1"/>
  </r>
  <r>
    <x v="34"/>
    <x v="0"/>
    <x v="0"/>
    <n v="2"/>
  </r>
  <r>
    <x v="34"/>
    <x v="0"/>
    <x v="0"/>
    <n v="3"/>
  </r>
  <r>
    <x v="35"/>
    <x v="0"/>
    <x v="0"/>
    <n v="1"/>
  </r>
  <r>
    <x v="36"/>
    <x v="0"/>
    <x v="0"/>
    <n v="1"/>
  </r>
  <r>
    <x v="37"/>
    <x v="1"/>
    <x v="2"/>
    <n v="2"/>
  </r>
  <r>
    <x v="38"/>
    <x v="0"/>
    <x v="0"/>
    <n v="3"/>
  </r>
  <r>
    <x v="39"/>
    <x v="0"/>
    <x v="0"/>
    <n v="6"/>
  </r>
  <r>
    <x v="39"/>
    <x v="0"/>
    <x v="0"/>
    <n v="2"/>
  </r>
  <r>
    <x v="40"/>
    <x v="0"/>
    <x v="0"/>
    <n v="1"/>
  </r>
  <r>
    <x v="41"/>
    <x v="0"/>
    <x v="0"/>
    <n v="1"/>
  </r>
  <r>
    <x v="41"/>
    <x v="0"/>
    <x v="0"/>
    <n v="1"/>
  </r>
  <r>
    <x v="42"/>
    <x v="0"/>
    <x v="0"/>
    <n v="1"/>
  </r>
  <r>
    <x v="43"/>
    <x v="0"/>
    <x v="0"/>
    <n v="2"/>
  </r>
  <r>
    <x v="44"/>
    <x v="0"/>
    <x v="0"/>
    <n v="1"/>
  </r>
  <r>
    <x v="44"/>
    <x v="0"/>
    <x v="0"/>
    <n v="1"/>
  </r>
  <r>
    <x v="13"/>
    <x v="0"/>
    <x v="2"/>
    <n v="2"/>
  </r>
  <r>
    <x v="13"/>
    <x v="0"/>
    <x v="2"/>
    <n v="4"/>
  </r>
  <r>
    <x v="13"/>
    <x v="0"/>
    <x v="2"/>
    <n v="4"/>
  </r>
  <r>
    <x v="45"/>
    <x v="0"/>
    <x v="0"/>
    <n v="3"/>
  </r>
  <r>
    <x v="46"/>
    <x v="0"/>
    <x v="1"/>
    <n v="1"/>
  </r>
  <r>
    <x v="47"/>
    <x v="0"/>
    <x v="0"/>
    <n v="1"/>
  </r>
  <r>
    <x v="48"/>
    <x v="0"/>
    <x v="0"/>
    <n v="1"/>
  </r>
  <r>
    <x v="49"/>
    <x v="0"/>
    <x v="0"/>
    <n v="1"/>
  </r>
  <r>
    <x v="50"/>
    <x v="0"/>
    <x v="0"/>
    <n v="2"/>
  </r>
  <r>
    <x v="51"/>
    <x v="0"/>
    <x v="0"/>
    <n v="1"/>
  </r>
  <r>
    <x v="52"/>
    <x v="0"/>
    <x v="0"/>
    <n v="1"/>
  </r>
  <r>
    <x v="53"/>
    <x v="0"/>
    <x v="2"/>
    <n v="2"/>
  </r>
  <r>
    <x v="53"/>
    <x v="0"/>
    <x v="2"/>
    <n v="2"/>
  </r>
  <r>
    <x v="54"/>
    <x v="0"/>
    <x v="0"/>
    <n v="2"/>
  </r>
  <r>
    <x v="55"/>
    <x v="1"/>
    <x v="2"/>
    <n v="1"/>
  </r>
  <r>
    <x v="56"/>
    <x v="0"/>
    <x v="0"/>
    <n v="1"/>
  </r>
  <r>
    <x v="57"/>
    <x v="0"/>
    <x v="0"/>
    <n v="2"/>
  </r>
  <r>
    <x v="37"/>
    <x v="0"/>
    <x v="0"/>
    <n v="1"/>
  </r>
  <r>
    <x v="58"/>
    <x v="0"/>
    <x v="0"/>
    <n v="3"/>
  </r>
  <r>
    <x v="58"/>
    <x v="0"/>
    <x v="0"/>
    <n v="4"/>
  </r>
  <r>
    <x v="59"/>
    <x v="0"/>
    <x v="0"/>
    <n v="1"/>
  </r>
  <r>
    <x v="59"/>
    <x v="0"/>
    <x v="0"/>
    <n v="1"/>
  </r>
  <r>
    <x v="60"/>
    <x v="0"/>
    <x v="0"/>
    <n v="1"/>
  </r>
  <r>
    <x v="61"/>
    <x v="0"/>
    <x v="0"/>
    <n v="3"/>
  </r>
  <r>
    <x v="61"/>
    <x v="0"/>
    <x v="0"/>
    <n v="2"/>
  </r>
  <r>
    <x v="62"/>
    <x v="0"/>
    <x v="0"/>
    <n v="4"/>
  </r>
  <r>
    <x v="63"/>
    <x v="0"/>
    <x v="0"/>
    <n v="1"/>
  </r>
  <r>
    <x v="63"/>
    <x v="0"/>
    <x v="0"/>
    <n v="1"/>
  </r>
  <r>
    <x v="64"/>
    <x v="0"/>
    <x v="0"/>
    <n v="1"/>
  </r>
  <r>
    <x v="65"/>
    <x v="0"/>
    <x v="0"/>
    <n v="1"/>
  </r>
  <r>
    <x v="65"/>
    <x v="0"/>
    <x v="0"/>
    <n v="1"/>
  </r>
  <r>
    <x v="66"/>
    <x v="0"/>
    <x v="0"/>
    <n v="7"/>
  </r>
  <r>
    <x v="66"/>
    <x v="0"/>
    <x v="0"/>
    <n v="1"/>
  </r>
  <r>
    <x v="67"/>
    <x v="0"/>
    <x v="0"/>
    <n v="1"/>
  </r>
  <r>
    <x v="68"/>
    <x v="0"/>
    <x v="0"/>
    <n v="1"/>
  </r>
  <r>
    <x v="68"/>
    <x v="0"/>
    <x v="0"/>
    <n v="4"/>
  </r>
  <r>
    <x v="69"/>
    <x v="0"/>
    <x v="0"/>
    <n v="1"/>
  </r>
  <r>
    <x v="69"/>
    <x v="0"/>
    <x v="0"/>
    <n v="2"/>
  </r>
  <r>
    <x v="55"/>
    <x v="0"/>
    <x v="0"/>
    <n v="2"/>
  </r>
  <r>
    <x v="55"/>
    <x v="0"/>
    <x v="0"/>
    <n v="1"/>
  </r>
  <r>
    <x v="70"/>
    <x v="0"/>
    <x v="0"/>
    <n v="2"/>
  </r>
  <r>
    <x v="71"/>
    <x v="0"/>
    <x v="0"/>
    <n v="3"/>
  </r>
  <r>
    <x v="72"/>
    <x v="0"/>
    <x v="0"/>
    <n v="1"/>
  </r>
  <r>
    <x v="73"/>
    <x v="0"/>
    <x v="0"/>
    <n v="2"/>
  </r>
  <r>
    <x v="74"/>
    <x v="0"/>
    <x v="0"/>
    <n v="1"/>
  </r>
  <r>
    <x v="75"/>
    <x v="0"/>
    <x v="0"/>
    <n v="1"/>
  </r>
  <r>
    <x v="76"/>
    <x v="0"/>
    <x v="0"/>
    <n v="1"/>
  </r>
  <r>
    <x v="77"/>
    <x v="0"/>
    <x v="0"/>
    <n v="2"/>
  </r>
  <r>
    <x v="78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7154C-0CC1-0347-9153-5FA2C115792C}" name="Tabela dinâmica3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0:E258" firstHeaderRow="1" firstDataRow="2" firstDataCol="1"/>
  <pivotFields count="4">
    <pivotField axis="axisRow" showAll="0" sortType="descending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 measureFilter="1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37">
    <i>
      <x v="5"/>
    </i>
    <i>
      <x v="167"/>
    </i>
    <i>
      <x v="217"/>
    </i>
    <i>
      <x v="222"/>
    </i>
    <i>
      <x v="65"/>
    </i>
    <i>
      <x v="141"/>
    </i>
    <i>
      <x v="211"/>
    </i>
    <i>
      <x v="213"/>
    </i>
    <i>
      <x v="38"/>
    </i>
    <i>
      <x v="176"/>
    </i>
    <i>
      <x v="94"/>
    </i>
    <i>
      <x v="137"/>
    </i>
    <i>
      <x v="219"/>
    </i>
    <i>
      <x v="223"/>
    </i>
    <i>
      <x v="95"/>
    </i>
    <i>
      <x v="171"/>
    </i>
    <i>
      <x v="86"/>
    </i>
    <i>
      <x v="139"/>
    </i>
    <i>
      <x v="109"/>
    </i>
    <i>
      <x v="159"/>
    </i>
    <i>
      <x v="148"/>
    </i>
    <i>
      <x v="182"/>
    </i>
    <i>
      <x v="166"/>
    </i>
    <i>
      <x v="226"/>
    </i>
    <i>
      <x v="203"/>
    </i>
    <i>
      <x v="221"/>
    </i>
    <i>
      <x v="62"/>
    </i>
    <i>
      <x v="3"/>
    </i>
    <i>
      <x v="195"/>
    </i>
    <i>
      <x v="68"/>
    </i>
    <i>
      <x v="55"/>
    </i>
    <i>
      <x v="88"/>
    </i>
    <i>
      <x v="63"/>
    </i>
    <i>
      <x v="91"/>
    </i>
    <i>
      <x v="183"/>
    </i>
    <i>
      <x v="108"/>
    </i>
    <i>
      <x v="218"/>
    </i>
    <i>
      <x v="2"/>
    </i>
    <i>
      <x v="1"/>
    </i>
    <i>
      <x v="196"/>
    </i>
    <i>
      <x v="123"/>
    </i>
    <i>
      <x v="69"/>
    </i>
    <i>
      <x/>
    </i>
    <i>
      <x v="205"/>
    </i>
    <i>
      <x v="67"/>
    </i>
    <i>
      <x v="17"/>
    </i>
    <i>
      <x v="113"/>
    </i>
    <i>
      <x v="188"/>
    </i>
    <i>
      <x v="49"/>
    </i>
    <i>
      <x v="82"/>
    </i>
    <i>
      <x v="154"/>
    </i>
    <i>
      <x v="152"/>
    </i>
    <i>
      <x v="8"/>
    </i>
    <i>
      <x v="45"/>
    </i>
    <i>
      <x v="160"/>
    </i>
    <i>
      <x v="128"/>
    </i>
    <i>
      <x v="161"/>
    </i>
    <i>
      <x v="89"/>
    </i>
    <i>
      <x v="165"/>
    </i>
    <i>
      <x v="187"/>
    </i>
    <i>
      <x v="22"/>
    </i>
    <i>
      <x v="44"/>
    </i>
    <i>
      <x v="26"/>
    </i>
    <i>
      <x v="71"/>
    </i>
    <i>
      <x v="96"/>
    </i>
    <i>
      <x v="127"/>
    </i>
    <i>
      <x v="98"/>
    </i>
    <i>
      <x v="84"/>
    </i>
    <i>
      <x v="179"/>
    </i>
    <i>
      <x v="53"/>
    </i>
    <i>
      <x v="180"/>
    </i>
    <i>
      <x v="151"/>
    </i>
    <i>
      <x v="15"/>
    </i>
    <i>
      <x v="41"/>
    </i>
    <i>
      <x v="232"/>
    </i>
    <i>
      <x v="114"/>
    </i>
    <i>
      <x v="117"/>
    </i>
    <i>
      <x v="228"/>
    </i>
    <i>
      <x v="194"/>
    </i>
    <i>
      <x v="170"/>
    </i>
    <i>
      <x v="83"/>
    </i>
    <i>
      <x v="207"/>
    </i>
    <i>
      <x v="90"/>
    </i>
    <i>
      <x v="164"/>
    </i>
    <i>
      <x v="110"/>
    </i>
    <i>
      <x v="174"/>
    </i>
    <i>
      <x v="37"/>
    </i>
    <i>
      <x v="64"/>
    </i>
    <i>
      <x v="115"/>
    </i>
    <i>
      <x v="215"/>
    </i>
    <i>
      <x v="120"/>
    </i>
    <i>
      <x v="233"/>
    </i>
    <i>
      <x v="126"/>
    </i>
    <i>
      <x v="54"/>
    </i>
    <i>
      <x v="138"/>
    </i>
    <i>
      <x v="173"/>
    </i>
    <i>
      <x v="140"/>
    </i>
    <i>
      <x v="191"/>
    </i>
    <i>
      <x v="145"/>
    </i>
    <i>
      <x v="18"/>
    </i>
    <i>
      <x v="47"/>
    </i>
    <i>
      <x v="206"/>
    </i>
    <i>
      <x v="153"/>
    </i>
    <i>
      <x v="212"/>
    </i>
    <i>
      <x v="158"/>
    </i>
    <i>
      <x v="70"/>
    </i>
    <i>
      <x v="14"/>
    </i>
    <i>
      <x v="229"/>
    </i>
    <i>
      <x v="50"/>
    </i>
    <i>
      <x v="234"/>
    </i>
    <i>
      <x v="163"/>
    </i>
    <i>
      <x v="7"/>
    </i>
    <i>
      <x v="208"/>
    </i>
    <i>
      <x v="197"/>
    </i>
    <i>
      <x v="149"/>
    </i>
    <i>
      <x v="97"/>
    </i>
    <i>
      <x v="46"/>
    </i>
    <i>
      <x v="193"/>
    </i>
    <i>
      <x v="101"/>
    </i>
    <i>
      <x v="202"/>
    </i>
    <i>
      <x v="103"/>
    </i>
    <i>
      <x v="134"/>
    </i>
    <i>
      <x v="155"/>
    </i>
    <i>
      <x v="100"/>
    </i>
    <i>
      <x v="77"/>
    </i>
    <i>
      <x v="124"/>
    </i>
    <i>
      <x v="106"/>
    </i>
    <i>
      <x v="40"/>
    </i>
    <i>
      <x v="107"/>
    </i>
    <i>
      <x v="199"/>
    </i>
    <i>
      <x v="35"/>
    </i>
    <i>
      <x v="131"/>
    </i>
    <i>
      <x v="51"/>
    </i>
    <i>
      <x v="133"/>
    </i>
    <i>
      <x v="162"/>
    </i>
    <i>
      <x v="72"/>
    </i>
    <i>
      <x v="87"/>
    </i>
    <i>
      <x v="231"/>
    </i>
    <i>
      <x v="27"/>
    </i>
    <i>
      <x v="185"/>
    </i>
    <i>
      <x v="52"/>
    </i>
    <i>
      <x v="189"/>
    </i>
    <i>
      <x v="6"/>
    </i>
    <i>
      <x v="192"/>
    </i>
    <i>
      <x v="78"/>
    </i>
    <i>
      <x v="31"/>
    </i>
    <i>
      <x v="168"/>
    </i>
    <i>
      <x v="130"/>
    </i>
    <i>
      <x v="116"/>
    </i>
    <i>
      <x v="198"/>
    </i>
    <i>
      <x v="16"/>
    </i>
    <i>
      <x v="201"/>
    </i>
    <i>
      <x v="172"/>
    </i>
    <i>
      <x v="66"/>
    </i>
    <i>
      <x v="92"/>
    </i>
    <i>
      <x v="132"/>
    </i>
    <i>
      <x v="39"/>
    </i>
    <i>
      <x v="210"/>
    </i>
    <i>
      <x v="175"/>
    </i>
    <i>
      <x v="214"/>
    </i>
    <i>
      <x v="56"/>
    </i>
    <i>
      <x v="136"/>
    </i>
    <i>
      <x v="177"/>
    </i>
    <i>
      <x v="75"/>
    </i>
    <i>
      <x v="57"/>
    </i>
    <i>
      <x v="33"/>
    </i>
    <i>
      <x v="58"/>
    </i>
    <i>
      <x v="143"/>
    </i>
    <i>
      <x v="181"/>
    </i>
    <i>
      <x v="184"/>
    </i>
    <i>
      <x v="156"/>
    </i>
    <i>
      <x v="129"/>
    </i>
    <i>
      <x v="9"/>
    </i>
    <i>
      <x v="119"/>
    </i>
    <i>
      <x v="28"/>
    </i>
    <i>
      <x v="125"/>
    </i>
    <i>
      <x v="104"/>
    </i>
    <i>
      <x v="10"/>
    </i>
    <i>
      <x v="105"/>
    </i>
    <i>
      <x v="121"/>
    </i>
    <i>
      <x v="24"/>
    </i>
    <i>
      <x v="73"/>
    </i>
    <i>
      <x v="135"/>
    </i>
    <i>
      <x v="230"/>
    </i>
    <i>
      <x v="29"/>
    </i>
    <i>
      <x v="204"/>
    </i>
    <i>
      <x v="178"/>
    </i>
    <i>
      <x v="118"/>
    </i>
    <i>
      <x v="42"/>
    </i>
    <i>
      <x v="85"/>
    </i>
    <i>
      <x v="34"/>
    </i>
    <i>
      <x v="216"/>
    </i>
    <i>
      <x v="43"/>
    </i>
    <i>
      <x v="220"/>
    </i>
    <i>
      <x v="59"/>
    </i>
    <i>
      <x v="224"/>
    </i>
    <i>
      <x v="60"/>
    </i>
    <i>
      <x v="80"/>
    </i>
    <i>
      <x v="79"/>
    </i>
    <i>
      <x v="76"/>
    </i>
    <i>
      <x v="12"/>
    </i>
    <i>
      <x v="102"/>
    </i>
    <i>
      <x v="186"/>
    </i>
    <i>
      <x v="32"/>
    </i>
    <i>
      <x v="61"/>
    </i>
    <i>
      <x v="157"/>
    </i>
    <i>
      <x v="142"/>
    </i>
    <i>
      <x v="209"/>
    </i>
    <i>
      <x v="93"/>
    </i>
    <i>
      <x v="20"/>
    </i>
    <i>
      <x v="190"/>
    </i>
    <i>
      <x v="21"/>
    </i>
    <i>
      <x v="144"/>
    </i>
    <i>
      <x v="122"/>
    </i>
    <i>
      <x v="111"/>
    </i>
    <i>
      <x v="4"/>
    </i>
    <i>
      <x v="146"/>
    </i>
    <i>
      <x v="23"/>
    </i>
    <i>
      <x v="147"/>
    </i>
    <i>
      <x v="99"/>
    </i>
    <i>
      <x v="13"/>
    </i>
    <i>
      <x v="74"/>
    </i>
    <i>
      <x v="112"/>
    </i>
    <i>
      <x v="225"/>
    </i>
    <i>
      <x v="150"/>
    </i>
    <i>
      <x v="227"/>
    </i>
    <i>
      <x v="36"/>
    </i>
    <i>
      <x v="81"/>
    </i>
    <i>
      <x v="30"/>
    </i>
    <i>
      <x v="11"/>
    </i>
    <i>
      <x v="200"/>
    </i>
    <i>
      <x v="169"/>
    </i>
    <i>
      <x v="25"/>
    </i>
    <i>
      <x v="48"/>
    </i>
    <i>
      <x v="19"/>
    </i>
    <i>
      <x v="235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filters count="1">
    <filter fld="2" type="count" evalOrder="-1" id="2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A703A-E187-8B4F-90B3-41F733D08069}" name="Tabela dinâmica2" cacheId="2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3" rowHeaderCaption="CWEs" colHeaderCaption="Tools">
  <location ref="A3:E10" firstHeaderRow="1" firstDataRow="2" firstDataCol="1"/>
  <pivotFields count="4">
    <pivotField showAll="0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</pivotField>
    <pivotField axis="axisRow" showAll="0">
      <items count="7">
        <item x="4"/>
        <item x="1"/>
        <item x="3"/>
        <item x="2"/>
        <item x="0"/>
        <item x="5"/>
        <item t="default"/>
      </items>
    </pivotField>
    <pivotField axis="axisCol" showAll="0">
      <items count="5">
        <item x="2"/>
        <item x="1"/>
        <item x="0"/>
        <item h="1" x="3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 Weaknesses Count" fld="3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2BE46-2D2E-0241-9FEB-D32C62BFBD46}" name="Tabela dinâmica4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9:G13" firstHeaderRow="1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frequenc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98FB7-9749-ED41-9871-7FCCFA656E7E}" name="Tabela dinâmica6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1:G193" firstHeaderRow="1" firstDataRow="1" firstDataCol="1"/>
  <pivotFields count="4">
    <pivotField axis="axisRow" showAll="0" sortType="ascending">
      <items count="172">
        <item x="131"/>
        <item x="137"/>
        <item x="154"/>
        <item x="58"/>
        <item x="50"/>
        <item x="20"/>
        <item x="88"/>
        <item x="27"/>
        <item x="83"/>
        <item x="161"/>
        <item x="170"/>
        <item x="139"/>
        <item x="155"/>
        <item x="86"/>
        <item x="107"/>
        <item x="99"/>
        <item x="78"/>
        <item x="134"/>
        <item x="104"/>
        <item x="150"/>
        <item x="103"/>
        <item x="62"/>
        <item x="117"/>
        <item x="13"/>
        <item x="29"/>
        <item x="142"/>
        <item x="164"/>
        <item x="157"/>
        <item x="141"/>
        <item x="146"/>
        <item x="54"/>
        <item x="94"/>
        <item x="91"/>
        <item x="151"/>
        <item x="28"/>
        <item x="121"/>
        <item x="133"/>
        <item x="11"/>
        <item x="17"/>
        <item x="65"/>
        <item x="33"/>
        <item x="81"/>
        <item x="128"/>
        <item x="115"/>
        <item x="108"/>
        <item x="158"/>
        <item x="145"/>
        <item x="113"/>
        <item x="59"/>
        <item x="2"/>
        <item x="30"/>
        <item x="21"/>
        <item x="109"/>
        <item x="82"/>
        <item x="8"/>
        <item x="55"/>
        <item x="152"/>
        <item x="119"/>
        <item x="42"/>
        <item x="36"/>
        <item x="69"/>
        <item x="19"/>
        <item x="97"/>
        <item x="156"/>
        <item x="67"/>
        <item x="43"/>
        <item x="5"/>
        <item x="22"/>
        <item x="123"/>
        <item x="90"/>
        <item x="166"/>
        <item x="111"/>
        <item x="120"/>
        <item x="124"/>
        <item x="95"/>
        <item x="3"/>
        <item x="85"/>
        <item x="136"/>
        <item x="129"/>
        <item x="72"/>
        <item x="100"/>
        <item x="39"/>
        <item x="10"/>
        <item x="118"/>
        <item x="79"/>
        <item x="52"/>
        <item x="130"/>
        <item x="106"/>
        <item x="169"/>
        <item x="35"/>
        <item x="102"/>
        <item x="126"/>
        <item x="61"/>
        <item x="32"/>
        <item x="140"/>
        <item x="147"/>
        <item x="101"/>
        <item x="160"/>
        <item x="24"/>
        <item x="163"/>
        <item x="6"/>
        <item x="18"/>
        <item x="37"/>
        <item x="49"/>
        <item x="56"/>
        <item x="159"/>
        <item x="70"/>
        <item x="48"/>
        <item x="68"/>
        <item x="31"/>
        <item x="80"/>
        <item x="92"/>
        <item x="26"/>
        <item x="9"/>
        <item x="53"/>
        <item x="87"/>
        <item x="116"/>
        <item x="143"/>
        <item x="96"/>
        <item x="114"/>
        <item x="110"/>
        <item x="127"/>
        <item x="168"/>
        <item x="153"/>
        <item x="16"/>
        <item x="73"/>
        <item x="66"/>
        <item x="45"/>
        <item x="25"/>
        <item x="7"/>
        <item x="41"/>
        <item x="51"/>
        <item x="1"/>
        <item x="34"/>
        <item x="148"/>
        <item x="105"/>
        <item x="135"/>
        <item x="98"/>
        <item x="162"/>
        <item x="122"/>
        <item x="149"/>
        <item x="125"/>
        <item x="138"/>
        <item x="75"/>
        <item x="15"/>
        <item x="47"/>
        <item x="60"/>
        <item x="46"/>
        <item x="76"/>
        <item x="14"/>
        <item x="40"/>
        <item x="4"/>
        <item x="84"/>
        <item x="64"/>
        <item x="71"/>
        <item x="89"/>
        <item x="74"/>
        <item x="57"/>
        <item x="38"/>
        <item x="167"/>
        <item x="132"/>
        <item x="112"/>
        <item x="144"/>
        <item x="165"/>
        <item x="77"/>
        <item x="12"/>
        <item x="93"/>
        <item x="63"/>
        <item x="44"/>
        <item x="23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1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74C0C-76A4-5D44-B487-0998CD45D03C}" name="Tabela dinâmica5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5:G19" firstHeaderRow="1" firstDataRow="1" firstDataCol="1"/>
  <pivotFields count="4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frequenc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ECF98-B36F-7F40-940A-4788F71BF11C}" name="Tabela dinâ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45" firstHeaderRow="1" firstDataRow="1" firstDataCol="1"/>
  <pivotFields count="4">
    <pivotField axis="axisRow" showAll="0" sortType="descending">
      <items count="138">
        <item x="106"/>
        <item x="110"/>
        <item x="47"/>
        <item x="16"/>
        <item x="21"/>
        <item x="68"/>
        <item x="127"/>
        <item x="112"/>
        <item x="125"/>
        <item x="131"/>
        <item x="86"/>
        <item x="79"/>
        <item x="84"/>
        <item x="121"/>
        <item x="83"/>
        <item x="50"/>
        <item x="23"/>
        <item x="114"/>
        <item x="126"/>
        <item x="113"/>
        <item x="117"/>
        <item x="44"/>
        <item x="74"/>
        <item x="71"/>
        <item x="122"/>
        <item x="22"/>
        <item x="108"/>
        <item x="8"/>
        <item x="53"/>
        <item x="27"/>
        <item x="76"/>
        <item x="103"/>
        <item x="96"/>
        <item x="87"/>
        <item x="93"/>
        <item x="48"/>
        <item x="1"/>
        <item x="24"/>
        <item x="17"/>
        <item x="88"/>
        <item x="67"/>
        <item x="6"/>
        <item x="91"/>
        <item x="123"/>
        <item x="97"/>
        <item x="36"/>
        <item x="31"/>
        <item x="57"/>
        <item x="15"/>
        <item x="77"/>
        <item x="55"/>
        <item x="37"/>
        <item x="4"/>
        <item x="18"/>
        <item x="98"/>
        <item x="133"/>
        <item x="60"/>
        <item x="99"/>
        <item x="75"/>
        <item x="2"/>
        <item x="70"/>
        <item x="104"/>
        <item x="85"/>
        <item x="80"/>
        <item x="33"/>
        <item x="29"/>
        <item x="90"/>
        <item x="65"/>
        <item x="43"/>
        <item x="105"/>
        <item x="136"/>
        <item x="30"/>
        <item x="82"/>
        <item x="101"/>
        <item x="26"/>
        <item x="118"/>
        <item x="81"/>
        <item x="128"/>
        <item x="130"/>
        <item x="13"/>
        <item x="32"/>
        <item x="41"/>
        <item x="45"/>
        <item x="58"/>
        <item x="56"/>
        <item x="25"/>
        <item x="66"/>
        <item x="72"/>
        <item x="20"/>
        <item x="7"/>
        <item x="94"/>
        <item x="109"/>
        <item x="115"/>
        <item x="95"/>
        <item x="89"/>
        <item x="102"/>
        <item x="135"/>
        <item x="124"/>
        <item x="12"/>
        <item x="61"/>
        <item x="54"/>
        <item x="39"/>
        <item x="19"/>
        <item x="5"/>
        <item x="35"/>
        <item x="42"/>
        <item x="28"/>
        <item x="119"/>
        <item x="111"/>
        <item x="78"/>
        <item x="129"/>
        <item x="120"/>
        <item x="100"/>
        <item x="63"/>
        <item x="11"/>
        <item x="40"/>
        <item x="49"/>
        <item x="14"/>
        <item x="64"/>
        <item x="10"/>
        <item x="34"/>
        <item x="3"/>
        <item x="69"/>
        <item x="52"/>
        <item x="59"/>
        <item x="62"/>
        <item x="46"/>
        <item x="134"/>
        <item x="107"/>
        <item x="92"/>
        <item x="116"/>
        <item x="132"/>
        <item x="9"/>
        <item x="73"/>
        <item x="51"/>
        <item x="3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38">
    <i>
      <x v="68"/>
    </i>
    <i>
      <x v="117"/>
    </i>
    <i>
      <x v="128"/>
    </i>
    <i>
      <x v="92"/>
    </i>
    <i>
      <x v="125"/>
    </i>
    <i>
      <x v="36"/>
    </i>
    <i>
      <x v="16"/>
    </i>
    <i>
      <x v="120"/>
    </i>
    <i>
      <x v="15"/>
    </i>
    <i>
      <x v="105"/>
    </i>
    <i>
      <x v="130"/>
    </i>
    <i>
      <x v="57"/>
    </i>
    <i>
      <x v="44"/>
    </i>
    <i>
      <x v="112"/>
    </i>
    <i>
      <x v="95"/>
    </i>
    <i>
      <x v="56"/>
    </i>
    <i>
      <x v="8"/>
    </i>
    <i>
      <x v="4"/>
    </i>
    <i>
      <x v="23"/>
    </i>
    <i>
      <x v="7"/>
    </i>
    <i>
      <x v="32"/>
    </i>
    <i>
      <x v="77"/>
    </i>
    <i>
      <x v="114"/>
    </i>
    <i>
      <x v="81"/>
    </i>
    <i>
      <x v="39"/>
    </i>
    <i>
      <x v="82"/>
    </i>
    <i>
      <x v="53"/>
    </i>
    <i>
      <x v="85"/>
    </i>
    <i>
      <x v="62"/>
    </i>
    <i>
      <x v="124"/>
    </i>
    <i>
      <x v="11"/>
    </i>
    <i>
      <x v="93"/>
    </i>
    <i>
      <x v="46"/>
    </i>
    <i>
      <x v="12"/>
    </i>
    <i>
      <x v="52"/>
    </i>
    <i>
      <x v="42"/>
    </i>
    <i>
      <x v="129"/>
    </i>
    <i>
      <x v="100"/>
    </i>
    <i>
      <x v="64"/>
    </i>
    <i>
      <x v="107"/>
    </i>
    <i>
      <x v="67"/>
    </i>
    <i>
      <x v="123"/>
    </i>
    <i>
      <x v="73"/>
    </i>
    <i>
      <x v="79"/>
    </i>
    <i>
      <x v="22"/>
    </i>
    <i>
      <x v="13"/>
    </i>
    <i>
      <x v="101"/>
    </i>
    <i>
      <x v="28"/>
    </i>
    <i>
      <x v="66"/>
    </i>
    <i>
      <x v="60"/>
    </i>
    <i>
      <x v="49"/>
    </i>
    <i>
      <x v="19"/>
    </i>
    <i>
      <x v="72"/>
    </i>
    <i>
      <x v="99"/>
    </i>
    <i>
      <x v="50"/>
    </i>
    <i>
      <x v="104"/>
    </i>
    <i>
      <x v="76"/>
    </i>
    <i>
      <x v="113"/>
    </i>
    <i>
      <x v="20"/>
    </i>
    <i>
      <x v="40"/>
    </i>
    <i>
      <x v="78"/>
    </i>
    <i>
      <x v="41"/>
    </i>
    <i>
      <x v="2"/>
    </i>
    <i>
      <x v="96"/>
    </i>
    <i>
      <x v="21"/>
    </i>
    <i>
      <x v="18"/>
    </i>
    <i>
      <x v="127"/>
    </i>
    <i>
      <x v="103"/>
    </i>
    <i>
      <x v="6"/>
    </i>
    <i>
      <x v="59"/>
    </i>
    <i>
      <x v="10"/>
    </i>
    <i>
      <x v="34"/>
    </i>
    <i>
      <x v="86"/>
    </i>
    <i>
      <x v="47"/>
    </i>
    <i>
      <x v="87"/>
    </i>
    <i>
      <x v="118"/>
    </i>
    <i>
      <x v="89"/>
    </i>
    <i>
      <x v="122"/>
    </i>
    <i>
      <x v="27"/>
    </i>
    <i>
      <x v="48"/>
    </i>
    <i>
      <x v="17"/>
    </i>
    <i>
      <x v="65"/>
    </i>
    <i>
      <x v="94"/>
    </i>
    <i>
      <x v="43"/>
    </i>
    <i>
      <x v="83"/>
    </i>
    <i>
      <x v="134"/>
    </i>
    <i>
      <x v="63"/>
    </i>
    <i>
      <x/>
    </i>
    <i>
      <x v="119"/>
    </i>
    <i>
      <x v="135"/>
    </i>
    <i>
      <x v="38"/>
    </i>
    <i>
      <x v="9"/>
    </i>
    <i>
      <x v="115"/>
    </i>
    <i>
      <x v="90"/>
    </i>
    <i>
      <x v="80"/>
    </i>
    <i>
      <x v="91"/>
    </i>
    <i>
      <x v="131"/>
    </i>
    <i>
      <x v="61"/>
    </i>
    <i>
      <x v="74"/>
    </i>
    <i>
      <x v="5"/>
    </i>
    <i>
      <x v="35"/>
    </i>
    <i>
      <x v="29"/>
    </i>
    <i>
      <x v="121"/>
    </i>
    <i>
      <x v="30"/>
    </i>
    <i>
      <x v="55"/>
    </i>
    <i>
      <x v="45"/>
    </i>
    <i>
      <x v="25"/>
    </i>
    <i>
      <x v="97"/>
    </i>
    <i>
      <x v="133"/>
    </i>
    <i>
      <x v="98"/>
    </i>
    <i>
      <x v="88"/>
    </i>
    <i>
      <x v="31"/>
    </i>
    <i>
      <x v="75"/>
    </i>
    <i>
      <x v="14"/>
    </i>
    <i>
      <x v="116"/>
    </i>
    <i>
      <x v="1"/>
    </i>
    <i>
      <x v="51"/>
    </i>
    <i>
      <x v="102"/>
    </i>
    <i>
      <x v="24"/>
    </i>
    <i>
      <x v="69"/>
    </i>
    <i>
      <x v="37"/>
    </i>
    <i>
      <x v="70"/>
    </i>
    <i>
      <x v="54"/>
    </i>
    <i>
      <x v="71"/>
    </i>
    <i>
      <x v="126"/>
    </i>
    <i>
      <x v="106"/>
    </i>
    <i>
      <x v="84"/>
    </i>
    <i>
      <x v="33"/>
    </i>
    <i>
      <x v="58"/>
    </i>
    <i>
      <x v="108"/>
    </i>
    <i>
      <x v="132"/>
    </i>
    <i>
      <x v="109"/>
    </i>
    <i>
      <x v="26"/>
    </i>
    <i>
      <x v="110"/>
    </i>
    <i>
      <x v="136"/>
    </i>
    <i>
      <x v="111"/>
    </i>
    <i>
      <x v="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05E41-A59B-6E44-AC08-78E147B861AC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453AC-2B79-1A4A-8E07-3A8DBE14AC56}" name="Tabela dinâmica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7012A-DB6B-5E47-8FA3-3F34E0AC775B}" name="Tabela dinâmica4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29" firstHeaderRow="1" firstDataRow="1" firstDataCol="1"/>
  <pivotFields count="4">
    <pivotField axis="axisRow" showAll="0" sortType="descending">
      <items count="122">
        <item x="95"/>
        <item x="99"/>
        <item x="42"/>
        <item x="14"/>
        <item x="18"/>
        <item x="62"/>
        <item x="115"/>
        <item x="101"/>
        <item x="113"/>
        <item x="71"/>
        <item x="77"/>
        <item x="109"/>
        <item x="76"/>
        <item x="45"/>
        <item x="20"/>
        <item x="103"/>
        <item x="114"/>
        <item x="102"/>
        <item x="105"/>
        <item x="40"/>
        <item x="67"/>
        <item x="65"/>
        <item x="110"/>
        <item x="19"/>
        <item x="97"/>
        <item x="8"/>
        <item x="48"/>
        <item x="23"/>
        <item x="69"/>
        <item x="93"/>
        <item x="85"/>
        <item x="83"/>
        <item x="43"/>
        <item x="1"/>
        <item x="21"/>
        <item x="15"/>
        <item x="78"/>
        <item x="61"/>
        <item x="6"/>
        <item x="81"/>
        <item x="111"/>
        <item x="86"/>
        <item x="33"/>
        <item x="27"/>
        <item x="52"/>
        <item x="13"/>
        <item x="70"/>
        <item x="50"/>
        <item x="34"/>
        <item x="4"/>
        <item x="16"/>
        <item x="88"/>
        <item x="118"/>
        <item x="80"/>
        <item x="89"/>
        <item x="68"/>
        <item x="2"/>
        <item x="64"/>
        <item x="54"/>
        <item x="72"/>
        <item x="29"/>
        <item x="25"/>
        <item x="59"/>
        <item x="39"/>
        <item x="94"/>
        <item x="120"/>
        <item x="26"/>
        <item x="75"/>
        <item x="91"/>
        <item x="106"/>
        <item x="74"/>
        <item x="116"/>
        <item x="12"/>
        <item x="28"/>
        <item x="30"/>
        <item x="41"/>
        <item x="53"/>
        <item x="51"/>
        <item x="22"/>
        <item x="60"/>
        <item x="66"/>
        <item x="17"/>
        <item x="7"/>
        <item x="98"/>
        <item x="104"/>
        <item x="84"/>
        <item x="79"/>
        <item x="92"/>
        <item x="119"/>
        <item x="112"/>
        <item x="11"/>
        <item x="55"/>
        <item x="49"/>
        <item x="36"/>
        <item x="5"/>
        <item x="32"/>
        <item x="38"/>
        <item x="24"/>
        <item x="107"/>
        <item x="100"/>
        <item x="58"/>
        <item x="87"/>
        <item x="108"/>
        <item x="90"/>
        <item x="57"/>
        <item x="10"/>
        <item x="44"/>
        <item x="37"/>
        <item x="31"/>
        <item x="3"/>
        <item x="63"/>
        <item x="47"/>
        <item x="56"/>
        <item x="96"/>
        <item x="82"/>
        <item x="73"/>
        <item x="117"/>
        <item x="9"/>
        <item x="46"/>
        <item x="3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22">
    <i>
      <x v="103"/>
    </i>
    <i>
      <x v="74"/>
    </i>
    <i>
      <x v="113"/>
    </i>
    <i>
      <x v="75"/>
    </i>
    <i>
      <x v="112"/>
    </i>
    <i>
      <x v="115"/>
    </i>
    <i>
      <x v="54"/>
    </i>
    <i>
      <x v="84"/>
    </i>
    <i>
      <x v="58"/>
    </i>
    <i>
      <x v="14"/>
    </i>
    <i>
      <x v="94"/>
    </i>
    <i>
      <x v="63"/>
    </i>
    <i>
      <x v="108"/>
    </i>
    <i>
      <x v="13"/>
    </i>
    <i>
      <x v="86"/>
    </i>
    <i>
      <x v="105"/>
    </i>
    <i>
      <x v="62"/>
    </i>
    <i>
      <x v="78"/>
    </i>
    <i>
      <x v="71"/>
    </i>
    <i>
      <x v="11"/>
    </i>
    <i>
      <x v="8"/>
    </i>
    <i>
      <x v="107"/>
    </i>
    <i>
      <x v="42"/>
    </i>
    <i>
      <x v="21"/>
    </i>
    <i>
      <x v="98"/>
    </i>
    <i>
      <x v="100"/>
    </i>
    <i>
      <x v="87"/>
    </i>
    <i>
      <x v="60"/>
    </i>
    <i>
      <x v="82"/>
    </i>
    <i>
      <x v="111"/>
    </i>
    <i>
      <x v="92"/>
    </i>
    <i>
      <x v="41"/>
    </i>
    <i>
      <x v="56"/>
    </i>
    <i>
      <x v="43"/>
    </i>
    <i>
      <x v="85"/>
    </i>
    <i>
      <x v="49"/>
    </i>
    <i>
      <x v="96"/>
    </i>
    <i>
      <x v="50"/>
    </i>
    <i>
      <x v="7"/>
    </i>
    <i>
      <x v="114"/>
    </i>
    <i>
      <x v="104"/>
    </i>
    <i>
      <x v="88"/>
    </i>
    <i>
      <x v="80"/>
    </i>
    <i>
      <x v="6"/>
    </i>
    <i>
      <x v="18"/>
    </i>
    <i>
      <x v="30"/>
    </i>
    <i>
      <x v="40"/>
    </i>
    <i>
      <x v="44"/>
    </i>
    <i>
      <x v="16"/>
    </i>
    <i>
      <x v="45"/>
    </i>
    <i>
      <x v="37"/>
    </i>
    <i>
      <x v="46"/>
    </i>
    <i>
      <x v="19"/>
    </i>
    <i>
      <x v="47"/>
    </i>
    <i>
      <x v="39"/>
    </i>
    <i>
      <x v="52"/>
    </i>
    <i>
      <x v="79"/>
    </i>
    <i>
      <x v="53"/>
    </i>
    <i>
      <x v="15"/>
    </i>
    <i>
      <x v="33"/>
    </i>
    <i>
      <x v="17"/>
    </i>
    <i>
      <x v="59"/>
    </i>
    <i>
      <x v="91"/>
    </i>
    <i>
      <x/>
    </i>
    <i>
      <x v="93"/>
    </i>
    <i>
      <x v="10"/>
    </i>
    <i>
      <x v="95"/>
    </i>
    <i>
      <x v="67"/>
    </i>
    <i>
      <x v="20"/>
    </i>
    <i>
      <x v="68"/>
    </i>
    <i>
      <x v="110"/>
    </i>
    <i>
      <x v="119"/>
    </i>
    <i>
      <x v="25"/>
    </i>
    <i>
      <x v="3"/>
    </i>
    <i>
      <x v="22"/>
    </i>
    <i>
      <x v="97"/>
    </i>
    <i>
      <x v="66"/>
    </i>
    <i>
      <x v="34"/>
    </i>
    <i>
      <x v="101"/>
    </i>
    <i>
      <x v="57"/>
    </i>
    <i>
      <x v="109"/>
    </i>
    <i>
      <x v="77"/>
    </i>
    <i>
      <x v="31"/>
    </i>
    <i>
      <x v="4"/>
    </i>
    <i>
      <x v="99"/>
    </i>
    <i>
      <x v="1"/>
    </i>
    <i>
      <x v="5"/>
    </i>
    <i>
      <x v="32"/>
    </i>
    <i>
      <x v="23"/>
    </i>
    <i>
      <x v="81"/>
    </i>
    <i>
      <x v="55"/>
    </i>
    <i>
      <x v="35"/>
    </i>
    <i>
      <x v="48"/>
    </i>
    <i>
      <x v="83"/>
    </i>
    <i>
      <x v="38"/>
    </i>
    <i>
      <x v="51"/>
    </i>
    <i>
      <x v="69"/>
    </i>
    <i>
      <x v="36"/>
    </i>
    <i>
      <x v="26"/>
    </i>
    <i>
      <x v="61"/>
    </i>
    <i>
      <x v="102"/>
    </i>
    <i>
      <x v="9"/>
    </i>
    <i>
      <x v="27"/>
    </i>
    <i>
      <x v="29"/>
    </i>
    <i>
      <x v="106"/>
    </i>
    <i>
      <x v="89"/>
    </i>
    <i>
      <x v="24"/>
    </i>
    <i>
      <x v="90"/>
    </i>
    <i>
      <x v="117"/>
    </i>
    <i>
      <x v="64"/>
    </i>
    <i>
      <x v="28"/>
    </i>
    <i>
      <x v="65"/>
    </i>
    <i>
      <x v="76"/>
    </i>
    <i>
      <x v="70"/>
    </i>
    <i>
      <x v="116"/>
    </i>
    <i>
      <x v="2"/>
    </i>
    <i>
      <x v="118"/>
    </i>
    <i>
      <x v="72"/>
    </i>
    <i>
      <x v="120"/>
    </i>
    <i>
      <x v="73"/>
    </i>
    <i>
      <x v="12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CAC1-0917-234E-ACA4-9DBAC8CFBD86}" name="Tabela dinâmica6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20" firstHeaderRow="1" firstDataRow="1" firstDataCol="1"/>
  <pivotFields count="4">
    <pivotField axis="axisRow" showAll="0" sortType="descending">
      <items count="113">
        <item x="53"/>
        <item x="40"/>
        <item x="35"/>
        <item x="62"/>
        <item x="101"/>
        <item x="89"/>
        <item x="75"/>
        <item x="71"/>
        <item x="16"/>
        <item x="61"/>
        <item x="87"/>
        <item x="13"/>
        <item x="17"/>
        <item x="55"/>
        <item x="105"/>
        <item x="92"/>
        <item x="103"/>
        <item x="68"/>
        <item x="100"/>
        <item x="67"/>
        <item x="38"/>
        <item x="70"/>
        <item x="94"/>
        <item x="104"/>
        <item x="93"/>
        <item x="96"/>
        <item x="33"/>
        <item x="106"/>
        <item x="58"/>
        <item x="8"/>
        <item x="41"/>
        <item x="85"/>
        <item x="77"/>
        <item x="36"/>
        <item x="1"/>
        <item x="19"/>
        <item x="14"/>
        <item x="54"/>
        <item x="6"/>
        <item x="73"/>
        <item x="102"/>
        <item x="78"/>
        <item x="23"/>
        <item x="45"/>
        <item x="12"/>
        <item x="60"/>
        <item x="43"/>
        <item x="4"/>
        <item x="15"/>
        <item x="80"/>
        <item x="109"/>
        <item x="47"/>
        <item x="81"/>
        <item x="59"/>
        <item x="2"/>
        <item x="57"/>
        <item x="69"/>
        <item x="63"/>
        <item x="24"/>
        <item x="22"/>
        <item x="52"/>
        <item x="32"/>
        <item x="86"/>
        <item x="111"/>
        <item x="51"/>
        <item x="66"/>
        <item x="83"/>
        <item x="97"/>
        <item x="65"/>
        <item x="107"/>
        <item x="11"/>
        <item x="25"/>
        <item x="34"/>
        <item x="46"/>
        <item x="44"/>
        <item x="20"/>
        <item x="18"/>
        <item x="7"/>
        <item x="90"/>
        <item x="95"/>
        <item x="76"/>
        <item x="72"/>
        <item x="84"/>
        <item x="110"/>
        <item x="10"/>
        <item x="48"/>
        <item x="42"/>
        <item x="29"/>
        <item x="5"/>
        <item x="27"/>
        <item x="31"/>
        <item x="21"/>
        <item x="98"/>
        <item x="91"/>
        <item x="79"/>
        <item x="99"/>
        <item x="82"/>
        <item x="50"/>
        <item x="9"/>
        <item x="37"/>
        <item x="30"/>
        <item x="26"/>
        <item x="3"/>
        <item x="56"/>
        <item x="49"/>
        <item x="88"/>
        <item x="74"/>
        <item x="64"/>
        <item x="108"/>
        <item x="39"/>
        <item x="2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3">
    <i>
      <x v="48"/>
    </i>
    <i>
      <x v="60"/>
    </i>
    <i>
      <x v="107"/>
    </i>
    <i>
      <x v="96"/>
    </i>
    <i>
      <x v="71"/>
    </i>
    <i>
      <x v="61"/>
    </i>
    <i>
      <x v="105"/>
    </i>
    <i>
      <x v="98"/>
    </i>
    <i>
      <x v="20"/>
    </i>
    <i>
      <x v="104"/>
    </i>
    <i>
      <x v="64"/>
    </i>
    <i>
      <x v="79"/>
    </i>
    <i>
      <x v="47"/>
    </i>
    <i>
      <x v="42"/>
    </i>
    <i>
      <x v="103"/>
    </i>
    <i>
      <x v="52"/>
    </i>
    <i>
      <x v="75"/>
    </i>
    <i>
      <x v="102"/>
    </i>
    <i>
      <x v="82"/>
    </i>
    <i>
      <x v="28"/>
    </i>
    <i>
      <x v="72"/>
    </i>
    <i>
      <x v="32"/>
    </i>
    <i>
      <x v="81"/>
    </i>
    <i>
      <x v="51"/>
    </i>
    <i>
      <x v="22"/>
    </i>
    <i>
      <x v="56"/>
    </i>
    <i>
      <x v="69"/>
    </i>
    <i>
      <x v="16"/>
    </i>
    <i>
      <x v="76"/>
    </i>
    <i>
      <x v="21"/>
    </i>
    <i>
      <x v="80"/>
    </i>
    <i>
      <x v="109"/>
    </i>
    <i>
      <x v="2"/>
    </i>
    <i>
      <x v="58"/>
    </i>
    <i>
      <x v="1"/>
    </i>
    <i>
      <x v="15"/>
    </i>
    <i>
      <x v="41"/>
    </i>
    <i>
      <x v="24"/>
    </i>
    <i>
      <x v="92"/>
    </i>
    <i>
      <x v="31"/>
    </i>
    <i>
      <x v="73"/>
    </i>
    <i>
      <x v="84"/>
    </i>
    <i>
      <x v="6"/>
    </i>
    <i>
      <x v="14"/>
    </i>
    <i>
      <x v="23"/>
    </i>
    <i>
      <x v="57"/>
    </i>
    <i>
      <x v="10"/>
    </i>
    <i>
      <x v="89"/>
    </i>
    <i>
      <x v="106"/>
    </i>
    <i>
      <x v="37"/>
    </i>
    <i>
      <x v="91"/>
    </i>
    <i>
      <x v="45"/>
    </i>
    <i>
      <x v="50"/>
    </i>
    <i>
      <x v="39"/>
    </i>
    <i>
      <x v="30"/>
    </i>
    <i>
      <x v="83"/>
    </i>
    <i>
      <x v="43"/>
    </i>
    <i>
      <x v="87"/>
    </i>
    <i>
      <x v="18"/>
    </i>
    <i>
      <x v="46"/>
    </i>
    <i>
      <x v="34"/>
    </i>
    <i>
      <x v="65"/>
    </i>
    <i>
      <x v="97"/>
    </i>
    <i>
      <x v="66"/>
    </i>
    <i>
      <x v="100"/>
    </i>
    <i>
      <x v="67"/>
    </i>
    <i>
      <x v="44"/>
    </i>
    <i>
      <x v="29"/>
    </i>
    <i>
      <x v="25"/>
    </i>
    <i>
      <x v="63"/>
    </i>
    <i>
      <x v="26"/>
    </i>
    <i>
      <x v="17"/>
    </i>
    <i>
      <x v="110"/>
    </i>
    <i>
      <x v="54"/>
    </i>
    <i>
      <x v="55"/>
    </i>
    <i>
      <x v="11"/>
    </i>
    <i>
      <x v="8"/>
    </i>
    <i>
      <x v="94"/>
    </i>
    <i>
      <x v="35"/>
    </i>
    <i>
      <x v="19"/>
    </i>
    <i>
      <x v="77"/>
    </i>
    <i>
      <x v="74"/>
    </i>
    <i>
      <x v="78"/>
    </i>
    <i>
      <x v="7"/>
    </i>
    <i>
      <x v="53"/>
    </i>
    <i>
      <x v="9"/>
    </i>
    <i>
      <x v="36"/>
    </i>
    <i>
      <x v="4"/>
    </i>
    <i>
      <x/>
    </i>
    <i>
      <x v="108"/>
    </i>
    <i>
      <x v="13"/>
    </i>
    <i>
      <x v="12"/>
    </i>
    <i>
      <x v="38"/>
    </i>
    <i>
      <x v="95"/>
    </i>
    <i>
      <x v="5"/>
    </i>
    <i>
      <x v="27"/>
    </i>
    <i>
      <x v="85"/>
    </i>
    <i>
      <x v="99"/>
    </i>
    <i>
      <x v="86"/>
    </i>
    <i>
      <x v="101"/>
    </i>
    <i>
      <x v="59"/>
    </i>
    <i>
      <x v="68"/>
    </i>
    <i>
      <x v="88"/>
    </i>
    <i>
      <x v="70"/>
    </i>
    <i>
      <x v="40"/>
    </i>
    <i>
      <x v="49"/>
    </i>
    <i>
      <x v="90"/>
    </i>
    <i>
      <x v="33"/>
    </i>
    <i>
      <x v="3"/>
    </i>
    <i>
      <x v="111"/>
    </i>
    <i>
      <x v="62"/>
    </i>
    <i>
      <x v="9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3EDC9-D674-8441-9B78-C262C270F19C}" name="Tabela dinâmica5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A494-5A5B-D945-986A-E3C10BCA3BC4}" name="Tabela dinâmica8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05" firstHeaderRow="1" firstDataRow="1" firstDataCol="1"/>
  <pivotFields count="4">
    <pivotField axis="axisRow" showAll="0" sortType="descending">
      <items count="98">
        <item x="45"/>
        <item x="35"/>
        <item x="30"/>
        <item x="55"/>
        <item x="89"/>
        <item x="66"/>
        <item x="62"/>
        <item x="15"/>
        <item x="54"/>
        <item x="77"/>
        <item x="12"/>
        <item x="16"/>
        <item x="47"/>
        <item x="81"/>
        <item x="88"/>
        <item x="59"/>
        <item x="33"/>
        <item x="61"/>
        <item x="83"/>
        <item x="91"/>
        <item x="82"/>
        <item x="84"/>
        <item x="28"/>
        <item x="92"/>
        <item x="50"/>
        <item x="8"/>
        <item x="36"/>
        <item x="75"/>
        <item x="67"/>
        <item x="31"/>
        <item x="1"/>
        <item x="17"/>
        <item x="13"/>
        <item x="46"/>
        <item x="6"/>
        <item x="90"/>
        <item x="68"/>
        <item x="19"/>
        <item x="40"/>
        <item x="11"/>
        <item x="53"/>
        <item x="38"/>
        <item x="4"/>
        <item x="14"/>
        <item x="70"/>
        <item x="94"/>
        <item x="64"/>
        <item x="71"/>
        <item x="52"/>
        <item x="2"/>
        <item x="49"/>
        <item x="60"/>
        <item x="20"/>
        <item x="44"/>
        <item x="27"/>
        <item x="76"/>
        <item x="96"/>
        <item x="58"/>
        <item x="73"/>
        <item x="85"/>
        <item x="57"/>
        <item x="10"/>
        <item x="25"/>
        <item x="29"/>
        <item x="41"/>
        <item x="39"/>
        <item x="51"/>
        <item x="7"/>
        <item x="79"/>
        <item x="63"/>
        <item x="74"/>
        <item x="95"/>
        <item x="9"/>
        <item x="42"/>
        <item x="37"/>
        <item x="23"/>
        <item x="5"/>
        <item x="21"/>
        <item x="26"/>
        <item x="18"/>
        <item x="86"/>
        <item x="80"/>
        <item x="69"/>
        <item x="87"/>
        <item x="72"/>
        <item x="32"/>
        <item x="24"/>
        <item x="3"/>
        <item x="48"/>
        <item x="43"/>
        <item x="78"/>
        <item x="65"/>
        <item x="56"/>
        <item x="93"/>
        <item x="34"/>
        <item x="2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98">
    <i>
      <x v="43"/>
    </i>
    <i>
      <x v="90"/>
    </i>
    <i>
      <x v="1"/>
    </i>
    <i>
      <x v="91"/>
    </i>
    <i>
      <x v="92"/>
    </i>
    <i>
      <x v="89"/>
    </i>
    <i>
      <x v="62"/>
    </i>
    <i>
      <x v="42"/>
    </i>
    <i>
      <x v="53"/>
    </i>
    <i>
      <x v="54"/>
    </i>
    <i>
      <x v="84"/>
    </i>
    <i>
      <x v="24"/>
    </i>
    <i>
      <x v="16"/>
    </i>
    <i>
      <x v="17"/>
    </i>
    <i>
      <x v="41"/>
    </i>
    <i>
      <x v="70"/>
    </i>
    <i>
      <x v="51"/>
    </i>
    <i>
      <x v="47"/>
    </i>
    <i>
      <x v="44"/>
    </i>
    <i>
      <x v="80"/>
    </i>
    <i>
      <x v="63"/>
    </i>
    <i>
      <x v="20"/>
    </i>
    <i>
      <x v="37"/>
    </i>
    <i>
      <x v="25"/>
    </i>
    <i>
      <x v="10"/>
    </i>
    <i>
      <x v="27"/>
    </i>
    <i>
      <x v="79"/>
    </i>
    <i>
      <x v="30"/>
    </i>
    <i>
      <x v="14"/>
    </i>
    <i>
      <x v="33"/>
    </i>
    <i>
      <x v="18"/>
    </i>
    <i>
      <x v="21"/>
    </i>
    <i>
      <x v="86"/>
    </i>
    <i>
      <x v="75"/>
    </i>
    <i>
      <x v="36"/>
    </i>
    <i>
      <x v="59"/>
    </i>
    <i>
      <x v="4"/>
    </i>
    <i>
      <x v="69"/>
    </i>
    <i>
      <x v="39"/>
    </i>
    <i>
      <x v="28"/>
    </i>
    <i>
      <x v="5"/>
    </i>
    <i>
      <x v="22"/>
    </i>
    <i>
      <x v="19"/>
    </i>
    <i>
      <x v="60"/>
    </i>
    <i>
      <x v="46"/>
    </i>
    <i>
      <x v="66"/>
    </i>
    <i>
      <x/>
    </i>
    <i>
      <x v="71"/>
    </i>
    <i>
      <x v="49"/>
    </i>
    <i>
      <x v="78"/>
    </i>
    <i>
      <x v="50"/>
    </i>
    <i>
      <x v="13"/>
    </i>
    <i>
      <x v="52"/>
    </i>
    <i>
      <x v="88"/>
    </i>
    <i>
      <x v="9"/>
    </i>
    <i>
      <x v="58"/>
    </i>
    <i>
      <x v="61"/>
    </i>
    <i>
      <x v="55"/>
    </i>
    <i>
      <x v="29"/>
    </i>
    <i>
      <x v="76"/>
    </i>
    <i>
      <x v="7"/>
    </i>
    <i>
      <x v="6"/>
    </i>
    <i>
      <x v="32"/>
    </i>
    <i>
      <x v="3"/>
    </i>
    <i>
      <x v="45"/>
    </i>
    <i>
      <x v="8"/>
    </i>
    <i>
      <x v="93"/>
    </i>
    <i>
      <x v="82"/>
    </i>
    <i>
      <x v="94"/>
    </i>
    <i>
      <x v="26"/>
    </i>
    <i>
      <x v="23"/>
    </i>
    <i>
      <x v="15"/>
    </i>
    <i>
      <x v="64"/>
    </i>
    <i>
      <x v="40"/>
    </i>
    <i>
      <x v="65"/>
    </i>
    <i>
      <x v="77"/>
    </i>
    <i>
      <x v="96"/>
    </i>
    <i>
      <x v="35"/>
    </i>
    <i>
      <x v="67"/>
    </i>
    <i>
      <x v="81"/>
    </i>
    <i>
      <x v="68"/>
    </i>
    <i>
      <x v="83"/>
    </i>
    <i>
      <x v="38"/>
    </i>
    <i>
      <x v="85"/>
    </i>
    <i>
      <x v="12"/>
    </i>
    <i>
      <x v="87"/>
    </i>
    <i>
      <x v="34"/>
    </i>
    <i>
      <x v="95"/>
    </i>
    <i>
      <x v="72"/>
    </i>
    <i>
      <x v="2"/>
    </i>
    <i>
      <x v="73"/>
    </i>
    <i>
      <x v="57"/>
    </i>
    <i>
      <x v="74"/>
    </i>
    <i>
      <x v="31"/>
    </i>
    <i>
      <x v="11"/>
    </i>
    <i>
      <x v="56"/>
    </i>
    <i>
      <x v="4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4F1C-3FA3-674C-A91C-A99C08D88A7D}" name="Tabela dinâmica7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8BD10-3001-BC4E-A274-B18FDE6070A6}" name="Tabela dinâmica11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87" firstHeaderRow="1" firstDataRow="1" firstDataCol="1"/>
  <pivotFields count="4">
    <pivotField axis="axisRow" showAll="0" sortType="descending">
      <items count="80">
        <item x="40"/>
        <item x="32"/>
        <item x="28"/>
        <item x="49"/>
        <item x="73"/>
        <item x="59"/>
        <item x="56"/>
        <item x="14"/>
        <item x="48"/>
        <item x="65"/>
        <item x="11"/>
        <item x="15"/>
        <item x="42"/>
        <item x="68"/>
        <item x="52"/>
        <item x="54"/>
        <item x="55"/>
        <item x="69"/>
        <item x="70"/>
        <item x="26"/>
        <item x="75"/>
        <item x="7"/>
        <item x="33"/>
        <item x="63"/>
        <item x="29"/>
        <item x="1"/>
        <item x="16"/>
        <item x="12"/>
        <item x="41"/>
        <item x="5"/>
        <item x="74"/>
        <item x="18"/>
        <item x="35"/>
        <item x="10"/>
        <item x="47"/>
        <item x="34"/>
        <item x="13"/>
        <item x="60"/>
        <item x="37"/>
        <item x="61"/>
        <item x="46"/>
        <item x="2"/>
        <item x="44"/>
        <item x="53"/>
        <item x="19"/>
        <item x="39"/>
        <item x="25"/>
        <item x="64"/>
        <item x="78"/>
        <item x="51"/>
        <item x="50"/>
        <item x="9"/>
        <item x="23"/>
        <item x="27"/>
        <item x="36"/>
        <item x="45"/>
        <item x="6"/>
        <item x="67"/>
        <item x="57"/>
        <item x="62"/>
        <item x="77"/>
        <item x="8"/>
        <item x="21"/>
        <item x="4"/>
        <item x="24"/>
        <item x="17"/>
        <item x="71"/>
        <item x="72"/>
        <item x="30"/>
        <item x="22"/>
        <item x="3"/>
        <item x="43"/>
        <item x="38"/>
        <item x="66"/>
        <item x="58"/>
        <item x="76"/>
        <item x="31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80">
    <i>
      <x v="36"/>
    </i>
    <i>
      <x v="46"/>
    </i>
    <i>
      <x v="73"/>
    </i>
    <i>
      <x v="45"/>
    </i>
    <i>
      <x v="74"/>
    </i>
    <i>
      <x v="52"/>
    </i>
    <i>
      <x v="13"/>
    </i>
    <i>
      <x v="35"/>
    </i>
    <i>
      <x v="39"/>
    </i>
    <i>
      <x v="59"/>
    </i>
    <i>
      <x v="29"/>
    </i>
    <i>
      <x v="78"/>
    </i>
    <i>
      <x v="16"/>
    </i>
    <i>
      <x v="43"/>
    </i>
    <i>
      <x v="64"/>
    </i>
    <i>
      <x v="76"/>
    </i>
    <i>
      <x v="66"/>
    </i>
    <i>
      <x v="10"/>
    </i>
    <i>
      <x v="55"/>
    </i>
    <i>
      <x v="17"/>
    </i>
    <i>
      <x v="65"/>
    </i>
    <i>
      <x v="25"/>
    </i>
    <i>
      <x v="72"/>
    </i>
    <i>
      <x v="31"/>
    </i>
    <i>
      <x v="38"/>
    </i>
    <i>
      <x v="1"/>
    </i>
    <i>
      <x v="71"/>
    </i>
    <i>
      <x v="23"/>
    </i>
    <i>
      <x v="19"/>
    </i>
    <i>
      <x v="42"/>
    </i>
    <i>
      <x v="28"/>
    </i>
    <i>
      <x v="9"/>
    </i>
    <i>
      <x v="7"/>
    </i>
    <i>
      <x v="77"/>
    </i>
    <i>
      <x v="62"/>
    </i>
    <i>
      <x v="4"/>
    </i>
    <i>
      <x v="15"/>
    </i>
    <i>
      <x v="50"/>
    </i>
    <i>
      <x v="69"/>
    </i>
    <i>
      <x v="21"/>
    </i>
    <i>
      <x v="18"/>
    </i>
    <i>
      <x v="58"/>
    </i>
    <i>
      <x v="33"/>
    </i>
    <i>
      <x v="60"/>
    </i>
    <i>
      <x v="61"/>
    </i>
    <i>
      <x v="44"/>
    </i>
    <i>
      <x v="5"/>
    </i>
    <i>
      <x v="14"/>
    </i>
    <i>
      <x v="70"/>
    </i>
    <i>
      <x/>
    </i>
    <i>
      <x v="48"/>
    </i>
    <i>
      <x v="8"/>
    </i>
    <i>
      <x v="49"/>
    </i>
    <i>
      <x v="37"/>
    </i>
    <i>
      <x v="24"/>
    </i>
    <i>
      <x v="68"/>
    </i>
    <i>
      <x v="51"/>
    </i>
    <i>
      <x v="27"/>
    </i>
    <i>
      <x v="6"/>
    </i>
    <i>
      <x v="11"/>
    </i>
    <i>
      <x v="53"/>
    </i>
    <i>
      <x v="63"/>
    </i>
    <i>
      <x v="54"/>
    </i>
    <i>
      <x v="26"/>
    </i>
    <i>
      <x v="32"/>
    </i>
    <i>
      <x v="67"/>
    </i>
    <i>
      <x v="56"/>
    </i>
    <i>
      <x v="40"/>
    </i>
    <i>
      <x v="57"/>
    </i>
    <i>
      <x v="41"/>
    </i>
    <i>
      <x v="22"/>
    </i>
    <i>
      <x v="20"/>
    </i>
    <i>
      <x v="12"/>
    </i>
    <i>
      <x v="75"/>
    </i>
    <i>
      <x v="34"/>
    </i>
    <i>
      <x v="30"/>
    </i>
    <i>
      <x v="2"/>
    </i>
    <i>
      <x v="47"/>
    </i>
    <i>
      <x v="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4DDB9-3C5C-7D44-830E-60093A846D44}" name="Tabela dinâmica10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2AD07-E3A8-9748-8C55-F8AF184BBE0C}" name="Tabela1" displayName="Tabela1" ref="A1:D254" totalsRowShown="0" headerRowDxfId="24" dataDxfId="22" headerRowBorderDxfId="23" tableBorderDxfId="21" totalsRowBorderDxfId="20">
  <autoFilter ref="A1:D254" xr:uid="{2EE2AD07-E3A8-9748-8C55-F8AF184BBE0C}"/>
  <tableColumns count="4">
    <tableColumn id="1" xr3:uid="{EA964B03-CA04-3C4C-A6A2-66B06D471068}" name="problem" dataDxfId="19"/>
    <tableColumn id="2" xr3:uid="{0D43146D-D96E-AA46-A024-83F2733F4AD9}" name="cwe" dataDxfId="18"/>
    <tableColumn id="3" xr3:uid="{9ED1A017-61B5-2344-865E-D706764E9E17}" name="tool" dataDxfId="17"/>
    <tableColumn id="4" xr3:uid="{EDA970DB-1A18-1945-AE75-091953191B89}" name="frequency" dataDxfId="1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76B63-09EC-EC4D-A7ED-5D7EB8FFD3D0}" name="Tabela2" displayName="Tabela2" ref="A1:D193" totalsRowShown="0" headerRowDxfId="15">
  <autoFilter ref="A1:D193" xr:uid="{1AC76B63-09EC-EC4D-A7ED-5D7EB8FFD3D0}"/>
  <tableColumns count="4">
    <tableColumn id="1" xr3:uid="{FE44E471-0FD3-1040-9F92-5D83FD689004}" name="problem" dataDxfId="14"/>
    <tableColumn id="2" xr3:uid="{3B6EF97B-4E76-6945-9432-5FE963DDFFF0}" name="cwe" dataDxfId="13"/>
    <tableColumn id="3" xr3:uid="{457BB0EB-F86A-7F4B-BDD6-85F7F541ED16}" name="tool" dataDxfId="12"/>
    <tableColumn id="4" xr3:uid="{7FC3EBC4-3803-E542-8BCE-DEB13766188C}" name="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9582E-8462-A643-9637-12AD7388014E}" name="Tabela3" displayName="Tabela3" ref="A1:D173" totalsRowShown="0" headerRowDxfId="11">
  <autoFilter ref="A1:D173" xr:uid="{C319582E-8462-A643-9637-12AD7388014E}"/>
  <tableColumns count="4">
    <tableColumn id="1" xr3:uid="{6337E5CE-DEA1-8D40-A1B2-E31C511D9EBD}" name="problem" dataDxfId="10"/>
    <tableColumn id="2" xr3:uid="{42F7E874-5B4F-1C49-91F5-1410141D1756}" name="cwe" dataDxfId="9"/>
    <tableColumn id="3" xr3:uid="{1089695D-928C-E042-BC0F-D166BF646C01}" name="tool" dataDxfId="8"/>
    <tableColumn id="4" xr3:uid="{053A3B99-63E9-7448-AF2A-8429EF6B917F}" name="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EBEB97-5D09-8F4E-9424-EA3BD264722C}" name="Tabela4" displayName="Tabela4" ref="A1:D169" totalsRowShown="0">
  <autoFilter ref="A1:D169" xr:uid="{6DEBEB97-5D09-8F4E-9424-EA3BD264722C}"/>
  <tableColumns count="4">
    <tableColumn id="1" xr3:uid="{C29A73E3-4ADA-CF4A-A3D3-904F54E12F43}" name="problem"/>
    <tableColumn id="2" xr3:uid="{9C639429-ADDB-4E4C-A7C9-DFFDDE5E6DE6}" name="cwe"/>
    <tableColumn id="3" xr3:uid="{8470F63F-0C77-D149-B8CA-9E98EA172F6B}" name="tool"/>
    <tableColumn id="4" xr3:uid="{D02FE844-48AA-E442-AF93-DACB616D58F6}" name="frequ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E92953-0B88-9441-B772-97D98B8251F9}" name="Tabela5" displayName="Tabela5" ref="A1:D137" totalsRowShown="0">
  <autoFilter ref="A1:D137" xr:uid="{0DE92953-0B88-9441-B772-97D98B8251F9}"/>
  <tableColumns count="4">
    <tableColumn id="1" xr3:uid="{6FB5EEE0-733A-D24C-B84F-A52D43AF9666}" name="problem"/>
    <tableColumn id="2" xr3:uid="{6E3CD2AC-EDD9-E746-AEA7-516D9DBDCF84}" name="cwe"/>
    <tableColumn id="3" xr3:uid="{2D20D07B-46D1-9E49-90C2-A74988BFFEEA}" name="tool"/>
    <tableColumn id="4" xr3:uid="{03BE7599-6301-D049-8097-D15DB18D3930}" name="frequ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DC2D70-9E67-0941-8661-561237284A7C}" name="Tabela6" displayName="Tabela6" ref="A1:D113" totalsRowShown="0">
  <autoFilter ref="A1:D113" xr:uid="{5CDC2D70-9E67-0941-8661-561237284A7C}"/>
  <tableColumns count="4">
    <tableColumn id="1" xr3:uid="{D40BD800-AA14-B640-B90E-8B190FFBB27C}" name="problem"/>
    <tableColumn id="2" xr3:uid="{671A8664-5610-6D47-B521-FE8E803058AE}" name="cwe"/>
    <tableColumn id="3" xr3:uid="{20E7DD45-FA0F-7F42-B55B-5900B7A7BD27}" name="tool"/>
    <tableColumn id="4" xr3:uid="{E6FFE7ED-F5BF-224E-B7DE-5BCA7B2C3BDA}" name="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1.xml"/><Relationship Id="rId4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CE7B-6746-9845-B785-1A119CC2DECC}">
  <dimension ref="A3:I258"/>
  <sheetViews>
    <sheetView topLeftCell="A12" zoomScale="150" zoomScaleNormal="150" workbookViewId="0">
      <selection activeCell="H22" sqref="H22"/>
    </sheetView>
  </sheetViews>
  <sheetFormatPr baseColWidth="10" defaultRowHeight="16" x14ac:dyDescent="0.2"/>
  <cols>
    <col min="1" max="1" width="18.1640625" bestFit="1" customWidth="1"/>
    <col min="2" max="2" width="19.5" bestFit="1" customWidth="1"/>
    <col min="3" max="3" width="10" bestFit="1" customWidth="1"/>
    <col min="4" max="4" width="4.6640625" bestFit="1" customWidth="1"/>
    <col min="5" max="6" width="10.5" bestFit="1" customWidth="1"/>
    <col min="7" max="7" width="6.83203125" bestFit="1" customWidth="1"/>
    <col min="8" max="8" width="10.33203125" bestFit="1" customWidth="1"/>
    <col min="9" max="12" width="18.83203125" bestFit="1" customWidth="1"/>
    <col min="13" max="13" width="22" customWidth="1"/>
    <col min="14" max="14" width="3.1640625" customWidth="1"/>
    <col min="15" max="18" width="3.1640625" bestFit="1" customWidth="1"/>
    <col min="19" max="236" width="4.1640625" bestFit="1" customWidth="1"/>
    <col min="237" max="237" width="6.83203125" bestFit="1" customWidth="1"/>
    <col min="238" max="238" width="10.33203125" bestFit="1" customWidth="1"/>
  </cols>
  <sheetData>
    <row r="3" spans="1:5" x14ac:dyDescent="0.2">
      <c r="A3" s="4" t="s">
        <v>14</v>
      </c>
      <c r="B3" s="4" t="s">
        <v>13</v>
      </c>
    </row>
    <row r="4" spans="1:5" x14ac:dyDescent="0.2">
      <c r="A4" s="4" t="s">
        <v>12</v>
      </c>
      <c r="B4" t="s">
        <v>7</v>
      </c>
      <c r="C4" t="s">
        <v>6</v>
      </c>
      <c r="D4" t="s">
        <v>5</v>
      </c>
      <c r="E4" t="s">
        <v>15</v>
      </c>
    </row>
    <row r="5" spans="1:5" x14ac:dyDescent="0.2">
      <c r="A5" s="5">
        <v>284</v>
      </c>
      <c r="B5">
        <v>1</v>
      </c>
      <c r="E5">
        <v>1</v>
      </c>
    </row>
    <row r="6" spans="1:5" x14ac:dyDescent="0.2">
      <c r="A6" s="5">
        <v>664</v>
      </c>
      <c r="B6">
        <v>28</v>
      </c>
      <c r="C6">
        <v>315</v>
      </c>
      <c r="D6">
        <v>84</v>
      </c>
      <c r="E6">
        <v>427</v>
      </c>
    </row>
    <row r="7" spans="1:5" x14ac:dyDescent="0.2">
      <c r="A7" s="5">
        <v>682</v>
      </c>
      <c r="B7">
        <v>6</v>
      </c>
      <c r="C7">
        <v>8</v>
      </c>
      <c r="D7">
        <v>1</v>
      </c>
      <c r="E7">
        <v>15</v>
      </c>
    </row>
    <row r="8" spans="1:5" x14ac:dyDescent="0.2">
      <c r="A8" s="5">
        <v>707</v>
      </c>
      <c r="B8">
        <v>1</v>
      </c>
      <c r="C8">
        <v>28</v>
      </c>
      <c r="E8">
        <v>29</v>
      </c>
    </row>
    <row r="9" spans="1:5" x14ac:dyDescent="0.2">
      <c r="A9" s="5">
        <v>710</v>
      </c>
      <c r="B9">
        <v>1</v>
      </c>
      <c r="D9">
        <v>291</v>
      </c>
      <c r="E9">
        <v>292</v>
      </c>
    </row>
    <row r="10" spans="1:5" x14ac:dyDescent="0.2">
      <c r="A10" s="5" t="s">
        <v>15</v>
      </c>
      <c r="B10">
        <v>37</v>
      </c>
      <c r="C10">
        <v>351</v>
      </c>
      <c r="D10">
        <v>376</v>
      </c>
      <c r="E10">
        <v>764</v>
      </c>
    </row>
    <row r="20" spans="1:9" x14ac:dyDescent="0.2">
      <c r="A20" s="4" t="s">
        <v>11</v>
      </c>
      <c r="B20" s="4" t="s">
        <v>8</v>
      </c>
    </row>
    <row r="21" spans="1:9" x14ac:dyDescent="0.2">
      <c r="A21" s="4" t="s">
        <v>9</v>
      </c>
      <c r="B21" t="s">
        <v>5</v>
      </c>
      <c r="C21" t="s">
        <v>6</v>
      </c>
      <c r="D21" t="s">
        <v>7</v>
      </c>
      <c r="E21" t="s">
        <v>1</v>
      </c>
    </row>
    <row r="22" spans="1:9" x14ac:dyDescent="0.2">
      <c r="A22" s="5">
        <v>31</v>
      </c>
      <c r="B22">
        <v>19</v>
      </c>
      <c r="E22">
        <v>19</v>
      </c>
      <c r="G22">
        <v>1</v>
      </c>
      <c r="H22">
        <f>COUNTIF($E$22:$E$256,$G22)</f>
        <v>64</v>
      </c>
      <c r="I22">
        <f>H22*G22</f>
        <v>64</v>
      </c>
    </row>
    <row r="23" spans="1:9" x14ac:dyDescent="0.2">
      <c r="A23" s="5">
        <v>729</v>
      </c>
      <c r="B23">
        <v>15</v>
      </c>
      <c r="D23">
        <v>1</v>
      </c>
      <c r="E23">
        <v>16</v>
      </c>
      <c r="G23">
        <v>2</v>
      </c>
      <c r="H23">
        <f t="shared" ref="H23:H39" si="0">COUNTIF($E$22:$E$256,$G23)</f>
        <v>60</v>
      </c>
      <c r="I23">
        <f t="shared" ref="I23:I40" si="1">H23*G23</f>
        <v>120</v>
      </c>
    </row>
    <row r="24" spans="1:9" x14ac:dyDescent="0.2">
      <c r="A24" s="5">
        <v>906</v>
      </c>
      <c r="B24">
        <v>2</v>
      </c>
      <c r="C24">
        <v>12</v>
      </c>
      <c r="E24">
        <v>14</v>
      </c>
      <c r="G24">
        <v>3</v>
      </c>
      <c r="H24">
        <f t="shared" si="0"/>
        <v>34</v>
      </c>
      <c r="I24">
        <f t="shared" si="1"/>
        <v>102</v>
      </c>
    </row>
    <row r="25" spans="1:9" x14ac:dyDescent="0.2">
      <c r="A25" s="5">
        <v>933</v>
      </c>
      <c r="B25">
        <v>10</v>
      </c>
      <c r="C25">
        <v>3</v>
      </c>
      <c r="E25">
        <v>13</v>
      </c>
      <c r="G25">
        <v>4</v>
      </c>
      <c r="H25">
        <f t="shared" si="0"/>
        <v>30</v>
      </c>
      <c r="I25">
        <f t="shared" si="1"/>
        <v>120</v>
      </c>
    </row>
    <row r="26" spans="1:9" x14ac:dyDescent="0.2">
      <c r="A26" s="5">
        <v>282</v>
      </c>
      <c r="B26">
        <v>11</v>
      </c>
      <c r="E26">
        <v>11</v>
      </c>
      <c r="G26">
        <v>5</v>
      </c>
      <c r="H26">
        <f t="shared" si="0"/>
        <v>11</v>
      </c>
      <c r="I26">
        <f t="shared" si="1"/>
        <v>55</v>
      </c>
    </row>
    <row r="27" spans="1:9" x14ac:dyDescent="0.2">
      <c r="A27" s="5">
        <v>620</v>
      </c>
      <c r="B27">
        <v>11</v>
      </c>
      <c r="E27">
        <v>11</v>
      </c>
      <c r="G27">
        <v>6</v>
      </c>
      <c r="H27">
        <f t="shared" si="0"/>
        <v>12</v>
      </c>
      <c r="I27">
        <f t="shared" si="1"/>
        <v>72</v>
      </c>
    </row>
    <row r="28" spans="1:9" x14ac:dyDescent="0.2">
      <c r="A28" s="5">
        <v>892</v>
      </c>
      <c r="B28">
        <v>6</v>
      </c>
      <c r="C28">
        <v>2</v>
      </c>
      <c r="D28">
        <v>2</v>
      </c>
      <c r="E28">
        <v>10</v>
      </c>
      <c r="G28">
        <v>7</v>
      </c>
      <c r="H28">
        <f t="shared" si="0"/>
        <v>6</v>
      </c>
      <c r="I28">
        <f t="shared" si="1"/>
        <v>42</v>
      </c>
    </row>
    <row r="29" spans="1:9" x14ac:dyDescent="0.2">
      <c r="A29" s="5">
        <v>897</v>
      </c>
      <c r="C29">
        <v>10</v>
      </c>
      <c r="E29">
        <v>10</v>
      </c>
      <c r="G29">
        <v>8</v>
      </c>
      <c r="H29">
        <f t="shared" si="0"/>
        <v>5</v>
      </c>
      <c r="I29">
        <f t="shared" si="1"/>
        <v>40</v>
      </c>
    </row>
    <row r="30" spans="1:9" x14ac:dyDescent="0.2">
      <c r="A30" s="5">
        <v>174</v>
      </c>
      <c r="B30">
        <v>5</v>
      </c>
      <c r="C30">
        <v>4</v>
      </c>
      <c r="E30">
        <v>9</v>
      </c>
      <c r="G30">
        <v>9</v>
      </c>
      <c r="H30">
        <f t="shared" si="0"/>
        <v>5</v>
      </c>
      <c r="I30">
        <f t="shared" si="1"/>
        <v>45</v>
      </c>
    </row>
    <row r="31" spans="1:9" x14ac:dyDescent="0.2">
      <c r="A31" s="5">
        <v>758</v>
      </c>
      <c r="B31">
        <v>9</v>
      </c>
      <c r="E31">
        <v>9</v>
      </c>
      <c r="G31">
        <v>10</v>
      </c>
      <c r="H31">
        <f t="shared" si="0"/>
        <v>2</v>
      </c>
      <c r="I31">
        <f t="shared" si="1"/>
        <v>20</v>
      </c>
    </row>
    <row r="32" spans="1:9" x14ac:dyDescent="0.2">
      <c r="A32" s="5">
        <v>427</v>
      </c>
      <c r="B32">
        <v>6</v>
      </c>
      <c r="C32">
        <v>2</v>
      </c>
      <c r="D32">
        <v>1</v>
      </c>
      <c r="E32">
        <v>9</v>
      </c>
      <c r="G32">
        <v>11</v>
      </c>
      <c r="H32">
        <f t="shared" si="0"/>
        <v>2</v>
      </c>
      <c r="I32">
        <f t="shared" si="1"/>
        <v>22</v>
      </c>
    </row>
    <row r="33" spans="1:9" x14ac:dyDescent="0.2">
      <c r="A33" s="5">
        <v>610</v>
      </c>
      <c r="B33">
        <v>9</v>
      </c>
      <c r="E33">
        <v>9</v>
      </c>
      <c r="G33">
        <v>12</v>
      </c>
      <c r="H33">
        <f t="shared" si="0"/>
        <v>0</v>
      </c>
      <c r="I33">
        <f t="shared" si="1"/>
        <v>0</v>
      </c>
    </row>
    <row r="34" spans="1:9" x14ac:dyDescent="0.2">
      <c r="A34" s="5">
        <v>923</v>
      </c>
      <c r="B34">
        <v>1</v>
      </c>
      <c r="C34">
        <v>8</v>
      </c>
      <c r="E34">
        <v>9</v>
      </c>
      <c r="G34">
        <v>13</v>
      </c>
      <c r="H34">
        <f>COUNTIF($E$22:$E$256,$G34)</f>
        <v>1</v>
      </c>
      <c r="I34">
        <f t="shared" si="1"/>
        <v>13</v>
      </c>
    </row>
    <row r="35" spans="1:9" x14ac:dyDescent="0.2">
      <c r="A35" s="5">
        <v>938</v>
      </c>
      <c r="B35">
        <v>5</v>
      </c>
      <c r="D35">
        <v>3</v>
      </c>
      <c r="E35">
        <v>8</v>
      </c>
      <c r="G35">
        <v>14</v>
      </c>
      <c r="H35">
        <f>COUNTIF($E$22:$E$256,$G35)</f>
        <v>1</v>
      </c>
      <c r="I35">
        <f t="shared" si="1"/>
        <v>14</v>
      </c>
    </row>
    <row r="36" spans="1:9" x14ac:dyDescent="0.2">
      <c r="A36" s="5">
        <v>437</v>
      </c>
      <c r="B36">
        <v>4</v>
      </c>
      <c r="C36">
        <v>2</v>
      </c>
      <c r="D36">
        <v>2</v>
      </c>
      <c r="E36">
        <v>8</v>
      </c>
      <c r="G36">
        <v>15</v>
      </c>
      <c r="H36">
        <f t="shared" si="0"/>
        <v>0</v>
      </c>
      <c r="I36">
        <f t="shared" si="1"/>
        <v>0</v>
      </c>
    </row>
    <row r="37" spans="1:9" x14ac:dyDescent="0.2">
      <c r="A37" s="5">
        <v>748</v>
      </c>
      <c r="B37">
        <v>7</v>
      </c>
      <c r="C37">
        <v>1</v>
      </c>
      <c r="E37">
        <v>8</v>
      </c>
      <c r="G37">
        <v>16</v>
      </c>
      <c r="H37">
        <f>COUNTIF($E$22:$E$256,$G37)</f>
        <v>1</v>
      </c>
      <c r="I37">
        <f t="shared" si="1"/>
        <v>16</v>
      </c>
    </row>
    <row r="38" spans="1:9" x14ac:dyDescent="0.2">
      <c r="A38" s="5">
        <v>391</v>
      </c>
      <c r="B38">
        <v>8</v>
      </c>
      <c r="E38">
        <v>8</v>
      </c>
      <c r="G38">
        <v>17</v>
      </c>
      <c r="H38">
        <f t="shared" si="0"/>
        <v>0</v>
      </c>
      <c r="I38">
        <f t="shared" si="1"/>
        <v>0</v>
      </c>
    </row>
    <row r="39" spans="1:9" x14ac:dyDescent="0.2">
      <c r="A39" s="5">
        <v>618</v>
      </c>
      <c r="B39">
        <v>8</v>
      </c>
      <c r="E39">
        <v>8</v>
      </c>
      <c r="G39">
        <v>18</v>
      </c>
      <c r="H39">
        <f t="shared" si="0"/>
        <v>0</v>
      </c>
      <c r="I39">
        <f t="shared" si="1"/>
        <v>0</v>
      </c>
    </row>
    <row r="40" spans="1:9" x14ac:dyDescent="0.2">
      <c r="A40" s="5">
        <v>500</v>
      </c>
      <c r="B40">
        <v>5</v>
      </c>
      <c r="C40">
        <v>2</v>
      </c>
      <c r="E40">
        <v>7</v>
      </c>
      <c r="G40">
        <v>19</v>
      </c>
      <c r="H40">
        <f>COUNTIF($E$22:$E$256,$G40)</f>
        <v>1</v>
      </c>
      <c r="I40">
        <f t="shared" si="1"/>
        <v>19</v>
      </c>
    </row>
    <row r="41" spans="1:9" x14ac:dyDescent="0.2">
      <c r="A41" s="5">
        <v>693</v>
      </c>
      <c r="B41">
        <v>6</v>
      </c>
      <c r="C41">
        <v>1</v>
      </c>
      <c r="E41">
        <v>7</v>
      </c>
      <c r="I41">
        <f>SUM(I22:I40)/SUM(H22:H40)</f>
        <v>3.2510638297872338</v>
      </c>
    </row>
    <row r="42" spans="1:9" x14ac:dyDescent="0.2">
      <c r="A42" s="5">
        <v>653</v>
      </c>
      <c r="B42">
        <v>3</v>
      </c>
      <c r="C42">
        <v>4</v>
      </c>
      <c r="E42">
        <v>7</v>
      </c>
    </row>
    <row r="43" spans="1:9" x14ac:dyDescent="0.2">
      <c r="A43" s="5">
        <v>779</v>
      </c>
      <c r="B43">
        <v>7</v>
      </c>
      <c r="E43">
        <v>7</v>
      </c>
    </row>
    <row r="44" spans="1:9" x14ac:dyDescent="0.2">
      <c r="A44" s="5">
        <v>727</v>
      </c>
      <c r="B44">
        <v>4</v>
      </c>
      <c r="C44">
        <v>3</v>
      </c>
      <c r="E44">
        <v>7</v>
      </c>
    </row>
    <row r="45" spans="1:9" x14ac:dyDescent="0.2">
      <c r="A45" s="5">
        <v>946</v>
      </c>
      <c r="C45">
        <v>7</v>
      </c>
      <c r="E45">
        <v>7</v>
      </c>
    </row>
    <row r="46" spans="1:9" x14ac:dyDescent="0.2">
      <c r="A46" s="5">
        <v>862</v>
      </c>
      <c r="B46">
        <v>2</v>
      </c>
      <c r="C46">
        <v>4</v>
      </c>
      <c r="E46">
        <v>6</v>
      </c>
    </row>
    <row r="47" spans="1:9" x14ac:dyDescent="0.2">
      <c r="A47" s="5">
        <v>928</v>
      </c>
      <c r="C47">
        <v>6</v>
      </c>
      <c r="E47">
        <v>6</v>
      </c>
    </row>
    <row r="48" spans="1:9" x14ac:dyDescent="0.2">
      <c r="A48" s="5">
        <v>262</v>
      </c>
      <c r="B48">
        <v>6</v>
      </c>
      <c r="E48">
        <v>6</v>
      </c>
    </row>
    <row r="49" spans="1:5" x14ac:dyDescent="0.2">
      <c r="A49" s="5">
        <v>18</v>
      </c>
      <c r="C49">
        <v>6</v>
      </c>
      <c r="E49">
        <v>6</v>
      </c>
    </row>
    <row r="50" spans="1:5" x14ac:dyDescent="0.2">
      <c r="A50" s="5">
        <v>829</v>
      </c>
      <c r="B50">
        <v>4</v>
      </c>
      <c r="C50">
        <v>2</v>
      </c>
      <c r="E50">
        <v>6</v>
      </c>
    </row>
    <row r="51" spans="1:5" x14ac:dyDescent="0.2">
      <c r="A51" s="5">
        <v>301</v>
      </c>
      <c r="B51">
        <v>4</v>
      </c>
      <c r="C51">
        <v>2</v>
      </c>
      <c r="E51">
        <v>6</v>
      </c>
    </row>
    <row r="52" spans="1:5" x14ac:dyDescent="0.2">
      <c r="A52" s="5">
        <v>240</v>
      </c>
      <c r="B52">
        <v>6</v>
      </c>
      <c r="E52">
        <v>6</v>
      </c>
    </row>
    <row r="53" spans="1:5" x14ac:dyDescent="0.2">
      <c r="A53" s="5">
        <v>403</v>
      </c>
      <c r="C53">
        <v>6</v>
      </c>
      <c r="E53">
        <v>6</v>
      </c>
    </row>
    <row r="54" spans="1:5" x14ac:dyDescent="0.2">
      <c r="A54" s="5">
        <v>263</v>
      </c>
      <c r="C54">
        <v>6</v>
      </c>
      <c r="E54">
        <v>6</v>
      </c>
    </row>
    <row r="55" spans="1:5" x14ac:dyDescent="0.2">
      <c r="A55" s="5">
        <v>418</v>
      </c>
      <c r="B55">
        <v>6</v>
      </c>
      <c r="E55">
        <v>6</v>
      </c>
    </row>
    <row r="56" spans="1:5" x14ac:dyDescent="0.2">
      <c r="A56" s="5">
        <v>783</v>
      </c>
      <c r="B56">
        <v>6</v>
      </c>
      <c r="E56">
        <v>6</v>
      </c>
    </row>
    <row r="57" spans="1:5" x14ac:dyDescent="0.2">
      <c r="A57" s="5">
        <v>497</v>
      </c>
      <c r="B57">
        <v>6</v>
      </c>
      <c r="E57">
        <v>6</v>
      </c>
    </row>
    <row r="58" spans="1:5" x14ac:dyDescent="0.2">
      <c r="A58" s="5">
        <v>920</v>
      </c>
      <c r="B58">
        <v>1</v>
      </c>
      <c r="D58">
        <v>4</v>
      </c>
      <c r="E58">
        <v>5</v>
      </c>
    </row>
    <row r="59" spans="1:5" x14ac:dyDescent="0.2">
      <c r="A59" s="5">
        <v>11</v>
      </c>
      <c r="C59">
        <v>5</v>
      </c>
      <c r="E59">
        <v>5</v>
      </c>
    </row>
    <row r="60" spans="1:5" x14ac:dyDescent="0.2">
      <c r="A60" s="5">
        <v>9</v>
      </c>
      <c r="B60">
        <v>4</v>
      </c>
      <c r="C60">
        <v>1</v>
      </c>
      <c r="E60">
        <v>5</v>
      </c>
    </row>
    <row r="61" spans="1:5" x14ac:dyDescent="0.2">
      <c r="A61" s="5">
        <v>832</v>
      </c>
      <c r="B61">
        <v>1</v>
      </c>
      <c r="C61">
        <v>4</v>
      </c>
      <c r="E61">
        <v>5</v>
      </c>
    </row>
    <row r="62" spans="1:5" x14ac:dyDescent="0.2">
      <c r="A62" s="5">
        <v>565</v>
      </c>
      <c r="C62">
        <v>5</v>
      </c>
      <c r="E62">
        <v>5</v>
      </c>
    </row>
    <row r="63" spans="1:5" x14ac:dyDescent="0.2">
      <c r="A63" s="5">
        <v>310</v>
      </c>
      <c r="C63">
        <v>5</v>
      </c>
      <c r="E63">
        <v>5</v>
      </c>
    </row>
    <row r="64" spans="1:5" x14ac:dyDescent="0.2">
      <c r="A64" s="5">
        <v>5</v>
      </c>
      <c r="B64">
        <v>4</v>
      </c>
      <c r="D64">
        <v>1</v>
      </c>
      <c r="E64">
        <v>5</v>
      </c>
    </row>
    <row r="65" spans="1:5" x14ac:dyDescent="0.2">
      <c r="A65" s="5">
        <v>866</v>
      </c>
      <c r="B65">
        <v>1</v>
      </c>
      <c r="C65">
        <v>4</v>
      </c>
      <c r="E65">
        <v>5</v>
      </c>
    </row>
    <row r="66" spans="1:5" x14ac:dyDescent="0.2">
      <c r="A66" s="5">
        <v>290</v>
      </c>
      <c r="B66">
        <v>5</v>
      </c>
      <c r="E66">
        <v>5</v>
      </c>
    </row>
    <row r="67" spans="1:5" x14ac:dyDescent="0.2">
      <c r="A67" s="5">
        <v>100</v>
      </c>
      <c r="C67">
        <v>5</v>
      </c>
      <c r="E67">
        <v>5</v>
      </c>
    </row>
    <row r="68" spans="1:5" x14ac:dyDescent="0.2">
      <c r="A68" s="5">
        <v>526</v>
      </c>
      <c r="B68">
        <v>2</v>
      </c>
      <c r="C68">
        <v>3</v>
      </c>
      <c r="E68">
        <v>5</v>
      </c>
    </row>
    <row r="69" spans="1:5" x14ac:dyDescent="0.2">
      <c r="A69" s="5">
        <v>795</v>
      </c>
      <c r="B69">
        <v>2</v>
      </c>
      <c r="C69">
        <v>2</v>
      </c>
      <c r="E69">
        <v>4</v>
      </c>
    </row>
    <row r="70" spans="1:5" x14ac:dyDescent="0.2">
      <c r="A70" s="5">
        <v>208</v>
      </c>
      <c r="B70">
        <v>2</v>
      </c>
      <c r="C70">
        <v>2</v>
      </c>
      <c r="E70">
        <v>4</v>
      </c>
    </row>
    <row r="71" spans="1:5" x14ac:dyDescent="0.2">
      <c r="A71" s="5">
        <v>377</v>
      </c>
      <c r="C71">
        <v>4</v>
      </c>
      <c r="E71">
        <v>4</v>
      </c>
    </row>
    <row r="72" spans="1:5" x14ac:dyDescent="0.2">
      <c r="A72" s="5">
        <v>676</v>
      </c>
      <c r="B72">
        <v>4</v>
      </c>
      <c r="E72">
        <v>4</v>
      </c>
    </row>
    <row r="73" spans="1:5" x14ac:dyDescent="0.2">
      <c r="A73" s="5">
        <v>669</v>
      </c>
      <c r="C73">
        <v>4</v>
      </c>
      <c r="E73">
        <v>4</v>
      </c>
    </row>
    <row r="74" spans="1:5" x14ac:dyDescent="0.2">
      <c r="A74" s="5">
        <v>39</v>
      </c>
      <c r="C74">
        <v>4</v>
      </c>
      <c r="E74">
        <v>4</v>
      </c>
    </row>
    <row r="75" spans="1:5" x14ac:dyDescent="0.2">
      <c r="A75" s="5">
        <v>192</v>
      </c>
      <c r="C75">
        <v>4</v>
      </c>
      <c r="E75">
        <v>4</v>
      </c>
    </row>
    <row r="76" spans="1:5" x14ac:dyDescent="0.2">
      <c r="A76" s="5">
        <v>699</v>
      </c>
      <c r="C76">
        <v>4</v>
      </c>
      <c r="E76">
        <v>4</v>
      </c>
    </row>
    <row r="77" spans="1:5" x14ac:dyDescent="0.2">
      <c r="A77" s="5">
        <v>585</v>
      </c>
      <c r="B77">
        <v>4</v>
      </c>
      <c r="E77">
        <v>4</v>
      </c>
    </row>
    <row r="78" spans="1:5" x14ac:dyDescent="0.2">
      <c r="A78" s="5">
        <v>705</v>
      </c>
      <c r="C78">
        <v>4</v>
      </c>
      <c r="E78">
        <v>4</v>
      </c>
    </row>
    <row r="79" spans="1:5" x14ac:dyDescent="0.2">
      <c r="A79" s="5">
        <v>407</v>
      </c>
      <c r="C79">
        <v>4</v>
      </c>
      <c r="E79">
        <v>4</v>
      </c>
    </row>
    <row r="80" spans="1:5" x14ac:dyDescent="0.2">
      <c r="A80" s="5">
        <v>725</v>
      </c>
      <c r="B80">
        <v>2</v>
      </c>
      <c r="C80">
        <v>2</v>
      </c>
      <c r="E80">
        <v>4</v>
      </c>
    </row>
    <row r="81" spans="1:5" x14ac:dyDescent="0.2">
      <c r="A81" s="5">
        <v>794</v>
      </c>
      <c r="C81">
        <v>4</v>
      </c>
      <c r="E81">
        <v>4</v>
      </c>
    </row>
    <row r="82" spans="1:5" x14ac:dyDescent="0.2">
      <c r="A82" s="5">
        <v>125</v>
      </c>
      <c r="C82">
        <v>4</v>
      </c>
      <c r="E82">
        <v>4</v>
      </c>
    </row>
    <row r="83" spans="1:5" x14ac:dyDescent="0.2">
      <c r="A83" s="5">
        <v>191</v>
      </c>
      <c r="C83">
        <v>4</v>
      </c>
      <c r="E83">
        <v>4</v>
      </c>
    </row>
    <row r="84" spans="1:5" x14ac:dyDescent="0.2">
      <c r="A84" s="5">
        <v>131</v>
      </c>
      <c r="B84">
        <v>1</v>
      </c>
      <c r="C84">
        <v>3</v>
      </c>
      <c r="E84">
        <v>4</v>
      </c>
    </row>
    <row r="85" spans="1:5" x14ac:dyDescent="0.2">
      <c r="A85" s="5">
        <v>336</v>
      </c>
      <c r="C85">
        <v>4</v>
      </c>
      <c r="E85">
        <v>4</v>
      </c>
    </row>
    <row r="86" spans="1:5" x14ac:dyDescent="0.2">
      <c r="A86" s="5">
        <v>440</v>
      </c>
      <c r="C86">
        <v>4</v>
      </c>
      <c r="E86">
        <v>4</v>
      </c>
    </row>
    <row r="87" spans="1:5" x14ac:dyDescent="0.2">
      <c r="A87" s="5">
        <v>584</v>
      </c>
      <c r="B87">
        <v>2</v>
      </c>
      <c r="C87">
        <v>2</v>
      </c>
      <c r="E87">
        <v>4</v>
      </c>
    </row>
    <row r="88" spans="1:5" x14ac:dyDescent="0.2">
      <c r="A88" s="5">
        <v>451</v>
      </c>
      <c r="B88">
        <v>4</v>
      </c>
      <c r="E88">
        <v>4</v>
      </c>
    </row>
    <row r="89" spans="1:5" x14ac:dyDescent="0.2">
      <c r="A89" s="5">
        <v>387</v>
      </c>
      <c r="C89">
        <v>4</v>
      </c>
      <c r="E89">
        <v>4</v>
      </c>
    </row>
    <row r="90" spans="1:5" x14ac:dyDescent="0.2">
      <c r="A90" s="5">
        <v>771</v>
      </c>
      <c r="C90">
        <v>4</v>
      </c>
      <c r="E90">
        <v>4</v>
      </c>
    </row>
    <row r="91" spans="1:5" x14ac:dyDescent="0.2">
      <c r="A91" s="5">
        <v>237</v>
      </c>
      <c r="C91">
        <v>4</v>
      </c>
      <c r="E91">
        <v>4</v>
      </c>
    </row>
    <row r="92" spans="1:5" x14ac:dyDescent="0.2">
      <c r="A92" s="5">
        <v>772</v>
      </c>
      <c r="B92">
        <v>1</v>
      </c>
      <c r="C92">
        <v>3</v>
      </c>
      <c r="E92">
        <v>4</v>
      </c>
    </row>
    <row r="93" spans="1:5" x14ac:dyDescent="0.2">
      <c r="A93" s="5">
        <v>667</v>
      </c>
      <c r="C93">
        <v>4</v>
      </c>
      <c r="E93">
        <v>4</v>
      </c>
    </row>
    <row r="94" spans="1:5" x14ac:dyDescent="0.2">
      <c r="A94" s="5">
        <v>83</v>
      </c>
      <c r="C94">
        <v>4</v>
      </c>
      <c r="E94">
        <v>4</v>
      </c>
    </row>
    <row r="95" spans="1:5" x14ac:dyDescent="0.2">
      <c r="A95" s="5">
        <v>187</v>
      </c>
      <c r="C95">
        <v>4</v>
      </c>
      <c r="E95">
        <v>4</v>
      </c>
    </row>
    <row r="96" spans="1:5" x14ac:dyDescent="0.2">
      <c r="A96" s="5">
        <v>967</v>
      </c>
      <c r="C96">
        <v>4</v>
      </c>
      <c r="E96">
        <v>4</v>
      </c>
    </row>
    <row r="97" spans="1:5" x14ac:dyDescent="0.2">
      <c r="A97" s="5">
        <v>528</v>
      </c>
      <c r="B97">
        <v>4</v>
      </c>
      <c r="E97">
        <v>4</v>
      </c>
    </row>
    <row r="98" spans="1:5" x14ac:dyDescent="0.2">
      <c r="A98" s="5">
        <v>538</v>
      </c>
      <c r="B98">
        <v>1</v>
      </c>
      <c r="C98">
        <v>3</v>
      </c>
      <c r="E98">
        <v>4</v>
      </c>
    </row>
    <row r="99" spans="1:5" x14ac:dyDescent="0.2">
      <c r="A99" s="5">
        <v>956</v>
      </c>
      <c r="B99">
        <v>3</v>
      </c>
      <c r="E99">
        <v>3</v>
      </c>
    </row>
    <row r="100" spans="1:5" x14ac:dyDescent="0.2">
      <c r="A100" s="5">
        <v>822</v>
      </c>
      <c r="B100">
        <v>3</v>
      </c>
      <c r="E100">
        <v>3</v>
      </c>
    </row>
    <row r="101" spans="1:5" x14ac:dyDescent="0.2">
      <c r="A101" s="5">
        <v>747</v>
      </c>
      <c r="C101">
        <v>3</v>
      </c>
      <c r="E101">
        <v>3</v>
      </c>
    </row>
    <row r="102" spans="1:5" x14ac:dyDescent="0.2">
      <c r="A102" s="5">
        <v>386</v>
      </c>
      <c r="C102">
        <v>3</v>
      </c>
      <c r="E102">
        <v>3</v>
      </c>
    </row>
    <row r="103" spans="1:5" x14ac:dyDescent="0.2">
      <c r="A103" s="5">
        <v>871</v>
      </c>
      <c r="C103">
        <v>2</v>
      </c>
      <c r="D103">
        <v>1</v>
      </c>
      <c r="E103">
        <v>3</v>
      </c>
    </row>
    <row r="104" spans="1:5" x14ac:dyDescent="0.2">
      <c r="A104" s="5">
        <v>411</v>
      </c>
      <c r="C104">
        <v>3</v>
      </c>
      <c r="E104">
        <v>3</v>
      </c>
    </row>
    <row r="105" spans="1:5" x14ac:dyDescent="0.2">
      <c r="A105" s="5">
        <v>718</v>
      </c>
      <c r="B105">
        <v>3</v>
      </c>
      <c r="E105">
        <v>3</v>
      </c>
    </row>
    <row r="106" spans="1:5" x14ac:dyDescent="0.2">
      <c r="A106" s="5">
        <v>513</v>
      </c>
      <c r="C106">
        <v>3</v>
      </c>
      <c r="E106">
        <v>3</v>
      </c>
    </row>
    <row r="107" spans="1:5" x14ac:dyDescent="0.2">
      <c r="A107" s="5">
        <v>753</v>
      </c>
      <c r="B107">
        <v>1</v>
      </c>
      <c r="C107">
        <v>2</v>
      </c>
      <c r="E107">
        <v>3</v>
      </c>
    </row>
    <row r="108" spans="1:5" x14ac:dyDescent="0.2">
      <c r="A108" s="5">
        <v>173</v>
      </c>
      <c r="B108">
        <v>1</v>
      </c>
      <c r="C108">
        <v>2</v>
      </c>
      <c r="E108">
        <v>3</v>
      </c>
    </row>
    <row r="109" spans="1:5" x14ac:dyDescent="0.2">
      <c r="A109" s="5">
        <v>275</v>
      </c>
      <c r="B109">
        <v>2</v>
      </c>
      <c r="D109">
        <v>1</v>
      </c>
      <c r="E109">
        <v>3</v>
      </c>
    </row>
    <row r="110" spans="1:5" x14ac:dyDescent="0.2">
      <c r="A110" s="5">
        <v>532</v>
      </c>
      <c r="B110">
        <v>1</v>
      </c>
      <c r="C110">
        <v>2</v>
      </c>
      <c r="E110">
        <v>3</v>
      </c>
    </row>
    <row r="111" spans="1:5" x14ac:dyDescent="0.2">
      <c r="A111" s="5">
        <v>902</v>
      </c>
      <c r="B111">
        <v>2</v>
      </c>
      <c r="D111">
        <v>1</v>
      </c>
      <c r="E111">
        <v>3</v>
      </c>
    </row>
    <row r="112" spans="1:5" x14ac:dyDescent="0.2">
      <c r="A112" s="5">
        <v>544</v>
      </c>
      <c r="B112">
        <v>1</v>
      </c>
      <c r="C112">
        <v>2</v>
      </c>
      <c r="E112">
        <v>3</v>
      </c>
    </row>
    <row r="113" spans="1:5" x14ac:dyDescent="0.2">
      <c r="A113" s="5">
        <v>972</v>
      </c>
      <c r="B113">
        <v>3</v>
      </c>
      <c r="E113">
        <v>3</v>
      </c>
    </row>
    <row r="114" spans="1:5" x14ac:dyDescent="0.2">
      <c r="A114" s="5">
        <v>580</v>
      </c>
      <c r="B114">
        <v>3</v>
      </c>
      <c r="E114">
        <v>3</v>
      </c>
    </row>
    <row r="115" spans="1:5" x14ac:dyDescent="0.2">
      <c r="A115" s="5">
        <v>238</v>
      </c>
      <c r="C115">
        <v>3</v>
      </c>
      <c r="E115">
        <v>3</v>
      </c>
    </row>
    <row r="116" spans="1:5" x14ac:dyDescent="0.2">
      <c r="A116" s="5">
        <v>612</v>
      </c>
      <c r="B116">
        <v>3</v>
      </c>
      <c r="E116">
        <v>3</v>
      </c>
    </row>
    <row r="117" spans="1:5" x14ac:dyDescent="0.2">
      <c r="A117" s="5">
        <v>750</v>
      </c>
      <c r="B117">
        <v>3</v>
      </c>
      <c r="E117">
        <v>3</v>
      </c>
    </row>
    <row r="118" spans="1:5" x14ac:dyDescent="0.2">
      <c r="A118" s="5">
        <v>619</v>
      </c>
      <c r="B118">
        <v>1</v>
      </c>
      <c r="C118">
        <v>2</v>
      </c>
      <c r="E118">
        <v>3</v>
      </c>
    </row>
    <row r="119" spans="1:5" x14ac:dyDescent="0.2">
      <c r="A119" s="5">
        <v>812</v>
      </c>
      <c r="C119">
        <v>3</v>
      </c>
      <c r="E119">
        <v>3</v>
      </c>
    </row>
    <row r="120" spans="1:5" x14ac:dyDescent="0.2">
      <c r="A120" s="5">
        <v>640</v>
      </c>
      <c r="C120">
        <v>3</v>
      </c>
      <c r="E120">
        <v>3</v>
      </c>
    </row>
    <row r="121" spans="1:5" x14ac:dyDescent="0.2">
      <c r="A121" s="5">
        <v>102</v>
      </c>
      <c r="B121">
        <v>2</v>
      </c>
      <c r="C121">
        <v>1</v>
      </c>
      <c r="E121">
        <v>3</v>
      </c>
    </row>
    <row r="122" spans="1:5" x14ac:dyDescent="0.2">
      <c r="A122" s="5">
        <v>202</v>
      </c>
      <c r="B122">
        <v>2</v>
      </c>
      <c r="C122">
        <v>1</v>
      </c>
      <c r="E122">
        <v>3</v>
      </c>
    </row>
    <row r="123" spans="1:5" x14ac:dyDescent="0.2">
      <c r="A123" s="5">
        <v>869</v>
      </c>
      <c r="B123">
        <v>3</v>
      </c>
      <c r="E123">
        <v>3</v>
      </c>
    </row>
    <row r="124" spans="1:5" x14ac:dyDescent="0.2">
      <c r="A124" s="5">
        <v>674</v>
      </c>
      <c r="C124">
        <v>2</v>
      </c>
      <c r="D124">
        <v>1</v>
      </c>
      <c r="E124">
        <v>3</v>
      </c>
    </row>
    <row r="125" spans="1:5" x14ac:dyDescent="0.2">
      <c r="A125" s="5">
        <v>893</v>
      </c>
      <c r="B125">
        <v>3</v>
      </c>
      <c r="E125">
        <v>3</v>
      </c>
    </row>
    <row r="126" spans="1:5" x14ac:dyDescent="0.2">
      <c r="A126" s="5">
        <v>691</v>
      </c>
      <c r="B126">
        <v>3</v>
      </c>
      <c r="E126">
        <v>3</v>
      </c>
    </row>
    <row r="127" spans="1:5" x14ac:dyDescent="0.2">
      <c r="A127" s="5">
        <v>315</v>
      </c>
      <c r="C127">
        <v>3</v>
      </c>
      <c r="E127">
        <v>3</v>
      </c>
    </row>
    <row r="128" spans="1:5" x14ac:dyDescent="0.2">
      <c r="A128" s="5">
        <v>73</v>
      </c>
      <c r="B128">
        <v>3</v>
      </c>
      <c r="E128">
        <v>3</v>
      </c>
    </row>
    <row r="129" spans="1:5" x14ac:dyDescent="0.2">
      <c r="A129" s="5">
        <v>961</v>
      </c>
      <c r="B129">
        <v>2</v>
      </c>
      <c r="C129">
        <v>1</v>
      </c>
      <c r="E129">
        <v>3</v>
      </c>
    </row>
    <row r="130" spans="1:5" x14ac:dyDescent="0.2">
      <c r="A130" s="5">
        <v>217</v>
      </c>
      <c r="B130">
        <v>2</v>
      </c>
      <c r="C130">
        <v>1</v>
      </c>
      <c r="E130">
        <v>3</v>
      </c>
    </row>
    <row r="131" spans="1:5" x14ac:dyDescent="0.2">
      <c r="A131" s="5">
        <v>973</v>
      </c>
      <c r="B131">
        <v>2</v>
      </c>
      <c r="C131">
        <v>1</v>
      </c>
      <c r="E131">
        <v>3</v>
      </c>
    </row>
    <row r="132" spans="1:5" x14ac:dyDescent="0.2">
      <c r="A132" s="5">
        <v>715</v>
      </c>
      <c r="B132">
        <v>1</v>
      </c>
      <c r="C132">
        <v>2</v>
      </c>
      <c r="E132">
        <v>3</v>
      </c>
    </row>
    <row r="133" spans="1:5" x14ac:dyDescent="0.2">
      <c r="A133" s="5">
        <v>36</v>
      </c>
      <c r="C133">
        <v>2</v>
      </c>
      <c r="E133">
        <v>2</v>
      </c>
    </row>
    <row r="134" spans="1:5" x14ac:dyDescent="0.2">
      <c r="A134" s="5">
        <v>874</v>
      </c>
      <c r="C134">
        <v>2</v>
      </c>
      <c r="E134">
        <v>2</v>
      </c>
    </row>
    <row r="135" spans="1:5" x14ac:dyDescent="0.2">
      <c r="A135" s="5">
        <v>833</v>
      </c>
      <c r="B135">
        <v>2</v>
      </c>
      <c r="E135">
        <v>2</v>
      </c>
    </row>
    <row r="136" spans="1:5" x14ac:dyDescent="0.2">
      <c r="A136" s="5">
        <v>655</v>
      </c>
      <c r="B136">
        <v>2</v>
      </c>
      <c r="E136">
        <v>2</v>
      </c>
    </row>
    <row r="137" spans="1:5" x14ac:dyDescent="0.2">
      <c r="A137" s="5">
        <v>450</v>
      </c>
      <c r="C137">
        <v>2</v>
      </c>
      <c r="E137">
        <v>2</v>
      </c>
    </row>
    <row r="138" spans="1:5" x14ac:dyDescent="0.2">
      <c r="A138" s="5">
        <v>194</v>
      </c>
      <c r="B138">
        <v>2</v>
      </c>
      <c r="E138">
        <v>2</v>
      </c>
    </row>
    <row r="139" spans="1:5" x14ac:dyDescent="0.2">
      <c r="A139" s="5">
        <v>821</v>
      </c>
      <c r="C139">
        <v>2</v>
      </c>
      <c r="E139">
        <v>2</v>
      </c>
    </row>
    <row r="140" spans="1:5" x14ac:dyDescent="0.2">
      <c r="A140" s="5">
        <v>463</v>
      </c>
      <c r="B140">
        <v>2</v>
      </c>
      <c r="E140">
        <v>2</v>
      </c>
    </row>
    <row r="141" spans="1:5" x14ac:dyDescent="0.2">
      <c r="A141" s="5">
        <v>861</v>
      </c>
      <c r="C141">
        <v>2</v>
      </c>
      <c r="E141">
        <v>2</v>
      </c>
    </row>
    <row r="142" spans="1:5" x14ac:dyDescent="0.2">
      <c r="A142" s="5">
        <v>467</v>
      </c>
      <c r="B142">
        <v>2</v>
      </c>
      <c r="E142">
        <v>2</v>
      </c>
    </row>
    <row r="143" spans="1:5" x14ac:dyDescent="0.2">
      <c r="A143" s="5">
        <v>598</v>
      </c>
      <c r="B143">
        <v>2</v>
      </c>
      <c r="E143">
        <v>2</v>
      </c>
    </row>
    <row r="144" spans="1:5" x14ac:dyDescent="0.2">
      <c r="A144" s="5">
        <v>679</v>
      </c>
      <c r="C144">
        <v>2</v>
      </c>
      <c r="E144">
        <v>2</v>
      </c>
    </row>
    <row r="145" spans="1:5" x14ac:dyDescent="0.2">
      <c r="A145" s="5">
        <v>461</v>
      </c>
      <c r="C145">
        <v>2</v>
      </c>
      <c r="E145">
        <v>2</v>
      </c>
    </row>
    <row r="146" spans="1:5" x14ac:dyDescent="0.2">
      <c r="A146" s="5">
        <v>359</v>
      </c>
      <c r="B146">
        <v>2</v>
      </c>
      <c r="E146">
        <v>2</v>
      </c>
    </row>
    <row r="147" spans="1:5" x14ac:dyDescent="0.2">
      <c r="A147" s="5">
        <v>568</v>
      </c>
      <c r="B147">
        <v>2</v>
      </c>
      <c r="E147">
        <v>2</v>
      </c>
    </row>
    <row r="148" spans="1:5" x14ac:dyDescent="0.2">
      <c r="A148" s="5">
        <v>480</v>
      </c>
      <c r="B148">
        <v>1</v>
      </c>
      <c r="D148">
        <v>1</v>
      </c>
      <c r="E148">
        <v>2</v>
      </c>
    </row>
    <row r="149" spans="1:5" x14ac:dyDescent="0.2">
      <c r="A149" s="5">
        <v>186</v>
      </c>
      <c r="C149">
        <v>2</v>
      </c>
      <c r="E149">
        <v>2</v>
      </c>
    </row>
    <row r="150" spans="1:5" x14ac:dyDescent="0.2">
      <c r="A150" s="5">
        <v>491</v>
      </c>
      <c r="B150">
        <v>2</v>
      </c>
      <c r="E150">
        <v>2</v>
      </c>
    </row>
    <row r="151" spans="1:5" x14ac:dyDescent="0.2">
      <c r="A151" s="5">
        <v>840</v>
      </c>
      <c r="B151">
        <v>2</v>
      </c>
      <c r="E151">
        <v>2</v>
      </c>
    </row>
    <row r="152" spans="1:5" x14ac:dyDescent="0.2">
      <c r="A152" s="5">
        <v>165</v>
      </c>
      <c r="B152">
        <v>2</v>
      </c>
      <c r="E152">
        <v>2</v>
      </c>
    </row>
    <row r="153" spans="1:5" x14ac:dyDescent="0.2">
      <c r="A153" s="5">
        <v>589</v>
      </c>
      <c r="B153">
        <v>2</v>
      </c>
      <c r="E153">
        <v>2</v>
      </c>
    </row>
    <row r="154" spans="1:5" x14ac:dyDescent="0.2">
      <c r="A154" s="5">
        <v>226</v>
      </c>
      <c r="B154">
        <v>2</v>
      </c>
      <c r="E154">
        <v>2</v>
      </c>
    </row>
    <row r="155" spans="1:5" x14ac:dyDescent="0.2">
      <c r="A155" s="5">
        <v>595</v>
      </c>
      <c r="C155">
        <v>2</v>
      </c>
      <c r="E155">
        <v>2</v>
      </c>
    </row>
    <row r="156" spans="1:5" x14ac:dyDescent="0.2">
      <c r="A156" s="5">
        <v>708</v>
      </c>
      <c r="B156">
        <v>1</v>
      </c>
      <c r="C156">
        <v>1</v>
      </c>
      <c r="E156">
        <v>2</v>
      </c>
    </row>
    <row r="157" spans="1:5" x14ac:dyDescent="0.2">
      <c r="A157" s="5">
        <v>337</v>
      </c>
      <c r="C157">
        <v>2</v>
      </c>
      <c r="E157">
        <v>2</v>
      </c>
    </row>
    <row r="158" spans="1:5" x14ac:dyDescent="0.2">
      <c r="A158" s="5">
        <v>395</v>
      </c>
      <c r="C158">
        <v>2</v>
      </c>
      <c r="E158">
        <v>2</v>
      </c>
    </row>
    <row r="159" spans="1:5" x14ac:dyDescent="0.2">
      <c r="A159" s="5">
        <v>965</v>
      </c>
      <c r="C159">
        <v>2</v>
      </c>
      <c r="E159">
        <v>2</v>
      </c>
    </row>
    <row r="160" spans="1:5" x14ac:dyDescent="0.2">
      <c r="A160" s="5">
        <v>132</v>
      </c>
      <c r="C160">
        <v>2</v>
      </c>
      <c r="E160">
        <v>2</v>
      </c>
    </row>
    <row r="161" spans="1:5" x14ac:dyDescent="0.2">
      <c r="A161" s="5">
        <v>788</v>
      </c>
      <c r="B161">
        <v>1</v>
      </c>
      <c r="C161">
        <v>1</v>
      </c>
      <c r="E161">
        <v>2</v>
      </c>
    </row>
    <row r="162" spans="1:5" x14ac:dyDescent="0.2">
      <c r="A162" s="5">
        <v>230</v>
      </c>
      <c r="C162">
        <v>2</v>
      </c>
      <c r="E162">
        <v>2</v>
      </c>
    </row>
    <row r="163" spans="1:5" x14ac:dyDescent="0.2">
      <c r="A163" s="5">
        <v>800</v>
      </c>
      <c r="C163">
        <v>2</v>
      </c>
      <c r="E163">
        <v>2</v>
      </c>
    </row>
    <row r="164" spans="1:5" x14ac:dyDescent="0.2">
      <c r="A164" s="5">
        <v>32</v>
      </c>
      <c r="B164">
        <v>2</v>
      </c>
      <c r="E164">
        <v>2</v>
      </c>
    </row>
    <row r="165" spans="1:5" x14ac:dyDescent="0.2">
      <c r="A165" s="5">
        <v>815</v>
      </c>
      <c r="B165">
        <v>2</v>
      </c>
      <c r="E165">
        <v>2</v>
      </c>
    </row>
    <row r="166" spans="1:5" x14ac:dyDescent="0.2">
      <c r="A166" s="5">
        <v>361</v>
      </c>
      <c r="B166">
        <v>2</v>
      </c>
      <c r="E166">
        <v>2</v>
      </c>
    </row>
    <row r="167" spans="1:5" x14ac:dyDescent="0.2">
      <c r="A167" s="5">
        <v>152</v>
      </c>
      <c r="D167">
        <v>2</v>
      </c>
      <c r="E167">
        <v>2</v>
      </c>
    </row>
    <row r="168" spans="1:5" x14ac:dyDescent="0.2">
      <c r="A168" s="5">
        <v>731</v>
      </c>
      <c r="B168">
        <v>2</v>
      </c>
      <c r="E168">
        <v>2</v>
      </c>
    </row>
    <row r="169" spans="1:5" x14ac:dyDescent="0.2">
      <c r="A169" s="5">
        <v>587</v>
      </c>
      <c r="B169">
        <v>2</v>
      </c>
      <c r="E169">
        <v>2</v>
      </c>
    </row>
    <row r="170" spans="1:5" x14ac:dyDescent="0.2">
      <c r="A170" s="5">
        <v>534</v>
      </c>
      <c r="C170">
        <v>2</v>
      </c>
      <c r="E170">
        <v>2</v>
      </c>
    </row>
    <row r="171" spans="1:5" x14ac:dyDescent="0.2">
      <c r="A171" s="5">
        <v>839</v>
      </c>
      <c r="C171">
        <v>2</v>
      </c>
      <c r="E171">
        <v>2</v>
      </c>
    </row>
    <row r="172" spans="1:5" x14ac:dyDescent="0.2">
      <c r="A172" s="5">
        <v>90</v>
      </c>
      <c r="C172">
        <v>2</v>
      </c>
      <c r="E172">
        <v>2</v>
      </c>
    </row>
    <row r="173" spans="1:5" x14ac:dyDescent="0.2">
      <c r="A173" s="5">
        <v>845</v>
      </c>
      <c r="B173">
        <v>2</v>
      </c>
      <c r="E173">
        <v>2</v>
      </c>
    </row>
    <row r="174" spans="1:5" x14ac:dyDescent="0.2">
      <c r="A174" s="5">
        <v>749</v>
      </c>
      <c r="C174">
        <v>2</v>
      </c>
      <c r="E174">
        <v>2</v>
      </c>
    </row>
    <row r="175" spans="1:5" x14ac:dyDescent="0.2">
      <c r="A175" s="5">
        <v>288</v>
      </c>
      <c r="D175">
        <v>2</v>
      </c>
      <c r="E175">
        <v>2</v>
      </c>
    </row>
    <row r="176" spans="1:5" x14ac:dyDescent="0.2">
      <c r="A176" s="5">
        <v>421</v>
      </c>
      <c r="C176">
        <v>2</v>
      </c>
      <c r="E176">
        <v>2</v>
      </c>
    </row>
    <row r="177" spans="1:5" x14ac:dyDescent="0.2">
      <c r="A177" s="5">
        <v>593</v>
      </c>
      <c r="C177">
        <v>2</v>
      </c>
      <c r="E177">
        <v>2</v>
      </c>
    </row>
    <row r="178" spans="1:5" x14ac:dyDescent="0.2">
      <c r="A178" s="5">
        <v>178</v>
      </c>
      <c r="C178">
        <v>2</v>
      </c>
      <c r="E178">
        <v>2</v>
      </c>
    </row>
    <row r="179" spans="1:5" x14ac:dyDescent="0.2">
      <c r="A179" s="5">
        <v>879</v>
      </c>
      <c r="C179">
        <v>2</v>
      </c>
      <c r="E179">
        <v>2</v>
      </c>
    </row>
    <row r="180" spans="1:5" x14ac:dyDescent="0.2">
      <c r="A180" s="5">
        <v>757</v>
      </c>
      <c r="C180">
        <v>2</v>
      </c>
      <c r="E180">
        <v>2</v>
      </c>
    </row>
    <row r="181" spans="1:5" x14ac:dyDescent="0.2">
      <c r="A181" s="5">
        <v>900</v>
      </c>
      <c r="B181">
        <v>1</v>
      </c>
      <c r="C181">
        <v>1</v>
      </c>
      <c r="E181">
        <v>2</v>
      </c>
    </row>
    <row r="182" spans="1:5" x14ac:dyDescent="0.2">
      <c r="A182" s="5">
        <v>241</v>
      </c>
      <c r="C182">
        <v>2</v>
      </c>
      <c r="E182">
        <v>2</v>
      </c>
    </row>
    <row r="183" spans="1:5" x14ac:dyDescent="0.2">
      <c r="A183" s="5">
        <v>607</v>
      </c>
      <c r="C183">
        <v>2</v>
      </c>
      <c r="E183">
        <v>2</v>
      </c>
    </row>
    <row r="184" spans="1:5" x14ac:dyDescent="0.2">
      <c r="A184" s="5">
        <v>759</v>
      </c>
      <c r="C184">
        <v>2</v>
      </c>
      <c r="E184">
        <v>2</v>
      </c>
    </row>
    <row r="185" spans="1:5" x14ac:dyDescent="0.2">
      <c r="A185" s="5">
        <v>342</v>
      </c>
      <c r="B185">
        <v>2</v>
      </c>
      <c r="E185">
        <v>2</v>
      </c>
    </row>
    <row r="186" spans="1:5" x14ac:dyDescent="0.2">
      <c r="A186" s="5">
        <v>242</v>
      </c>
      <c r="C186">
        <v>2</v>
      </c>
      <c r="E186">
        <v>2</v>
      </c>
    </row>
    <row r="187" spans="1:5" x14ac:dyDescent="0.2">
      <c r="A187" s="5">
        <v>158</v>
      </c>
      <c r="B187">
        <v>2</v>
      </c>
      <c r="E187">
        <v>2</v>
      </c>
    </row>
    <row r="188" spans="1:5" x14ac:dyDescent="0.2">
      <c r="A188" s="5">
        <v>245</v>
      </c>
      <c r="D188">
        <v>2</v>
      </c>
      <c r="E188">
        <v>2</v>
      </c>
    </row>
    <row r="189" spans="1:5" x14ac:dyDescent="0.2">
      <c r="A189" s="5">
        <v>638</v>
      </c>
      <c r="B189">
        <v>2</v>
      </c>
      <c r="E189">
        <v>2</v>
      </c>
    </row>
    <row r="190" spans="1:5" x14ac:dyDescent="0.2">
      <c r="A190" s="5">
        <v>773</v>
      </c>
      <c r="C190">
        <v>2</v>
      </c>
      <c r="E190">
        <v>2</v>
      </c>
    </row>
    <row r="191" spans="1:5" x14ac:dyDescent="0.2">
      <c r="A191" s="5">
        <v>785</v>
      </c>
      <c r="C191">
        <v>2</v>
      </c>
      <c r="E191">
        <v>2</v>
      </c>
    </row>
    <row r="192" spans="1:5" x14ac:dyDescent="0.2">
      <c r="A192" s="5">
        <v>688</v>
      </c>
      <c r="B192">
        <v>2</v>
      </c>
      <c r="E192">
        <v>2</v>
      </c>
    </row>
    <row r="193" spans="1:5" x14ac:dyDescent="0.2">
      <c r="A193" s="5">
        <v>586</v>
      </c>
      <c r="D193">
        <v>1</v>
      </c>
      <c r="E193">
        <v>1</v>
      </c>
    </row>
    <row r="194" spans="1:5" x14ac:dyDescent="0.2">
      <c r="A194" s="5">
        <v>44</v>
      </c>
      <c r="C194">
        <v>1</v>
      </c>
      <c r="E194">
        <v>1</v>
      </c>
    </row>
    <row r="195" spans="1:5" x14ac:dyDescent="0.2">
      <c r="A195" s="5">
        <v>542</v>
      </c>
      <c r="B195">
        <v>1</v>
      </c>
      <c r="E195">
        <v>1</v>
      </c>
    </row>
    <row r="196" spans="1:5" x14ac:dyDescent="0.2">
      <c r="A196" s="5">
        <v>143</v>
      </c>
      <c r="B196">
        <v>1</v>
      </c>
      <c r="E196">
        <v>1</v>
      </c>
    </row>
    <row r="197" spans="1:5" x14ac:dyDescent="0.2">
      <c r="A197" s="5">
        <v>570</v>
      </c>
      <c r="C197">
        <v>1</v>
      </c>
      <c r="E197">
        <v>1</v>
      </c>
    </row>
    <row r="198" spans="1:5" x14ac:dyDescent="0.2">
      <c r="A198" s="5">
        <v>470</v>
      </c>
      <c r="D198">
        <v>1</v>
      </c>
      <c r="E198">
        <v>1</v>
      </c>
    </row>
    <row r="199" spans="1:5" x14ac:dyDescent="0.2">
      <c r="A199" s="5">
        <v>50</v>
      </c>
      <c r="B199">
        <v>1</v>
      </c>
      <c r="E199">
        <v>1</v>
      </c>
    </row>
    <row r="200" spans="1:5" x14ac:dyDescent="0.2">
      <c r="A200" s="5">
        <v>478</v>
      </c>
      <c r="C200">
        <v>1</v>
      </c>
      <c r="E200">
        <v>1</v>
      </c>
    </row>
    <row r="201" spans="1:5" x14ac:dyDescent="0.2">
      <c r="A201" s="5">
        <v>545</v>
      </c>
      <c r="D201">
        <v>1</v>
      </c>
      <c r="E201">
        <v>1</v>
      </c>
    </row>
    <row r="202" spans="1:5" x14ac:dyDescent="0.2">
      <c r="A202" s="5">
        <v>128</v>
      </c>
      <c r="C202">
        <v>1</v>
      </c>
      <c r="E202">
        <v>1</v>
      </c>
    </row>
    <row r="203" spans="1:5" x14ac:dyDescent="0.2">
      <c r="A203" s="5">
        <v>338</v>
      </c>
      <c r="C203">
        <v>1</v>
      </c>
      <c r="E203">
        <v>1</v>
      </c>
    </row>
    <row r="204" spans="1:5" x14ac:dyDescent="0.2">
      <c r="A204" s="5">
        <v>601</v>
      </c>
      <c r="B204">
        <v>1</v>
      </c>
      <c r="E204">
        <v>1</v>
      </c>
    </row>
    <row r="205" spans="1:5" x14ac:dyDescent="0.2">
      <c r="A205" s="5">
        <v>964</v>
      </c>
      <c r="C205">
        <v>1</v>
      </c>
      <c r="E205">
        <v>1</v>
      </c>
    </row>
    <row r="206" spans="1:5" x14ac:dyDescent="0.2">
      <c r="A206" s="5">
        <v>144</v>
      </c>
      <c r="B206">
        <v>1</v>
      </c>
      <c r="E206">
        <v>1</v>
      </c>
    </row>
    <row r="207" spans="1:5" x14ac:dyDescent="0.2">
      <c r="A207" s="5">
        <v>864</v>
      </c>
      <c r="C207">
        <v>1</v>
      </c>
      <c r="E207">
        <v>1</v>
      </c>
    </row>
    <row r="208" spans="1:5" x14ac:dyDescent="0.2">
      <c r="A208" s="5">
        <v>769</v>
      </c>
      <c r="B208">
        <v>1</v>
      </c>
      <c r="E208">
        <v>1</v>
      </c>
    </row>
    <row r="209" spans="1:5" x14ac:dyDescent="0.2">
      <c r="A209" s="5">
        <v>539</v>
      </c>
      <c r="B209">
        <v>1</v>
      </c>
      <c r="E209">
        <v>1</v>
      </c>
    </row>
    <row r="210" spans="1:5" x14ac:dyDescent="0.2">
      <c r="A210" s="5">
        <v>188</v>
      </c>
      <c r="D210">
        <v>1</v>
      </c>
      <c r="E210">
        <v>1</v>
      </c>
    </row>
    <row r="211" spans="1:5" x14ac:dyDescent="0.2">
      <c r="A211" s="5">
        <v>390</v>
      </c>
      <c r="B211">
        <v>1</v>
      </c>
      <c r="E211">
        <v>1</v>
      </c>
    </row>
    <row r="212" spans="1:5" x14ac:dyDescent="0.2">
      <c r="A212" s="5">
        <v>161</v>
      </c>
      <c r="B212">
        <v>1</v>
      </c>
      <c r="E212">
        <v>1</v>
      </c>
    </row>
    <row r="213" spans="1:5" x14ac:dyDescent="0.2">
      <c r="A213" s="5">
        <v>903</v>
      </c>
      <c r="D213">
        <v>1</v>
      </c>
      <c r="E213">
        <v>1</v>
      </c>
    </row>
    <row r="214" spans="1:5" x14ac:dyDescent="0.2">
      <c r="A214" s="5">
        <v>189</v>
      </c>
      <c r="B214">
        <v>1</v>
      </c>
      <c r="E214">
        <v>1</v>
      </c>
    </row>
    <row r="215" spans="1:5" x14ac:dyDescent="0.2">
      <c r="A215" s="5">
        <v>927</v>
      </c>
      <c r="B215">
        <v>1</v>
      </c>
      <c r="E215">
        <v>1</v>
      </c>
    </row>
    <row r="216" spans="1:5" x14ac:dyDescent="0.2">
      <c r="A216" s="5">
        <v>247</v>
      </c>
      <c r="C216">
        <v>1</v>
      </c>
      <c r="E216">
        <v>1</v>
      </c>
    </row>
    <row r="217" spans="1:5" x14ac:dyDescent="0.2">
      <c r="A217" s="5">
        <v>940</v>
      </c>
      <c r="B217">
        <v>1</v>
      </c>
      <c r="E217">
        <v>1</v>
      </c>
    </row>
    <row r="218" spans="1:5" x14ac:dyDescent="0.2">
      <c r="A218" s="5">
        <v>251</v>
      </c>
      <c r="B218">
        <v>1</v>
      </c>
      <c r="E218">
        <v>1</v>
      </c>
    </row>
    <row r="219" spans="1:5" x14ac:dyDescent="0.2">
      <c r="A219" s="5">
        <v>368</v>
      </c>
      <c r="B219">
        <v>1</v>
      </c>
      <c r="E219">
        <v>1</v>
      </c>
    </row>
    <row r="220" spans="1:5" x14ac:dyDescent="0.2">
      <c r="A220" s="5">
        <v>367</v>
      </c>
      <c r="B220">
        <v>1</v>
      </c>
      <c r="E220">
        <v>1</v>
      </c>
    </row>
    <row r="221" spans="1:5" x14ac:dyDescent="0.2">
      <c r="A221" s="5">
        <v>350</v>
      </c>
      <c r="C221">
        <v>1</v>
      </c>
      <c r="E221">
        <v>1</v>
      </c>
    </row>
    <row r="222" spans="1:5" x14ac:dyDescent="0.2">
      <c r="A222" s="5">
        <v>64</v>
      </c>
      <c r="B222">
        <v>1</v>
      </c>
      <c r="E222">
        <v>1</v>
      </c>
    </row>
    <row r="223" spans="1:5" x14ac:dyDescent="0.2">
      <c r="A223" s="5">
        <v>465</v>
      </c>
      <c r="C223">
        <v>1</v>
      </c>
      <c r="E223">
        <v>1</v>
      </c>
    </row>
    <row r="224" spans="1:5" x14ac:dyDescent="0.2">
      <c r="A224" s="5">
        <v>792</v>
      </c>
      <c r="B224">
        <v>1</v>
      </c>
      <c r="E224">
        <v>1</v>
      </c>
    </row>
    <row r="225" spans="1:5" x14ac:dyDescent="0.2">
      <c r="A225" s="5">
        <v>156</v>
      </c>
      <c r="C225">
        <v>1</v>
      </c>
      <c r="E225">
        <v>1</v>
      </c>
    </row>
    <row r="226" spans="1:5" x14ac:dyDescent="0.2">
      <c r="A226" s="5">
        <v>255</v>
      </c>
      <c r="B226">
        <v>1</v>
      </c>
      <c r="E226">
        <v>1</v>
      </c>
    </row>
    <row r="227" spans="1:5" x14ac:dyDescent="0.2">
      <c r="A227" s="5">
        <v>689</v>
      </c>
      <c r="B227">
        <v>1</v>
      </c>
      <c r="E227">
        <v>1</v>
      </c>
    </row>
    <row r="228" spans="1:5" x14ac:dyDescent="0.2">
      <c r="A228" s="5">
        <v>624</v>
      </c>
      <c r="C228">
        <v>1</v>
      </c>
      <c r="E228">
        <v>1</v>
      </c>
    </row>
    <row r="229" spans="1:5" x14ac:dyDescent="0.2">
      <c r="A229" s="5">
        <v>877</v>
      </c>
      <c r="C229">
        <v>1</v>
      </c>
      <c r="E229">
        <v>1</v>
      </c>
    </row>
    <row r="230" spans="1:5" x14ac:dyDescent="0.2">
      <c r="A230" s="5">
        <v>424</v>
      </c>
      <c r="C230">
        <v>1</v>
      </c>
      <c r="E230">
        <v>1</v>
      </c>
    </row>
    <row r="231" spans="1:5" x14ac:dyDescent="0.2">
      <c r="A231" s="5">
        <v>117</v>
      </c>
      <c r="B231">
        <v>1</v>
      </c>
      <c r="E231">
        <v>1</v>
      </c>
    </row>
    <row r="232" spans="1:5" x14ac:dyDescent="0.2">
      <c r="A232" s="5">
        <v>806</v>
      </c>
      <c r="C232">
        <v>1</v>
      </c>
      <c r="E232">
        <v>1</v>
      </c>
    </row>
    <row r="233" spans="1:5" x14ac:dyDescent="0.2">
      <c r="A233" s="5">
        <v>118</v>
      </c>
      <c r="B233">
        <v>1</v>
      </c>
      <c r="E233">
        <v>1</v>
      </c>
    </row>
    <row r="234" spans="1:5" x14ac:dyDescent="0.2">
      <c r="A234" s="5">
        <v>639</v>
      </c>
      <c r="C234">
        <v>1</v>
      </c>
      <c r="E234">
        <v>1</v>
      </c>
    </row>
    <row r="235" spans="1:5" x14ac:dyDescent="0.2">
      <c r="A235" s="5">
        <v>558</v>
      </c>
      <c r="B235">
        <v>1</v>
      </c>
      <c r="E235">
        <v>1</v>
      </c>
    </row>
    <row r="236" spans="1:5" x14ac:dyDescent="0.2">
      <c r="A236" s="5">
        <v>516</v>
      </c>
      <c r="D236">
        <v>1</v>
      </c>
      <c r="E236">
        <v>1</v>
      </c>
    </row>
    <row r="237" spans="1:5" x14ac:dyDescent="0.2">
      <c r="A237" s="5">
        <v>30</v>
      </c>
      <c r="C237">
        <v>1</v>
      </c>
      <c r="E237">
        <v>1</v>
      </c>
    </row>
    <row r="238" spans="1:5" x14ac:dyDescent="0.2">
      <c r="A238" s="5">
        <v>643</v>
      </c>
      <c r="C238">
        <v>1</v>
      </c>
      <c r="E238">
        <v>1</v>
      </c>
    </row>
    <row r="239" spans="1:5" x14ac:dyDescent="0.2">
      <c r="A239" s="5">
        <v>127</v>
      </c>
      <c r="B239">
        <v>1</v>
      </c>
      <c r="E239">
        <v>1</v>
      </c>
    </row>
    <row r="240" spans="1:5" x14ac:dyDescent="0.2">
      <c r="A240" s="5">
        <v>647</v>
      </c>
      <c r="C240">
        <v>1</v>
      </c>
      <c r="E240">
        <v>1</v>
      </c>
    </row>
    <row r="241" spans="1:5" x14ac:dyDescent="0.2">
      <c r="A241" s="5">
        <v>456</v>
      </c>
      <c r="C241">
        <v>1</v>
      </c>
      <c r="E241">
        <v>1</v>
      </c>
    </row>
    <row r="242" spans="1:5" x14ac:dyDescent="0.2">
      <c r="A242" s="5">
        <v>72</v>
      </c>
      <c r="D242">
        <v>1</v>
      </c>
      <c r="E242">
        <v>1</v>
      </c>
    </row>
    <row r="243" spans="1:5" x14ac:dyDescent="0.2">
      <c r="A243" s="5">
        <v>340</v>
      </c>
      <c r="B243">
        <v>1</v>
      </c>
      <c r="E243">
        <v>1</v>
      </c>
    </row>
    <row r="244" spans="1:5" x14ac:dyDescent="0.2">
      <c r="A244" s="5">
        <v>523</v>
      </c>
      <c r="C244">
        <v>1</v>
      </c>
      <c r="E244">
        <v>1</v>
      </c>
    </row>
    <row r="245" spans="1:5" x14ac:dyDescent="0.2">
      <c r="A245" s="5">
        <v>944</v>
      </c>
      <c r="B245">
        <v>1</v>
      </c>
      <c r="E245">
        <v>1</v>
      </c>
    </row>
    <row r="246" spans="1:5" x14ac:dyDescent="0.2">
      <c r="A246" s="5">
        <v>661</v>
      </c>
      <c r="D246">
        <v>1</v>
      </c>
      <c r="E246">
        <v>1</v>
      </c>
    </row>
    <row r="247" spans="1:5" x14ac:dyDescent="0.2">
      <c r="A247" s="5">
        <v>947</v>
      </c>
      <c r="C247">
        <v>1</v>
      </c>
      <c r="E247">
        <v>1</v>
      </c>
    </row>
    <row r="248" spans="1:5" x14ac:dyDescent="0.2">
      <c r="A248" s="5">
        <v>172</v>
      </c>
      <c r="C248">
        <v>1</v>
      </c>
      <c r="E248">
        <v>1</v>
      </c>
    </row>
    <row r="249" spans="1:5" x14ac:dyDescent="0.2">
      <c r="A249" s="5">
        <v>374</v>
      </c>
      <c r="C249">
        <v>1</v>
      </c>
      <c r="E249">
        <v>1</v>
      </c>
    </row>
    <row r="250" spans="1:5" x14ac:dyDescent="0.2">
      <c r="A250" s="5">
        <v>149</v>
      </c>
      <c r="B250">
        <v>1</v>
      </c>
      <c r="E250">
        <v>1</v>
      </c>
    </row>
    <row r="251" spans="1:5" x14ac:dyDescent="0.2">
      <c r="A251" s="5">
        <v>54</v>
      </c>
      <c r="D251">
        <v>1</v>
      </c>
      <c r="E251">
        <v>1</v>
      </c>
    </row>
    <row r="252" spans="1:5" x14ac:dyDescent="0.2">
      <c r="A252" s="5">
        <v>843</v>
      </c>
      <c r="D252">
        <v>1</v>
      </c>
      <c r="E252">
        <v>1</v>
      </c>
    </row>
    <row r="253" spans="1:5" x14ac:dyDescent="0.2">
      <c r="A253" s="5">
        <v>735</v>
      </c>
      <c r="D253">
        <v>1</v>
      </c>
      <c r="E253">
        <v>1</v>
      </c>
    </row>
    <row r="254" spans="1:5" x14ac:dyDescent="0.2">
      <c r="A254" s="5">
        <v>130</v>
      </c>
      <c r="D254">
        <v>1</v>
      </c>
      <c r="E254">
        <v>1</v>
      </c>
    </row>
    <row r="255" spans="1:5" x14ac:dyDescent="0.2">
      <c r="A255" s="5">
        <v>207</v>
      </c>
      <c r="C255">
        <v>1</v>
      </c>
      <c r="E255">
        <v>1</v>
      </c>
    </row>
    <row r="256" spans="1:5" x14ac:dyDescent="0.2">
      <c r="A256" s="5">
        <v>104</v>
      </c>
      <c r="B256">
        <v>1</v>
      </c>
      <c r="E256">
        <v>1</v>
      </c>
    </row>
    <row r="257" spans="1:5" x14ac:dyDescent="0.2">
      <c r="A257" s="5" t="s">
        <v>10</v>
      </c>
    </row>
    <row r="258" spans="1:5" x14ac:dyDescent="0.2">
      <c r="A258" s="5" t="s">
        <v>1</v>
      </c>
      <c r="B258">
        <v>376</v>
      </c>
      <c r="C258">
        <v>351</v>
      </c>
      <c r="D258">
        <v>37</v>
      </c>
      <c r="E258">
        <v>764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9261-C254-C54E-AA49-3CD196DA2F98}">
  <dimension ref="A1:C11"/>
  <sheetViews>
    <sheetView zoomScale="170" zoomScaleNormal="170" workbookViewId="0">
      <selection activeCell="D18" sqref="D18"/>
    </sheetView>
  </sheetViews>
  <sheetFormatPr baseColWidth="10" defaultRowHeight="16" x14ac:dyDescent="0.2"/>
  <sheetData>
    <row r="1" spans="1:3" x14ac:dyDescent="0.2">
      <c r="B1" t="s">
        <v>26</v>
      </c>
      <c r="C1" t="s">
        <v>27</v>
      </c>
    </row>
    <row r="2" spans="1:3" x14ac:dyDescent="0.2">
      <c r="A2" t="s">
        <v>16</v>
      </c>
      <c r="B2">
        <v>0.51279200000000003</v>
      </c>
      <c r="C2">
        <f>SUM($B$2:B2)</f>
        <v>0.51279200000000003</v>
      </c>
    </row>
    <row r="3" spans="1:3" x14ac:dyDescent="0.2">
      <c r="A3" t="s">
        <v>17</v>
      </c>
      <c r="B3">
        <v>0.217949</v>
      </c>
      <c r="C3">
        <f>SUM($B$2:B3)</f>
        <v>0.73074100000000008</v>
      </c>
    </row>
    <row r="4" spans="1:3" x14ac:dyDescent="0.2">
      <c r="A4" t="s">
        <v>18</v>
      </c>
      <c r="B4">
        <v>0.117702</v>
      </c>
      <c r="C4">
        <f>SUM($B$2:B4)</f>
        <v>0.84844300000000006</v>
      </c>
    </row>
    <row r="5" spans="1:3" x14ac:dyDescent="0.2">
      <c r="A5" t="s">
        <v>19</v>
      </c>
      <c r="B5">
        <v>6.2992999999999993E-2</v>
      </c>
      <c r="C5">
        <f>SUM($B$2:B5)</f>
        <v>0.91143600000000002</v>
      </c>
    </row>
    <row r="6" spans="1:3" x14ac:dyDescent="0.2">
      <c r="A6" t="s">
        <v>20</v>
      </c>
      <c r="B6">
        <v>4.3713000000000002E-2</v>
      </c>
      <c r="C6">
        <f>SUM($B$2:B6)</f>
        <v>0.95514900000000003</v>
      </c>
    </row>
    <row r="7" spans="1:3" x14ac:dyDescent="0.2">
      <c r="A7" t="s">
        <v>21</v>
      </c>
      <c r="B7">
        <v>1.31255E-2</v>
      </c>
      <c r="C7">
        <f>SUM($B$2:B7)</f>
        <v>0.96827450000000004</v>
      </c>
    </row>
    <row r="8" spans="1:3" x14ac:dyDescent="0.2">
      <c r="A8" t="s">
        <v>22</v>
      </c>
      <c r="B8">
        <v>9.1114799999999999E-3</v>
      </c>
      <c r="C8">
        <f>SUM($B$2:B8)</f>
        <v>0.97738597999999999</v>
      </c>
    </row>
    <row r="9" spans="1:3" x14ac:dyDescent="0.2">
      <c r="A9" t="s">
        <v>23</v>
      </c>
      <c r="B9">
        <v>6.4557800000000004E-3</v>
      </c>
      <c r="C9">
        <f>SUM($B$2:B9)</f>
        <v>0.98384176000000001</v>
      </c>
    </row>
    <row r="10" spans="1:3" x14ac:dyDescent="0.2">
      <c r="A10" t="s">
        <v>24</v>
      </c>
      <c r="B10">
        <v>4.1837999999999997E-3</v>
      </c>
      <c r="C10">
        <f>SUM($B$2:B10)</f>
        <v>0.98802555999999997</v>
      </c>
    </row>
    <row r="11" spans="1:3" x14ac:dyDescent="0.2">
      <c r="A11" t="s">
        <v>25</v>
      </c>
      <c r="B11">
        <v>3.4492500000000001E-3</v>
      </c>
      <c r="C11">
        <f>SUM($B$2:B11)</f>
        <v>0.99147480999999993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D865-A77B-6A42-9A80-C3480895B0FF}">
  <dimension ref="A1:D454"/>
  <sheetViews>
    <sheetView topLeftCell="A295" workbookViewId="0">
      <selection activeCell="F34" sqref="F34"/>
    </sheetView>
  </sheetViews>
  <sheetFormatPr baseColWidth="10" defaultRowHeight="16" x14ac:dyDescent="0.2"/>
  <sheetData>
    <row r="1" spans="1:4" x14ac:dyDescent="0.2">
      <c r="A1" s="1" t="s">
        <v>2</v>
      </c>
      <c r="B1" s="1" t="s">
        <v>0</v>
      </c>
      <c r="C1" s="1" t="s">
        <v>3</v>
      </c>
      <c r="D1" s="1" t="s">
        <v>4</v>
      </c>
    </row>
    <row r="2" spans="1:4" x14ac:dyDescent="0.2">
      <c r="A2" s="1">
        <v>5</v>
      </c>
      <c r="B2" s="2">
        <v>127</v>
      </c>
      <c r="C2" s="2" t="s">
        <v>5</v>
      </c>
      <c r="D2" s="2">
        <v>2</v>
      </c>
    </row>
    <row r="3" spans="1:4" x14ac:dyDescent="0.2">
      <c r="A3" s="1">
        <v>5</v>
      </c>
      <c r="B3" s="2">
        <v>457</v>
      </c>
      <c r="C3" s="2" t="s">
        <v>5</v>
      </c>
      <c r="D3" s="2">
        <v>2</v>
      </c>
    </row>
    <row r="4" spans="1:4" x14ac:dyDescent="0.2">
      <c r="A4" s="1">
        <v>5</v>
      </c>
      <c r="B4" s="2">
        <v>129</v>
      </c>
      <c r="C4" s="2" t="s">
        <v>7</v>
      </c>
      <c r="D4" s="2">
        <v>1</v>
      </c>
    </row>
    <row r="5" spans="1:4" x14ac:dyDescent="0.2">
      <c r="A5" s="1">
        <v>9</v>
      </c>
      <c r="B5" s="2">
        <v>126</v>
      </c>
      <c r="C5" s="2" t="s">
        <v>6</v>
      </c>
      <c r="D5" s="2">
        <v>1</v>
      </c>
    </row>
    <row r="6" spans="1:4" x14ac:dyDescent="0.2">
      <c r="A6" s="1">
        <v>9</v>
      </c>
      <c r="B6" s="2">
        <v>686</v>
      </c>
      <c r="C6" s="2" t="s">
        <v>5</v>
      </c>
      <c r="D6" s="2">
        <v>4</v>
      </c>
    </row>
    <row r="7" spans="1:4" x14ac:dyDescent="0.2">
      <c r="A7" s="1">
        <v>11</v>
      </c>
      <c r="B7" s="2">
        <v>20</v>
      </c>
      <c r="C7" s="2" t="s">
        <v>6</v>
      </c>
      <c r="D7" s="2">
        <v>1</v>
      </c>
    </row>
    <row r="8" spans="1:4" x14ac:dyDescent="0.2">
      <c r="A8" s="1">
        <v>11</v>
      </c>
      <c r="B8" s="2">
        <v>120</v>
      </c>
      <c r="C8" s="2" t="s">
        <v>6</v>
      </c>
      <c r="D8" s="2">
        <v>2</v>
      </c>
    </row>
    <row r="9" spans="1:4" x14ac:dyDescent="0.2">
      <c r="A9" s="1">
        <v>11</v>
      </c>
      <c r="B9" s="2">
        <v>119</v>
      </c>
      <c r="C9" s="2" t="s">
        <v>6</v>
      </c>
      <c r="D9" s="2">
        <v>1</v>
      </c>
    </row>
    <row r="10" spans="1:4" x14ac:dyDescent="0.2">
      <c r="A10" s="1">
        <v>11</v>
      </c>
      <c r="B10" s="2">
        <v>126</v>
      </c>
      <c r="C10" s="2" t="s">
        <v>6</v>
      </c>
      <c r="D10" s="2">
        <v>1</v>
      </c>
    </row>
    <row r="11" spans="1:4" x14ac:dyDescent="0.2">
      <c r="A11" s="1">
        <v>18</v>
      </c>
      <c r="B11" s="2">
        <v>20</v>
      </c>
      <c r="C11" s="2" t="s">
        <v>6</v>
      </c>
      <c r="D11" s="2">
        <v>2</v>
      </c>
    </row>
    <row r="12" spans="1:4" x14ac:dyDescent="0.2">
      <c r="A12" s="1">
        <v>18</v>
      </c>
      <c r="B12" s="2">
        <v>120</v>
      </c>
      <c r="C12" s="2" t="s">
        <v>6</v>
      </c>
      <c r="D12" s="2">
        <v>3</v>
      </c>
    </row>
    <row r="13" spans="1:4" x14ac:dyDescent="0.2">
      <c r="A13" s="1">
        <v>18</v>
      </c>
      <c r="B13" s="2">
        <v>119</v>
      </c>
      <c r="C13" s="2" t="s">
        <v>6</v>
      </c>
      <c r="D13" s="2">
        <v>1</v>
      </c>
    </row>
    <row r="14" spans="1:4" x14ac:dyDescent="0.2">
      <c r="A14" s="1">
        <v>30</v>
      </c>
      <c r="B14" s="2">
        <v>126</v>
      </c>
      <c r="C14" s="2" t="s">
        <v>6</v>
      </c>
      <c r="D14" s="2">
        <v>1</v>
      </c>
    </row>
    <row r="15" spans="1:4" x14ac:dyDescent="0.2">
      <c r="A15" s="1">
        <v>31</v>
      </c>
      <c r="B15" s="2">
        <v>690</v>
      </c>
      <c r="C15" s="2" t="s">
        <v>5</v>
      </c>
      <c r="D15" s="2">
        <v>3</v>
      </c>
    </row>
    <row r="16" spans="1:4" x14ac:dyDescent="0.2">
      <c r="A16" s="1">
        <v>31</v>
      </c>
      <c r="B16" s="2">
        <v>457</v>
      </c>
      <c r="C16" s="2" t="s">
        <v>5</v>
      </c>
      <c r="D16" s="2">
        <v>16</v>
      </c>
    </row>
    <row r="17" spans="1:4" x14ac:dyDescent="0.2">
      <c r="A17" s="1">
        <v>32</v>
      </c>
      <c r="B17" s="2">
        <v>686</v>
      </c>
      <c r="C17" s="2" t="s">
        <v>5</v>
      </c>
      <c r="D17" s="2">
        <v>2</v>
      </c>
    </row>
    <row r="18" spans="1:4" x14ac:dyDescent="0.2">
      <c r="A18" s="1">
        <v>36</v>
      </c>
      <c r="B18" s="2">
        <v>119</v>
      </c>
      <c r="C18" s="2" t="s">
        <v>6</v>
      </c>
      <c r="D18" s="2">
        <v>1</v>
      </c>
    </row>
    <row r="19" spans="1:4" x14ac:dyDescent="0.2">
      <c r="A19" s="1">
        <v>36</v>
      </c>
      <c r="B19" s="2">
        <v>120</v>
      </c>
      <c r="C19" s="2" t="s">
        <v>6</v>
      </c>
      <c r="D19" s="2">
        <v>1</v>
      </c>
    </row>
    <row r="20" spans="1:4" x14ac:dyDescent="0.2">
      <c r="A20" s="1">
        <v>39</v>
      </c>
      <c r="B20" s="2">
        <v>20</v>
      </c>
      <c r="C20" s="2" t="s">
        <v>6</v>
      </c>
      <c r="D20" s="2">
        <v>1</v>
      </c>
    </row>
    <row r="21" spans="1:4" x14ac:dyDescent="0.2">
      <c r="A21" s="1">
        <v>39</v>
      </c>
      <c r="B21" s="2">
        <v>120</v>
      </c>
      <c r="C21" s="2" t="s">
        <v>6</v>
      </c>
      <c r="D21" s="2">
        <v>2</v>
      </c>
    </row>
    <row r="22" spans="1:4" x14ac:dyDescent="0.2">
      <c r="A22" s="1">
        <v>39</v>
      </c>
      <c r="B22" s="2">
        <v>119</v>
      </c>
      <c r="C22" s="2" t="s">
        <v>6</v>
      </c>
      <c r="D22" s="2">
        <v>1</v>
      </c>
    </row>
    <row r="23" spans="1:4" x14ac:dyDescent="0.2">
      <c r="A23" s="1">
        <v>44</v>
      </c>
      <c r="B23" s="2">
        <v>126</v>
      </c>
      <c r="C23" s="2" t="s">
        <v>6</v>
      </c>
      <c r="D23" s="2">
        <v>1</v>
      </c>
    </row>
    <row r="24" spans="1:4" x14ac:dyDescent="0.2">
      <c r="A24" s="1">
        <v>50</v>
      </c>
      <c r="B24" s="2">
        <v>686</v>
      </c>
      <c r="C24" s="2" t="s">
        <v>5</v>
      </c>
      <c r="D24" s="2">
        <v>1</v>
      </c>
    </row>
    <row r="25" spans="1:4" x14ac:dyDescent="0.2">
      <c r="A25" s="1">
        <v>54</v>
      </c>
      <c r="B25" s="2">
        <v>457</v>
      </c>
      <c r="C25" s="2" t="s">
        <v>7</v>
      </c>
      <c r="D25" s="2">
        <v>1</v>
      </c>
    </row>
    <row r="26" spans="1:4" x14ac:dyDescent="0.2">
      <c r="A26" s="1">
        <v>64</v>
      </c>
      <c r="B26" s="2">
        <v>686</v>
      </c>
      <c r="C26" s="2" t="s">
        <v>5</v>
      </c>
      <c r="D26" s="2">
        <v>1</v>
      </c>
    </row>
    <row r="27" spans="1:4" x14ac:dyDescent="0.2">
      <c r="A27" s="1">
        <v>72</v>
      </c>
      <c r="B27" s="2">
        <v>628</v>
      </c>
      <c r="C27" s="2" t="s">
        <v>7</v>
      </c>
      <c r="D27" s="2">
        <v>1</v>
      </c>
    </row>
    <row r="28" spans="1:4" x14ac:dyDescent="0.2">
      <c r="A28" s="1">
        <v>73</v>
      </c>
      <c r="B28" s="2">
        <v>686</v>
      </c>
      <c r="C28" s="2" t="s">
        <v>5</v>
      </c>
      <c r="D28" s="2">
        <v>1</v>
      </c>
    </row>
    <row r="29" spans="1:4" x14ac:dyDescent="0.2">
      <c r="A29" s="1">
        <v>73</v>
      </c>
      <c r="B29" s="2">
        <v>704</v>
      </c>
      <c r="C29" s="2" t="s">
        <v>5</v>
      </c>
      <c r="D29" s="2">
        <v>2</v>
      </c>
    </row>
    <row r="30" spans="1:4" x14ac:dyDescent="0.2">
      <c r="A30" s="1">
        <v>83</v>
      </c>
      <c r="B30" s="2">
        <v>20</v>
      </c>
      <c r="C30" s="2" t="s">
        <v>6</v>
      </c>
      <c r="D30" s="2">
        <v>1</v>
      </c>
    </row>
    <row r="31" spans="1:4" x14ac:dyDescent="0.2">
      <c r="A31" s="1">
        <v>83</v>
      </c>
      <c r="B31" s="2">
        <v>120</v>
      </c>
      <c r="C31" s="2" t="s">
        <v>6</v>
      </c>
      <c r="D31" s="2">
        <v>2</v>
      </c>
    </row>
    <row r="32" spans="1:4" x14ac:dyDescent="0.2">
      <c r="A32" s="1">
        <v>83</v>
      </c>
      <c r="B32" s="2">
        <v>119</v>
      </c>
      <c r="C32" s="2" t="s">
        <v>6</v>
      </c>
      <c r="D32" s="2">
        <v>1</v>
      </c>
    </row>
    <row r="33" spans="1:4" x14ac:dyDescent="0.2">
      <c r="A33" s="1">
        <v>90</v>
      </c>
      <c r="B33" s="2">
        <v>119</v>
      </c>
      <c r="C33" s="2" t="s">
        <v>6</v>
      </c>
      <c r="D33" s="2">
        <v>1</v>
      </c>
    </row>
    <row r="34" spans="1:4" x14ac:dyDescent="0.2">
      <c r="A34" s="1">
        <v>90</v>
      </c>
      <c r="B34" s="2">
        <v>120</v>
      </c>
      <c r="C34" s="2" t="s">
        <v>6</v>
      </c>
      <c r="D34" s="2">
        <v>1</v>
      </c>
    </row>
    <row r="35" spans="1:4" x14ac:dyDescent="0.2">
      <c r="A35" s="1">
        <v>100</v>
      </c>
      <c r="B35" s="2">
        <v>20</v>
      </c>
      <c r="C35" s="2" t="s">
        <v>6</v>
      </c>
      <c r="D35" s="2">
        <v>1</v>
      </c>
    </row>
    <row r="36" spans="1:4" x14ac:dyDescent="0.2">
      <c r="A36" s="1">
        <v>100</v>
      </c>
      <c r="B36" s="2">
        <v>120</v>
      </c>
      <c r="C36" s="2" t="s">
        <v>6</v>
      </c>
      <c r="D36" s="2">
        <v>2</v>
      </c>
    </row>
    <row r="37" spans="1:4" x14ac:dyDescent="0.2">
      <c r="A37" s="1">
        <v>100</v>
      </c>
      <c r="B37" s="2">
        <v>119</v>
      </c>
      <c r="C37" s="2" t="s">
        <v>6</v>
      </c>
      <c r="D37" s="2">
        <v>1</v>
      </c>
    </row>
    <row r="38" spans="1:4" x14ac:dyDescent="0.2">
      <c r="A38" s="1">
        <v>100</v>
      </c>
      <c r="B38" s="2">
        <v>126</v>
      </c>
      <c r="C38" s="2" t="s">
        <v>6</v>
      </c>
      <c r="D38" s="2">
        <v>1</v>
      </c>
    </row>
    <row r="39" spans="1:4" x14ac:dyDescent="0.2">
      <c r="A39" s="1">
        <v>102</v>
      </c>
      <c r="B39" s="2">
        <v>686</v>
      </c>
      <c r="C39" s="2" t="s">
        <v>5</v>
      </c>
      <c r="D39" s="2">
        <v>2</v>
      </c>
    </row>
    <row r="40" spans="1:4" x14ac:dyDescent="0.2">
      <c r="A40" s="1">
        <v>102</v>
      </c>
      <c r="B40" s="2">
        <v>126</v>
      </c>
      <c r="C40" s="2" t="s">
        <v>6</v>
      </c>
      <c r="D40" s="2">
        <v>1</v>
      </c>
    </row>
    <row r="41" spans="1:4" x14ac:dyDescent="0.2">
      <c r="A41" s="1">
        <v>104</v>
      </c>
      <c r="B41" s="2">
        <v>690</v>
      </c>
      <c r="C41" s="2" t="s">
        <v>5</v>
      </c>
      <c r="D41" s="2">
        <v>1</v>
      </c>
    </row>
    <row r="42" spans="1:4" x14ac:dyDescent="0.2">
      <c r="A42" s="1">
        <v>117</v>
      </c>
      <c r="B42" s="2">
        <v>843</v>
      </c>
      <c r="C42" s="2" t="s">
        <v>5</v>
      </c>
      <c r="D42" s="2">
        <v>1</v>
      </c>
    </row>
    <row r="43" spans="1:4" x14ac:dyDescent="0.2">
      <c r="A43" s="1">
        <v>118</v>
      </c>
      <c r="B43" s="2">
        <v>690</v>
      </c>
      <c r="C43" s="2" t="s">
        <v>5</v>
      </c>
      <c r="D43" s="2">
        <v>1</v>
      </c>
    </row>
    <row r="44" spans="1:4" x14ac:dyDescent="0.2">
      <c r="A44" s="1">
        <v>125</v>
      </c>
      <c r="B44" s="2">
        <v>20</v>
      </c>
      <c r="C44" s="2" t="s">
        <v>6</v>
      </c>
      <c r="D44" s="2">
        <v>1</v>
      </c>
    </row>
    <row r="45" spans="1:4" x14ac:dyDescent="0.2">
      <c r="A45" s="1">
        <v>125</v>
      </c>
      <c r="B45" s="2">
        <v>120</v>
      </c>
      <c r="C45" s="2" t="s">
        <v>6</v>
      </c>
      <c r="D45" s="2">
        <v>2</v>
      </c>
    </row>
    <row r="46" spans="1:4" x14ac:dyDescent="0.2">
      <c r="A46" s="1">
        <v>125</v>
      </c>
      <c r="B46" s="2">
        <v>119</v>
      </c>
      <c r="C46" s="2" t="s">
        <v>6</v>
      </c>
      <c r="D46" s="2">
        <v>1</v>
      </c>
    </row>
    <row r="47" spans="1:4" x14ac:dyDescent="0.2">
      <c r="A47" s="1">
        <v>127</v>
      </c>
      <c r="B47" s="2">
        <v>686</v>
      </c>
      <c r="C47" s="2" t="s">
        <v>5</v>
      </c>
      <c r="D47" s="2">
        <v>1</v>
      </c>
    </row>
    <row r="48" spans="1:4" x14ac:dyDescent="0.2">
      <c r="A48" s="1">
        <v>128</v>
      </c>
      <c r="B48" s="2">
        <v>126</v>
      </c>
      <c r="C48" s="2" t="s">
        <v>6</v>
      </c>
      <c r="D48" s="2">
        <v>1</v>
      </c>
    </row>
    <row r="49" spans="1:4" x14ac:dyDescent="0.2">
      <c r="A49" s="1">
        <v>130</v>
      </c>
      <c r="B49" s="2">
        <v>457</v>
      </c>
      <c r="C49" s="2" t="s">
        <v>7</v>
      </c>
      <c r="D49" s="2">
        <v>1</v>
      </c>
    </row>
    <row r="50" spans="1:4" x14ac:dyDescent="0.2">
      <c r="A50" s="1">
        <v>131</v>
      </c>
      <c r="B50" s="2">
        <v>119</v>
      </c>
      <c r="C50" s="2" t="s">
        <v>6</v>
      </c>
      <c r="D50" s="2">
        <v>1</v>
      </c>
    </row>
    <row r="51" spans="1:4" x14ac:dyDescent="0.2">
      <c r="A51" s="1">
        <v>131</v>
      </c>
      <c r="B51" s="2">
        <v>120</v>
      </c>
      <c r="C51" s="2" t="s">
        <v>6</v>
      </c>
      <c r="D51" s="2">
        <v>1</v>
      </c>
    </row>
    <row r="52" spans="1:4" x14ac:dyDescent="0.2">
      <c r="A52" s="1">
        <v>131</v>
      </c>
      <c r="B52" s="2">
        <v>126</v>
      </c>
      <c r="C52" s="2" t="s">
        <v>6</v>
      </c>
      <c r="D52" s="2">
        <v>1</v>
      </c>
    </row>
    <row r="53" spans="1:4" x14ac:dyDescent="0.2">
      <c r="A53" s="1">
        <v>131</v>
      </c>
      <c r="B53" s="2">
        <v>686</v>
      </c>
      <c r="C53" s="2" t="s">
        <v>5</v>
      </c>
      <c r="D53" s="2">
        <v>1</v>
      </c>
    </row>
    <row r="54" spans="1:4" x14ac:dyDescent="0.2">
      <c r="A54" s="1">
        <v>132</v>
      </c>
      <c r="B54" s="2">
        <v>119</v>
      </c>
      <c r="C54" s="2" t="s">
        <v>6</v>
      </c>
      <c r="D54" s="2">
        <v>1</v>
      </c>
    </row>
    <row r="55" spans="1:4" x14ac:dyDescent="0.2">
      <c r="A55" s="1">
        <v>132</v>
      </c>
      <c r="B55" s="2">
        <v>120</v>
      </c>
      <c r="C55" s="2" t="s">
        <v>6</v>
      </c>
      <c r="D55" s="2">
        <v>1</v>
      </c>
    </row>
    <row r="56" spans="1:4" x14ac:dyDescent="0.2">
      <c r="A56" s="1">
        <v>143</v>
      </c>
      <c r="B56" s="2">
        <v>467</v>
      </c>
      <c r="C56" s="2" t="s">
        <v>5</v>
      </c>
      <c r="D56" s="2">
        <v>1</v>
      </c>
    </row>
    <row r="57" spans="1:4" x14ac:dyDescent="0.2">
      <c r="A57" s="1">
        <v>144</v>
      </c>
      <c r="B57" s="2">
        <v>686</v>
      </c>
      <c r="C57" s="2" t="s">
        <v>5</v>
      </c>
      <c r="D57" s="2">
        <v>1</v>
      </c>
    </row>
    <row r="58" spans="1:4" x14ac:dyDescent="0.2">
      <c r="A58" s="1">
        <v>149</v>
      </c>
      <c r="B58" s="2">
        <v>686</v>
      </c>
      <c r="C58" s="2" t="s">
        <v>5</v>
      </c>
      <c r="D58" s="2">
        <v>1</v>
      </c>
    </row>
    <row r="59" spans="1:4" x14ac:dyDescent="0.2">
      <c r="A59" s="1">
        <v>152</v>
      </c>
      <c r="B59" s="2">
        <v>457</v>
      </c>
      <c r="C59" s="2" t="s">
        <v>7</v>
      </c>
      <c r="D59" s="2">
        <v>2</v>
      </c>
    </row>
    <row r="60" spans="1:4" x14ac:dyDescent="0.2">
      <c r="A60" s="1">
        <v>156</v>
      </c>
      <c r="B60" s="2">
        <v>190</v>
      </c>
      <c r="C60" s="2" t="s">
        <v>6</v>
      </c>
      <c r="D60" s="2">
        <v>1</v>
      </c>
    </row>
    <row r="61" spans="1:4" x14ac:dyDescent="0.2">
      <c r="A61" s="1">
        <v>158</v>
      </c>
      <c r="B61" s="2">
        <v>686</v>
      </c>
      <c r="C61" s="2" t="s">
        <v>5</v>
      </c>
      <c r="D61" s="2">
        <v>2</v>
      </c>
    </row>
    <row r="62" spans="1:4" x14ac:dyDescent="0.2">
      <c r="A62" s="1">
        <v>161</v>
      </c>
      <c r="B62" s="2">
        <v>476</v>
      </c>
      <c r="C62" s="2" t="s">
        <v>5</v>
      </c>
      <c r="D62" s="2">
        <v>1</v>
      </c>
    </row>
    <row r="63" spans="1:4" x14ac:dyDescent="0.2">
      <c r="A63" s="1">
        <v>165</v>
      </c>
      <c r="B63" s="2">
        <v>686</v>
      </c>
      <c r="C63" s="2" t="s">
        <v>5</v>
      </c>
      <c r="D63" s="2">
        <v>2</v>
      </c>
    </row>
    <row r="64" spans="1:4" x14ac:dyDescent="0.2">
      <c r="A64" s="1">
        <v>172</v>
      </c>
      <c r="B64" s="2">
        <v>126</v>
      </c>
      <c r="C64" s="2" t="s">
        <v>6</v>
      </c>
      <c r="D64" s="2">
        <v>1</v>
      </c>
    </row>
    <row r="65" spans="1:4" x14ac:dyDescent="0.2">
      <c r="A65" s="1">
        <v>173</v>
      </c>
      <c r="B65" s="2">
        <v>686</v>
      </c>
      <c r="C65" s="2" t="s">
        <v>5</v>
      </c>
      <c r="D65" s="2">
        <v>1</v>
      </c>
    </row>
    <row r="66" spans="1:4" x14ac:dyDescent="0.2">
      <c r="A66" s="1">
        <v>173</v>
      </c>
      <c r="B66" s="2">
        <v>119</v>
      </c>
      <c r="C66" s="2" t="s">
        <v>6</v>
      </c>
      <c r="D66" s="2">
        <v>1</v>
      </c>
    </row>
    <row r="67" spans="1:4" x14ac:dyDescent="0.2">
      <c r="A67" s="1">
        <v>173</v>
      </c>
      <c r="B67" s="2">
        <v>120</v>
      </c>
      <c r="C67" s="2" t="s">
        <v>6</v>
      </c>
      <c r="D67" s="2">
        <v>1</v>
      </c>
    </row>
    <row r="68" spans="1:4" x14ac:dyDescent="0.2">
      <c r="A68" s="1">
        <v>174</v>
      </c>
      <c r="B68" s="2">
        <v>690</v>
      </c>
      <c r="C68" s="2" t="s">
        <v>5</v>
      </c>
      <c r="D68" s="2">
        <v>2</v>
      </c>
    </row>
    <row r="69" spans="1:4" x14ac:dyDescent="0.2">
      <c r="A69" s="1">
        <v>174</v>
      </c>
      <c r="B69" s="2">
        <v>401</v>
      </c>
      <c r="C69" s="2" t="s">
        <v>5</v>
      </c>
      <c r="D69" s="2">
        <v>3</v>
      </c>
    </row>
    <row r="70" spans="1:4" x14ac:dyDescent="0.2">
      <c r="A70" s="1">
        <v>174</v>
      </c>
      <c r="B70" s="2">
        <v>119</v>
      </c>
      <c r="C70" s="2" t="s">
        <v>6</v>
      </c>
      <c r="D70" s="2">
        <v>2</v>
      </c>
    </row>
    <row r="71" spans="1:4" x14ac:dyDescent="0.2">
      <c r="A71" s="1">
        <v>174</v>
      </c>
      <c r="B71" s="2">
        <v>120</v>
      </c>
      <c r="C71" s="2" t="s">
        <v>6</v>
      </c>
      <c r="D71" s="2">
        <v>2</v>
      </c>
    </row>
    <row r="72" spans="1:4" x14ac:dyDescent="0.2">
      <c r="A72" s="1">
        <v>178</v>
      </c>
      <c r="B72" s="2">
        <v>126</v>
      </c>
      <c r="C72" s="2" t="s">
        <v>6</v>
      </c>
      <c r="D72" s="2">
        <v>2</v>
      </c>
    </row>
    <row r="73" spans="1:4" x14ac:dyDescent="0.2">
      <c r="A73" s="1">
        <v>186</v>
      </c>
      <c r="B73" s="2">
        <v>119</v>
      </c>
      <c r="C73" s="2" t="s">
        <v>6</v>
      </c>
      <c r="D73" s="2">
        <v>1</v>
      </c>
    </row>
    <row r="74" spans="1:4" x14ac:dyDescent="0.2">
      <c r="A74" s="1">
        <v>186</v>
      </c>
      <c r="B74" s="2">
        <v>120</v>
      </c>
      <c r="C74" s="2" t="s">
        <v>6</v>
      </c>
      <c r="D74" s="2">
        <v>1</v>
      </c>
    </row>
    <row r="75" spans="1:4" x14ac:dyDescent="0.2">
      <c r="A75" s="1">
        <v>187</v>
      </c>
      <c r="B75" s="2">
        <v>119</v>
      </c>
      <c r="C75" s="2" t="s">
        <v>6</v>
      </c>
      <c r="D75" s="2">
        <v>1</v>
      </c>
    </row>
    <row r="76" spans="1:4" x14ac:dyDescent="0.2">
      <c r="A76" s="1">
        <v>187</v>
      </c>
      <c r="B76" s="2">
        <v>120</v>
      </c>
      <c r="C76" s="2" t="s">
        <v>6</v>
      </c>
      <c r="D76" s="2">
        <v>1</v>
      </c>
    </row>
    <row r="77" spans="1:4" x14ac:dyDescent="0.2">
      <c r="A77" s="1">
        <v>187</v>
      </c>
      <c r="B77" s="2">
        <v>126</v>
      </c>
      <c r="C77" s="2" t="s">
        <v>6</v>
      </c>
      <c r="D77" s="2">
        <v>2</v>
      </c>
    </row>
    <row r="78" spans="1:4" x14ac:dyDescent="0.2">
      <c r="A78" s="1">
        <v>188</v>
      </c>
      <c r="B78" s="2">
        <v>369</v>
      </c>
      <c r="C78" s="2" t="s">
        <v>7</v>
      </c>
      <c r="D78" s="2">
        <v>1</v>
      </c>
    </row>
    <row r="79" spans="1:4" x14ac:dyDescent="0.2">
      <c r="A79" s="1">
        <v>189</v>
      </c>
      <c r="B79" s="2">
        <v>686</v>
      </c>
      <c r="C79" s="2" t="s">
        <v>5</v>
      </c>
      <c r="D79" s="2">
        <v>1</v>
      </c>
    </row>
    <row r="80" spans="1:4" x14ac:dyDescent="0.2">
      <c r="A80" s="1">
        <v>191</v>
      </c>
      <c r="B80" s="2">
        <v>20</v>
      </c>
      <c r="C80" s="2" t="s">
        <v>6</v>
      </c>
      <c r="D80" s="2">
        <v>1</v>
      </c>
    </row>
    <row r="81" spans="1:4" x14ac:dyDescent="0.2">
      <c r="A81" s="1">
        <v>191</v>
      </c>
      <c r="B81" s="2">
        <v>120</v>
      </c>
      <c r="C81" s="2" t="s">
        <v>6</v>
      </c>
      <c r="D81" s="2">
        <v>2</v>
      </c>
    </row>
    <row r="82" spans="1:4" x14ac:dyDescent="0.2">
      <c r="A82" s="1">
        <v>191</v>
      </c>
      <c r="B82" s="2">
        <v>119</v>
      </c>
      <c r="C82" s="2" t="s">
        <v>6</v>
      </c>
      <c r="D82" s="2">
        <v>1</v>
      </c>
    </row>
    <row r="83" spans="1:4" x14ac:dyDescent="0.2">
      <c r="A83" s="1">
        <v>192</v>
      </c>
      <c r="B83" s="2">
        <v>20</v>
      </c>
      <c r="C83" s="2" t="s">
        <v>6</v>
      </c>
      <c r="D83" s="2">
        <v>1</v>
      </c>
    </row>
    <row r="84" spans="1:4" x14ac:dyDescent="0.2">
      <c r="A84" s="1">
        <v>192</v>
      </c>
      <c r="B84" s="2">
        <v>120</v>
      </c>
      <c r="C84" s="2" t="s">
        <v>6</v>
      </c>
      <c r="D84" s="2">
        <v>2</v>
      </c>
    </row>
    <row r="85" spans="1:4" x14ac:dyDescent="0.2">
      <c r="A85" s="1">
        <v>192</v>
      </c>
      <c r="B85" s="2">
        <v>119</v>
      </c>
      <c r="C85" s="2" t="s">
        <v>6</v>
      </c>
      <c r="D85" s="2">
        <v>1</v>
      </c>
    </row>
    <row r="86" spans="1:4" x14ac:dyDescent="0.2">
      <c r="A86" s="1">
        <v>194</v>
      </c>
      <c r="B86" s="2">
        <v>686</v>
      </c>
      <c r="C86" s="2" t="s">
        <v>5</v>
      </c>
      <c r="D86" s="2">
        <v>2</v>
      </c>
    </row>
    <row r="87" spans="1:4" x14ac:dyDescent="0.2">
      <c r="A87" s="1">
        <v>202</v>
      </c>
      <c r="B87" s="2">
        <v>126</v>
      </c>
      <c r="C87" s="2" t="s">
        <v>6</v>
      </c>
      <c r="D87" s="2">
        <v>1</v>
      </c>
    </row>
    <row r="88" spans="1:4" x14ac:dyDescent="0.2">
      <c r="A88" s="1">
        <v>202</v>
      </c>
      <c r="B88" s="2">
        <v>126</v>
      </c>
      <c r="C88" s="2" t="s">
        <v>5</v>
      </c>
      <c r="D88" s="2">
        <v>1</v>
      </c>
    </row>
    <row r="89" spans="1:4" x14ac:dyDescent="0.2">
      <c r="A89" s="1">
        <v>202</v>
      </c>
      <c r="B89" s="2">
        <v>457</v>
      </c>
      <c r="C89" s="2" t="s">
        <v>5</v>
      </c>
      <c r="D89" s="2">
        <v>1</v>
      </c>
    </row>
    <row r="90" spans="1:4" x14ac:dyDescent="0.2">
      <c r="A90" s="1">
        <v>207</v>
      </c>
      <c r="B90" s="2">
        <v>126</v>
      </c>
      <c r="C90" s="2" t="s">
        <v>6</v>
      </c>
      <c r="D90" s="2">
        <v>1</v>
      </c>
    </row>
    <row r="91" spans="1:4" x14ac:dyDescent="0.2">
      <c r="A91" s="1">
        <v>208</v>
      </c>
      <c r="B91" s="2">
        <v>686</v>
      </c>
      <c r="C91" s="2" t="s">
        <v>5</v>
      </c>
      <c r="D91" s="2">
        <v>2</v>
      </c>
    </row>
    <row r="92" spans="1:4" x14ac:dyDescent="0.2">
      <c r="A92" s="1">
        <v>208</v>
      </c>
      <c r="B92" s="2">
        <v>119</v>
      </c>
      <c r="C92" s="2" t="s">
        <v>6</v>
      </c>
      <c r="D92" s="2">
        <v>1</v>
      </c>
    </row>
    <row r="93" spans="1:4" x14ac:dyDescent="0.2">
      <c r="A93" s="1">
        <v>208</v>
      </c>
      <c r="B93" s="2">
        <v>120</v>
      </c>
      <c r="C93" s="2" t="s">
        <v>6</v>
      </c>
      <c r="D93" s="2">
        <v>1</v>
      </c>
    </row>
    <row r="94" spans="1:4" x14ac:dyDescent="0.2">
      <c r="A94" s="1">
        <v>217</v>
      </c>
      <c r="B94" s="2">
        <v>126</v>
      </c>
      <c r="C94" s="2" t="s">
        <v>6</v>
      </c>
      <c r="D94" s="2">
        <v>1</v>
      </c>
    </row>
    <row r="95" spans="1:4" x14ac:dyDescent="0.2">
      <c r="A95" s="1">
        <v>217</v>
      </c>
      <c r="B95" s="2">
        <v>686</v>
      </c>
      <c r="C95" s="2" t="s">
        <v>5</v>
      </c>
      <c r="D95" s="2">
        <v>2</v>
      </c>
    </row>
    <row r="96" spans="1:4" x14ac:dyDescent="0.2">
      <c r="A96" s="1">
        <v>226</v>
      </c>
      <c r="B96" s="2">
        <v>126</v>
      </c>
      <c r="C96" s="2" t="s">
        <v>5</v>
      </c>
      <c r="D96" s="2">
        <v>1</v>
      </c>
    </row>
    <row r="97" spans="1:4" x14ac:dyDescent="0.2">
      <c r="A97" s="1">
        <v>226</v>
      </c>
      <c r="B97" s="2">
        <v>457</v>
      </c>
      <c r="C97" s="2" t="s">
        <v>5</v>
      </c>
      <c r="D97" s="2">
        <v>1</v>
      </c>
    </row>
    <row r="98" spans="1:4" x14ac:dyDescent="0.2">
      <c r="A98" s="1">
        <v>230</v>
      </c>
      <c r="B98" s="2">
        <v>119</v>
      </c>
      <c r="C98" s="2" t="s">
        <v>6</v>
      </c>
      <c r="D98" s="2">
        <v>1</v>
      </c>
    </row>
    <row r="99" spans="1:4" x14ac:dyDescent="0.2">
      <c r="A99" s="1">
        <v>230</v>
      </c>
      <c r="B99" s="2">
        <v>120</v>
      </c>
      <c r="C99" s="2" t="s">
        <v>6</v>
      </c>
      <c r="D99" s="2">
        <v>1</v>
      </c>
    </row>
    <row r="100" spans="1:4" x14ac:dyDescent="0.2">
      <c r="A100" s="1">
        <v>237</v>
      </c>
      <c r="B100" s="2">
        <v>20</v>
      </c>
      <c r="C100" s="2" t="s">
        <v>6</v>
      </c>
      <c r="D100" s="2">
        <v>1</v>
      </c>
    </row>
    <row r="101" spans="1:4" x14ac:dyDescent="0.2">
      <c r="A101" s="1">
        <v>237</v>
      </c>
      <c r="B101" s="2">
        <v>120</v>
      </c>
      <c r="C101" s="2" t="s">
        <v>6</v>
      </c>
      <c r="D101" s="2">
        <v>2</v>
      </c>
    </row>
    <row r="102" spans="1:4" x14ac:dyDescent="0.2">
      <c r="A102" s="1">
        <v>237</v>
      </c>
      <c r="B102" s="2">
        <v>119</v>
      </c>
      <c r="C102" s="2" t="s">
        <v>6</v>
      </c>
      <c r="D102" s="2">
        <v>1</v>
      </c>
    </row>
    <row r="103" spans="1:4" x14ac:dyDescent="0.2">
      <c r="A103" s="1">
        <v>238</v>
      </c>
      <c r="B103" s="2">
        <v>119</v>
      </c>
      <c r="C103" s="2" t="s">
        <v>6</v>
      </c>
      <c r="D103" s="2">
        <v>1</v>
      </c>
    </row>
    <row r="104" spans="1:4" x14ac:dyDescent="0.2">
      <c r="A104" s="1">
        <v>238</v>
      </c>
      <c r="B104" s="2">
        <v>120</v>
      </c>
      <c r="C104" s="2" t="s">
        <v>6</v>
      </c>
      <c r="D104" s="2">
        <v>1</v>
      </c>
    </row>
    <row r="105" spans="1:4" x14ac:dyDescent="0.2">
      <c r="A105" s="1">
        <v>238</v>
      </c>
      <c r="B105" s="2">
        <v>126</v>
      </c>
      <c r="C105" s="2" t="s">
        <v>6</v>
      </c>
      <c r="D105" s="2">
        <v>1</v>
      </c>
    </row>
    <row r="106" spans="1:4" x14ac:dyDescent="0.2">
      <c r="A106" s="1">
        <v>240</v>
      </c>
      <c r="B106" s="2">
        <v>690</v>
      </c>
      <c r="C106" s="2" t="s">
        <v>5</v>
      </c>
      <c r="D106" s="2">
        <v>6</v>
      </c>
    </row>
    <row r="107" spans="1:4" x14ac:dyDescent="0.2">
      <c r="A107" s="1">
        <v>241</v>
      </c>
      <c r="B107" s="2">
        <v>119</v>
      </c>
      <c r="C107" s="2" t="s">
        <v>6</v>
      </c>
      <c r="D107" s="2">
        <v>1</v>
      </c>
    </row>
    <row r="108" spans="1:4" x14ac:dyDescent="0.2">
      <c r="A108" s="1">
        <v>241</v>
      </c>
      <c r="B108" s="2">
        <v>120</v>
      </c>
      <c r="C108" s="2" t="s">
        <v>6</v>
      </c>
      <c r="D108" s="2">
        <v>1</v>
      </c>
    </row>
    <row r="109" spans="1:4" x14ac:dyDescent="0.2">
      <c r="A109" s="1">
        <v>242</v>
      </c>
      <c r="B109" s="2">
        <v>119</v>
      </c>
      <c r="C109" s="2" t="s">
        <v>6</v>
      </c>
      <c r="D109" s="2">
        <v>1</v>
      </c>
    </row>
    <row r="110" spans="1:4" x14ac:dyDescent="0.2">
      <c r="A110" s="1">
        <v>242</v>
      </c>
      <c r="B110" s="2">
        <v>120</v>
      </c>
      <c r="C110" s="2" t="s">
        <v>6</v>
      </c>
      <c r="D110" s="2">
        <v>1</v>
      </c>
    </row>
    <row r="111" spans="1:4" x14ac:dyDescent="0.2">
      <c r="A111" s="1">
        <v>245</v>
      </c>
      <c r="B111" s="2">
        <v>457</v>
      </c>
      <c r="C111" s="2" t="s">
        <v>7</v>
      </c>
      <c r="D111" s="2">
        <v>2</v>
      </c>
    </row>
    <row r="112" spans="1:4" x14ac:dyDescent="0.2">
      <c r="A112" s="1">
        <v>247</v>
      </c>
      <c r="B112" s="2">
        <v>126</v>
      </c>
      <c r="C112" s="2" t="s">
        <v>6</v>
      </c>
      <c r="D112" s="2">
        <v>1</v>
      </c>
    </row>
    <row r="113" spans="1:4" x14ac:dyDescent="0.2">
      <c r="A113" s="1">
        <v>251</v>
      </c>
      <c r="B113" s="2">
        <v>690</v>
      </c>
      <c r="C113" s="2" t="s">
        <v>5</v>
      </c>
      <c r="D113" s="2">
        <v>1</v>
      </c>
    </row>
    <row r="114" spans="1:4" x14ac:dyDescent="0.2">
      <c r="A114" s="1">
        <v>255</v>
      </c>
      <c r="B114" s="2">
        <v>686</v>
      </c>
      <c r="C114" s="2" t="s">
        <v>5</v>
      </c>
      <c r="D114" s="2">
        <v>1</v>
      </c>
    </row>
    <row r="115" spans="1:4" x14ac:dyDescent="0.2">
      <c r="A115" s="1">
        <v>262</v>
      </c>
      <c r="B115" s="2">
        <v>686</v>
      </c>
      <c r="C115" s="2" t="s">
        <v>5</v>
      </c>
      <c r="D115" s="2">
        <v>2</v>
      </c>
    </row>
    <row r="116" spans="1:4" x14ac:dyDescent="0.2">
      <c r="A116" s="1">
        <v>262</v>
      </c>
      <c r="B116" s="2">
        <v>690</v>
      </c>
      <c r="C116" s="2" t="s">
        <v>5</v>
      </c>
      <c r="D116" s="2">
        <v>4</v>
      </c>
    </row>
    <row r="117" spans="1:4" x14ac:dyDescent="0.2">
      <c r="A117" s="1">
        <v>263</v>
      </c>
      <c r="B117" s="2">
        <v>20</v>
      </c>
      <c r="C117" s="2" t="s">
        <v>6</v>
      </c>
      <c r="D117" s="2">
        <v>2</v>
      </c>
    </row>
    <row r="118" spans="1:4" x14ac:dyDescent="0.2">
      <c r="A118" s="1">
        <v>263</v>
      </c>
      <c r="B118" s="2">
        <v>120</v>
      </c>
      <c r="C118" s="2" t="s">
        <v>6</v>
      </c>
      <c r="D118" s="2">
        <v>3</v>
      </c>
    </row>
    <row r="119" spans="1:4" x14ac:dyDescent="0.2">
      <c r="A119" s="1">
        <v>263</v>
      </c>
      <c r="B119" s="2">
        <v>119</v>
      </c>
      <c r="C119" s="2" t="s">
        <v>6</v>
      </c>
      <c r="D119" s="2">
        <v>1</v>
      </c>
    </row>
    <row r="120" spans="1:4" x14ac:dyDescent="0.2">
      <c r="A120" s="1">
        <v>275</v>
      </c>
      <c r="B120" s="2">
        <v>457</v>
      </c>
      <c r="C120" s="2" t="s">
        <v>7</v>
      </c>
      <c r="D120" s="2">
        <v>1</v>
      </c>
    </row>
    <row r="121" spans="1:4" x14ac:dyDescent="0.2">
      <c r="A121" s="1">
        <v>275</v>
      </c>
      <c r="B121" s="2">
        <v>457</v>
      </c>
      <c r="C121" s="2" t="s">
        <v>5</v>
      </c>
      <c r="D121" s="2">
        <v>2</v>
      </c>
    </row>
    <row r="122" spans="1:4" x14ac:dyDescent="0.2">
      <c r="A122" s="1">
        <v>282</v>
      </c>
      <c r="B122" s="2">
        <v>686</v>
      </c>
      <c r="C122" s="2" t="s">
        <v>5</v>
      </c>
      <c r="D122" s="2">
        <v>3</v>
      </c>
    </row>
    <row r="123" spans="1:4" x14ac:dyDescent="0.2">
      <c r="A123" s="1">
        <v>282</v>
      </c>
      <c r="B123" s="2">
        <v>690</v>
      </c>
      <c r="C123" s="2" t="s">
        <v>5</v>
      </c>
      <c r="D123" s="2">
        <v>7</v>
      </c>
    </row>
    <row r="124" spans="1:4" x14ac:dyDescent="0.2">
      <c r="A124" s="1">
        <v>282</v>
      </c>
      <c r="B124" s="2">
        <v>401</v>
      </c>
      <c r="C124" s="2" t="s">
        <v>5</v>
      </c>
      <c r="D124" s="2">
        <v>1</v>
      </c>
    </row>
    <row r="125" spans="1:4" x14ac:dyDescent="0.2">
      <c r="A125" s="1">
        <v>288</v>
      </c>
      <c r="B125" s="2">
        <v>369</v>
      </c>
      <c r="C125" s="2" t="s">
        <v>7</v>
      </c>
      <c r="D125" s="2">
        <v>2</v>
      </c>
    </row>
    <row r="126" spans="1:4" x14ac:dyDescent="0.2">
      <c r="A126" s="1">
        <v>290</v>
      </c>
      <c r="B126" s="2">
        <v>686</v>
      </c>
      <c r="C126" s="2" t="s">
        <v>5</v>
      </c>
      <c r="D126" s="2">
        <v>2</v>
      </c>
    </row>
    <row r="127" spans="1:4" x14ac:dyDescent="0.2">
      <c r="A127" s="1">
        <v>290</v>
      </c>
      <c r="B127" s="2">
        <v>690</v>
      </c>
      <c r="C127" s="2" t="s">
        <v>5</v>
      </c>
      <c r="D127" s="2">
        <v>2</v>
      </c>
    </row>
    <row r="128" spans="1:4" x14ac:dyDescent="0.2">
      <c r="A128" s="1">
        <v>290</v>
      </c>
      <c r="B128" s="2">
        <v>457</v>
      </c>
      <c r="C128" s="2" t="s">
        <v>5</v>
      </c>
      <c r="D128" s="2">
        <v>1</v>
      </c>
    </row>
    <row r="129" spans="1:4" x14ac:dyDescent="0.2">
      <c r="A129" s="1">
        <v>301</v>
      </c>
      <c r="B129" s="2">
        <v>119</v>
      </c>
      <c r="C129" s="2" t="s">
        <v>6</v>
      </c>
      <c r="D129" s="2">
        <v>1</v>
      </c>
    </row>
    <row r="130" spans="1:4" x14ac:dyDescent="0.2">
      <c r="A130" s="1">
        <v>301</v>
      </c>
      <c r="B130" s="2">
        <v>120</v>
      </c>
      <c r="C130" s="2" t="s">
        <v>6</v>
      </c>
      <c r="D130" s="2">
        <v>1</v>
      </c>
    </row>
    <row r="131" spans="1:4" x14ac:dyDescent="0.2">
      <c r="A131" s="1">
        <v>301</v>
      </c>
      <c r="B131" s="2">
        <v>686</v>
      </c>
      <c r="C131" s="2" t="s">
        <v>5</v>
      </c>
      <c r="D131" s="2">
        <v>4</v>
      </c>
    </row>
    <row r="132" spans="1:4" x14ac:dyDescent="0.2">
      <c r="A132" s="1">
        <v>310</v>
      </c>
      <c r="B132" s="2">
        <v>20</v>
      </c>
      <c r="C132" s="2" t="s">
        <v>6</v>
      </c>
      <c r="D132" s="2">
        <v>1</v>
      </c>
    </row>
    <row r="133" spans="1:4" x14ac:dyDescent="0.2">
      <c r="A133" s="1">
        <v>310</v>
      </c>
      <c r="B133" s="2">
        <v>120</v>
      </c>
      <c r="C133" s="2" t="s">
        <v>6</v>
      </c>
      <c r="D133" s="2">
        <v>2</v>
      </c>
    </row>
    <row r="134" spans="1:4" x14ac:dyDescent="0.2">
      <c r="A134" s="1">
        <v>310</v>
      </c>
      <c r="B134" s="2">
        <v>119</v>
      </c>
      <c r="C134" s="2" t="s">
        <v>6</v>
      </c>
      <c r="D134" s="2">
        <v>1</v>
      </c>
    </row>
    <row r="135" spans="1:4" x14ac:dyDescent="0.2">
      <c r="A135" s="1">
        <v>310</v>
      </c>
      <c r="B135" s="2">
        <v>126</v>
      </c>
      <c r="C135" s="2" t="s">
        <v>6</v>
      </c>
      <c r="D135" s="2">
        <v>1</v>
      </c>
    </row>
    <row r="136" spans="1:4" x14ac:dyDescent="0.2">
      <c r="A136" s="1">
        <v>315</v>
      </c>
      <c r="B136" s="2">
        <v>119</v>
      </c>
      <c r="C136" s="2" t="s">
        <v>6</v>
      </c>
      <c r="D136" s="2">
        <v>1</v>
      </c>
    </row>
    <row r="137" spans="1:4" x14ac:dyDescent="0.2">
      <c r="A137" s="1">
        <v>315</v>
      </c>
      <c r="B137" s="2">
        <v>120</v>
      </c>
      <c r="C137" s="2" t="s">
        <v>6</v>
      </c>
      <c r="D137" s="2">
        <v>1</v>
      </c>
    </row>
    <row r="138" spans="1:4" x14ac:dyDescent="0.2">
      <c r="A138" s="1">
        <v>315</v>
      </c>
      <c r="B138" s="2">
        <v>126</v>
      </c>
      <c r="C138" s="2" t="s">
        <v>6</v>
      </c>
      <c r="D138" s="2">
        <v>1</v>
      </c>
    </row>
    <row r="139" spans="1:4" x14ac:dyDescent="0.2">
      <c r="A139" s="1">
        <v>336</v>
      </c>
      <c r="B139" s="2">
        <v>20</v>
      </c>
      <c r="C139" s="2" t="s">
        <v>6</v>
      </c>
      <c r="D139" s="2">
        <v>1</v>
      </c>
    </row>
    <row r="140" spans="1:4" x14ac:dyDescent="0.2">
      <c r="A140" s="1">
        <v>336</v>
      </c>
      <c r="B140" s="2">
        <v>120</v>
      </c>
      <c r="C140" s="2" t="s">
        <v>6</v>
      </c>
      <c r="D140" s="2">
        <v>2</v>
      </c>
    </row>
    <row r="141" spans="1:4" x14ac:dyDescent="0.2">
      <c r="A141" s="1">
        <v>336</v>
      </c>
      <c r="B141" s="2">
        <v>119</v>
      </c>
      <c r="C141" s="2" t="s">
        <v>6</v>
      </c>
      <c r="D141" s="2">
        <v>1</v>
      </c>
    </row>
    <row r="142" spans="1:4" x14ac:dyDescent="0.2">
      <c r="A142" s="1">
        <v>337</v>
      </c>
      <c r="B142" s="2">
        <v>126</v>
      </c>
      <c r="C142" s="2" t="s">
        <v>6</v>
      </c>
      <c r="D142" s="2">
        <v>2</v>
      </c>
    </row>
    <row r="143" spans="1:4" x14ac:dyDescent="0.2">
      <c r="A143" s="1">
        <v>338</v>
      </c>
      <c r="B143" s="2">
        <v>126</v>
      </c>
      <c r="C143" s="2" t="s">
        <v>6</v>
      </c>
      <c r="D143" s="2">
        <v>1</v>
      </c>
    </row>
    <row r="144" spans="1:4" x14ac:dyDescent="0.2">
      <c r="A144" s="1">
        <v>340</v>
      </c>
      <c r="B144" s="2">
        <v>457</v>
      </c>
      <c r="C144" s="2" t="s">
        <v>5</v>
      </c>
      <c r="D144" s="2">
        <v>1</v>
      </c>
    </row>
    <row r="145" spans="1:4" x14ac:dyDescent="0.2">
      <c r="A145" s="1">
        <v>342</v>
      </c>
      <c r="B145" s="2">
        <v>127</v>
      </c>
      <c r="C145" s="2" t="s">
        <v>5</v>
      </c>
      <c r="D145" s="2">
        <v>1</v>
      </c>
    </row>
    <row r="146" spans="1:4" x14ac:dyDescent="0.2">
      <c r="A146" s="1">
        <v>342</v>
      </c>
      <c r="B146" s="2">
        <v>124</v>
      </c>
      <c r="C146" s="2" t="s">
        <v>5</v>
      </c>
      <c r="D146" s="2">
        <v>1</v>
      </c>
    </row>
    <row r="147" spans="1:4" x14ac:dyDescent="0.2">
      <c r="A147" s="1">
        <v>350</v>
      </c>
      <c r="B147" s="2">
        <v>126</v>
      </c>
      <c r="C147" s="2" t="s">
        <v>6</v>
      </c>
      <c r="D147" s="2">
        <v>1</v>
      </c>
    </row>
    <row r="148" spans="1:4" x14ac:dyDescent="0.2">
      <c r="A148" s="1">
        <v>359</v>
      </c>
      <c r="B148" s="2">
        <v>686</v>
      </c>
      <c r="C148" s="2" t="s">
        <v>5</v>
      </c>
      <c r="D148" s="2">
        <v>2</v>
      </c>
    </row>
    <row r="149" spans="1:4" x14ac:dyDescent="0.2">
      <c r="A149" s="1">
        <v>361</v>
      </c>
      <c r="B149" s="2">
        <v>690</v>
      </c>
      <c r="C149" s="2" t="s">
        <v>5</v>
      </c>
      <c r="D149" s="2">
        <v>2</v>
      </c>
    </row>
    <row r="150" spans="1:4" x14ac:dyDescent="0.2">
      <c r="A150" s="1">
        <v>367</v>
      </c>
      <c r="B150" s="2">
        <v>690</v>
      </c>
      <c r="C150" s="2" t="s">
        <v>5</v>
      </c>
      <c r="D150" s="2">
        <v>1</v>
      </c>
    </row>
    <row r="151" spans="1:4" x14ac:dyDescent="0.2">
      <c r="A151" s="1">
        <v>368</v>
      </c>
      <c r="B151" s="2">
        <v>690</v>
      </c>
      <c r="C151" s="2" t="s">
        <v>5</v>
      </c>
      <c r="D151" s="2">
        <v>1</v>
      </c>
    </row>
    <row r="152" spans="1:4" x14ac:dyDescent="0.2">
      <c r="A152" s="1">
        <v>374</v>
      </c>
      <c r="B152" s="2">
        <v>126</v>
      </c>
      <c r="C152" s="2" t="s">
        <v>6</v>
      </c>
      <c r="D152" s="2">
        <v>1</v>
      </c>
    </row>
    <row r="153" spans="1:4" x14ac:dyDescent="0.2">
      <c r="A153" s="1">
        <v>377</v>
      </c>
      <c r="B153" s="2">
        <v>20</v>
      </c>
      <c r="C153" s="2" t="s">
        <v>6</v>
      </c>
      <c r="D153" s="2">
        <v>1</v>
      </c>
    </row>
    <row r="154" spans="1:4" x14ac:dyDescent="0.2">
      <c r="A154" s="1">
        <v>377</v>
      </c>
      <c r="B154" s="2">
        <v>120</v>
      </c>
      <c r="C154" s="2" t="s">
        <v>6</v>
      </c>
      <c r="D154" s="2">
        <v>2</v>
      </c>
    </row>
    <row r="155" spans="1:4" x14ac:dyDescent="0.2">
      <c r="A155" s="1">
        <v>377</v>
      </c>
      <c r="B155" s="2">
        <v>119</v>
      </c>
      <c r="C155" s="2" t="s">
        <v>6</v>
      </c>
      <c r="D155" s="2">
        <v>1</v>
      </c>
    </row>
    <row r="156" spans="1:4" x14ac:dyDescent="0.2">
      <c r="A156" s="1">
        <v>386</v>
      </c>
      <c r="B156" s="2">
        <v>119</v>
      </c>
      <c r="C156" s="2" t="s">
        <v>6</v>
      </c>
      <c r="D156" s="2">
        <v>1</v>
      </c>
    </row>
    <row r="157" spans="1:4" x14ac:dyDescent="0.2">
      <c r="A157" s="1">
        <v>386</v>
      </c>
      <c r="B157" s="2">
        <v>120</v>
      </c>
      <c r="C157" s="2" t="s">
        <v>6</v>
      </c>
      <c r="D157" s="2">
        <v>1</v>
      </c>
    </row>
    <row r="158" spans="1:4" x14ac:dyDescent="0.2">
      <c r="A158" s="1">
        <v>386</v>
      </c>
      <c r="B158" s="2">
        <v>126</v>
      </c>
      <c r="C158" s="2" t="s">
        <v>6</v>
      </c>
      <c r="D158" s="2">
        <v>1</v>
      </c>
    </row>
    <row r="159" spans="1:4" x14ac:dyDescent="0.2">
      <c r="A159" s="1">
        <v>387</v>
      </c>
      <c r="B159" s="2">
        <v>20</v>
      </c>
      <c r="C159" s="2" t="s">
        <v>6</v>
      </c>
      <c r="D159" s="2">
        <v>1</v>
      </c>
    </row>
    <row r="160" spans="1:4" x14ac:dyDescent="0.2">
      <c r="A160" s="1">
        <v>387</v>
      </c>
      <c r="B160" s="2">
        <v>120</v>
      </c>
      <c r="C160" s="2" t="s">
        <v>6</v>
      </c>
      <c r="D160" s="2">
        <v>2</v>
      </c>
    </row>
    <row r="161" spans="1:4" x14ac:dyDescent="0.2">
      <c r="A161" s="1">
        <v>387</v>
      </c>
      <c r="B161" s="2">
        <v>119</v>
      </c>
      <c r="C161" s="2" t="s">
        <v>6</v>
      </c>
      <c r="D161" s="2">
        <v>1</v>
      </c>
    </row>
    <row r="162" spans="1:4" x14ac:dyDescent="0.2">
      <c r="A162" s="1">
        <v>390</v>
      </c>
      <c r="B162" s="2">
        <v>690</v>
      </c>
      <c r="C162" s="2" t="s">
        <v>5</v>
      </c>
      <c r="D162" s="2">
        <v>1</v>
      </c>
    </row>
    <row r="163" spans="1:4" x14ac:dyDescent="0.2">
      <c r="A163" s="1">
        <v>391</v>
      </c>
      <c r="B163" s="2">
        <v>686</v>
      </c>
      <c r="C163" s="2" t="s">
        <v>5</v>
      </c>
      <c r="D163" s="2">
        <v>3</v>
      </c>
    </row>
    <row r="164" spans="1:4" x14ac:dyDescent="0.2">
      <c r="A164" s="1">
        <v>391</v>
      </c>
      <c r="B164" s="2">
        <v>690</v>
      </c>
      <c r="C164" s="2" t="s">
        <v>5</v>
      </c>
      <c r="D164" s="2">
        <v>5</v>
      </c>
    </row>
    <row r="165" spans="1:4" x14ac:dyDescent="0.2">
      <c r="A165" s="1">
        <v>395</v>
      </c>
      <c r="B165" s="2">
        <v>119</v>
      </c>
      <c r="C165" s="2" t="s">
        <v>6</v>
      </c>
      <c r="D165" s="2">
        <v>1</v>
      </c>
    </row>
    <row r="166" spans="1:4" x14ac:dyDescent="0.2">
      <c r="A166" s="1">
        <v>395</v>
      </c>
      <c r="B166" s="2">
        <v>120</v>
      </c>
      <c r="C166" s="2" t="s">
        <v>6</v>
      </c>
      <c r="D166" s="2">
        <v>1</v>
      </c>
    </row>
    <row r="167" spans="1:4" x14ac:dyDescent="0.2">
      <c r="A167" s="1">
        <v>403</v>
      </c>
      <c r="B167" s="2">
        <v>20</v>
      </c>
      <c r="C167" s="2" t="s">
        <v>6</v>
      </c>
      <c r="D167" s="2">
        <v>1</v>
      </c>
    </row>
    <row r="168" spans="1:4" x14ac:dyDescent="0.2">
      <c r="A168" s="1">
        <v>403</v>
      </c>
      <c r="B168" s="2">
        <v>120</v>
      </c>
      <c r="C168" s="2" t="s">
        <v>6</v>
      </c>
      <c r="D168" s="2">
        <v>3</v>
      </c>
    </row>
    <row r="169" spans="1:4" x14ac:dyDescent="0.2">
      <c r="A169" s="1">
        <v>403</v>
      </c>
      <c r="B169" s="2">
        <v>119</v>
      </c>
      <c r="C169" s="2" t="s">
        <v>6</v>
      </c>
      <c r="D169" s="2">
        <v>2</v>
      </c>
    </row>
    <row r="170" spans="1:4" x14ac:dyDescent="0.2">
      <c r="A170" s="1">
        <v>407</v>
      </c>
      <c r="B170" s="2">
        <v>190</v>
      </c>
      <c r="C170" s="2" t="s">
        <v>6</v>
      </c>
      <c r="D170" s="2">
        <v>1</v>
      </c>
    </row>
    <row r="171" spans="1:4" x14ac:dyDescent="0.2">
      <c r="A171" s="1">
        <v>407</v>
      </c>
      <c r="B171" s="2">
        <v>119</v>
      </c>
      <c r="C171" s="2" t="s">
        <v>6</v>
      </c>
      <c r="D171" s="2">
        <v>1</v>
      </c>
    </row>
    <row r="172" spans="1:4" x14ac:dyDescent="0.2">
      <c r="A172" s="1">
        <v>407</v>
      </c>
      <c r="B172" s="2">
        <v>120</v>
      </c>
      <c r="C172" s="2" t="s">
        <v>6</v>
      </c>
      <c r="D172" s="2">
        <v>1</v>
      </c>
    </row>
    <row r="173" spans="1:4" x14ac:dyDescent="0.2">
      <c r="A173" s="1">
        <v>407</v>
      </c>
      <c r="B173" s="2">
        <v>126</v>
      </c>
      <c r="C173" s="2" t="s">
        <v>6</v>
      </c>
      <c r="D173" s="2">
        <v>1</v>
      </c>
    </row>
    <row r="174" spans="1:4" x14ac:dyDescent="0.2">
      <c r="A174" s="1">
        <v>411</v>
      </c>
      <c r="B174" s="2">
        <v>119</v>
      </c>
      <c r="C174" s="2" t="s">
        <v>6</v>
      </c>
      <c r="D174" s="2">
        <v>1</v>
      </c>
    </row>
    <row r="175" spans="1:4" x14ac:dyDescent="0.2">
      <c r="A175" s="1">
        <v>411</v>
      </c>
      <c r="B175" s="2">
        <v>120</v>
      </c>
      <c r="C175" s="2" t="s">
        <v>6</v>
      </c>
      <c r="D175" s="2">
        <v>1</v>
      </c>
    </row>
    <row r="176" spans="1:4" x14ac:dyDescent="0.2">
      <c r="A176" s="1">
        <v>411</v>
      </c>
      <c r="B176" s="2">
        <v>126</v>
      </c>
      <c r="C176" s="2" t="s">
        <v>6</v>
      </c>
      <c r="D176" s="2">
        <v>1</v>
      </c>
    </row>
    <row r="177" spans="1:4" x14ac:dyDescent="0.2">
      <c r="A177" s="1">
        <v>418</v>
      </c>
      <c r="B177" s="2">
        <v>686</v>
      </c>
      <c r="C177" s="2" t="s">
        <v>5</v>
      </c>
      <c r="D177" s="2">
        <v>2</v>
      </c>
    </row>
    <row r="178" spans="1:4" x14ac:dyDescent="0.2">
      <c r="A178" s="1">
        <v>418</v>
      </c>
      <c r="B178" s="2">
        <v>690</v>
      </c>
      <c r="C178" s="2" t="s">
        <v>5</v>
      </c>
      <c r="D178" s="2">
        <v>4</v>
      </c>
    </row>
    <row r="179" spans="1:4" x14ac:dyDescent="0.2">
      <c r="A179" s="1">
        <v>421</v>
      </c>
      <c r="B179" s="2">
        <v>119</v>
      </c>
      <c r="C179" s="2" t="s">
        <v>6</v>
      </c>
      <c r="D179" s="2">
        <v>1</v>
      </c>
    </row>
    <row r="180" spans="1:4" x14ac:dyDescent="0.2">
      <c r="A180" s="1">
        <v>421</v>
      </c>
      <c r="B180" s="2">
        <v>120</v>
      </c>
      <c r="C180" s="2" t="s">
        <v>6</v>
      </c>
      <c r="D180" s="2">
        <v>1</v>
      </c>
    </row>
    <row r="181" spans="1:4" x14ac:dyDescent="0.2">
      <c r="A181" s="1">
        <v>424</v>
      </c>
      <c r="B181" s="2">
        <v>126</v>
      </c>
      <c r="C181" s="2" t="s">
        <v>6</v>
      </c>
      <c r="D181" s="2">
        <v>1</v>
      </c>
    </row>
    <row r="182" spans="1:4" x14ac:dyDescent="0.2">
      <c r="A182" s="1">
        <v>427</v>
      </c>
      <c r="B182" s="2">
        <v>119</v>
      </c>
      <c r="C182" s="2" t="s">
        <v>6</v>
      </c>
      <c r="D182" s="2">
        <v>1</v>
      </c>
    </row>
    <row r="183" spans="1:4" x14ac:dyDescent="0.2">
      <c r="A183" s="1">
        <v>427</v>
      </c>
      <c r="B183" s="2">
        <v>120</v>
      </c>
      <c r="C183" s="2" t="s">
        <v>6</v>
      </c>
      <c r="D183" s="2">
        <v>1</v>
      </c>
    </row>
    <row r="184" spans="1:4" x14ac:dyDescent="0.2">
      <c r="A184" s="1">
        <v>427</v>
      </c>
      <c r="B184" s="2">
        <v>126</v>
      </c>
      <c r="C184" s="2" t="s">
        <v>5</v>
      </c>
      <c r="D184" s="2">
        <v>6</v>
      </c>
    </row>
    <row r="185" spans="1:4" x14ac:dyDescent="0.2">
      <c r="A185" s="1">
        <v>427</v>
      </c>
      <c r="B185" s="2">
        <v>119</v>
      </c>
      <c r="C185" s="2" t="s">
        <v>7</v>
      </c>
      <c r="D185" s="2">
        <v>1</v>
      </c>
    </row>
    <row r="186" spans="1:4" x14ac:dyDescent="0.2">
      <c r="A186" s="1">
        <v>437</v>
      </c>
      <c r="B186" s="2">
        <v>457</v>
      </c>
      <c r="C186" s="2" t="s">
        <v>5</v>
      </c>
      <c r="D186" s="2">
        <v>4</v>
      </c>
    </row>
    <row r="187" spans="1:4" x14ac:dyDescent="0.2">
      <c r="A187" s="1">
        <v>437</v>
      </c>
      <c r="B187" s="2">
        <v>119</v>
      </c>
      <c r="C187" s="2" t="s">
        <v>6</v>
      </c>
      <c r="D187" s="2">
        <v>1</v>
      </c>
    </row>
    <row r="188" spans="1:4" x14ac:dyDescent="0.2">
      <c r="A188" s="1">
        <v>437</v>
      </c>
      <c r="B188" s="2">
        <v>120</v>
      </c>
      <c r="C188" s="2" t="s">
        <v>6</v>
      </c>
      <c r="D188" s="2">
        <v>1</v>
      </c>
    </row>
    <row r="189" spans="1:4" x14ac:dyDescent="0.2">
      <c r="A189" s="1">
        <v>437</v>
      </c>
      <c r="B189" s="2">
        <v>457</v>
      </c>
      <c r="C189" s="2" t="s">
        <v>7</v>
      </c>
      <c r="D189" s="2">
        <v>2</v>
      </c>
    </row>
    <row r="190" spans="1:4" x14ac:dyDescent="0.2">
      <c r="A190" s="1">
        <v>440</v>
      </c>
      <c r="B190" s="2">
        <v>119</v>
      </c>
      <c r="C190" s="2" t="s">
        <v>6</v>
      </c>
      <c r="D190" s="2">
        <v>1</v>
      </c>
    </row>
    <row r="191" spans="1:4" x14ac:dyDescent="0.2">
      <c r="A191" s="1">
        <v>440</v>
      </c>
      <c r="B191" s="2">
        <v>120</v>
      </c>
      <c r="C191" s="2" t="s">
        <v>6</v>
      </c>
      <c r="D191" s="2">
        <v>1</v>
      </c>
    </row>
    <row r="192" spans="1:4" x14ac:dyDescent="0.2">
      <c r="A192" s="1">
        <v>440</v>
      </c>
      <c r="B192" s="2">
        <v>126</v>
      </c>
      <c r="C192" s="2" t="s">
        <v>6</v>
      </c>
      <c r="D192" s="2">
        <v>2</v>
      </c>
    </row>
    <row r="193" spans="1:4" x14ac:dyDescent="0.2">
      <c r="A193" s="1">
        <v>450</v>
      </c>
      <c r="B193" s="2">
        <v>119</v>
      </c>
      <c r="C193" s="2" t="s">
        <v>6</v>
      </c>
      <c r="D193" s="2">
        <v>1</v>
      </c>
    </row>
    <row r="194" spans="1:4" x14ac:dyDescent="0.2">
      <c r="A194" s="1">
        <v>450</v>
      </c>
      <c r="B194" s="2">
        <v>120</v>
      </c>
      <c r="C194" s="2" t="s">
        <v>6</v>
      </c>
      <c r="D194" s="2">
        <v>1</v>
      </c>
    </row>
    <row r="195" spans="1:4" x14ac:dyDescent="0.2">
      <c r="A195" s="1">
        <v>451</v>
      </c>
      <c r="B195" s="2">
        <v>686</v>
      </c>
      <c r="C195" s="2" t="s">
        <v>5</v>
      </c>
      <c r="D195" s="2">
        <v>3</v>
      </c>
    </row>
    <row r="196" spans="1:4" x14ac:dyDescent="0.2">
      <c r="A196" s="1">
        <v>451</v>
      </c>
      <c r="B196" s="2">
        <v>704</v>
      </c>
      <c r="C196" s="2" t="s">
        <v>5</v>
      </c>
      <c r="D196" s="2">
        <v>1</v>
      </c>
    </row>
    <row r="197" spans="1:4" x14ac:dyDescent="0.2">
      <c r="A197" s="1">
        <v>456</v>
      </c>
      <c r="B197" s="2">
        <v>126</v>
      </c>
      <c r="C197" s="2" t="s">
        <v>6</v>
      </c>
      <c r="D197" s="2">
        <v>1</v>
      </c>
    </row>
    <row r="198" spans="1:4" x14ac:dyDescent="0.2">
      <c r="A198" s="1">
        <v>461</v>
      </c>
      <c r="B198" s="2">
        <v>119</v>
      </c>
      <c r="C198" s="2" t="s">
        <v>6</v>
      </c>
      <c r="D198" s="2">
        <v>1</v>
      </c>
    </row>
    <row r="199" spans="1:4" x14ac:dyDescent="0.2">
      <c r="A199" s="1">
        <v>461</v>
      </c>
      <c r="B199" s="2">
        <v>120</v>
      </c>
      <c r="C199" s="2" t="s">
        <v>6</v>
      </c>
      <c r="D199" s="2">
        <v>1</v>
      </c>
    </row>
    <row r="200" spans="1:4" x14ac:dyDescent="0.2">
      <c r="A200" s="1">
        <v>463</v>
      </c>
      <c r="B200" s="2">
        <v>686</v>
      </c>
      <c r="C200" s="2" t="s">
        <v>5</v>
      </c>
      <c r="D200" s="2">
        <v>2</v>
      </c>
    </row>
    <row r="201" spans="1:4" x14ac:dyDescent="0.2">
      <c r="A201" s="1">
        <v>465</v>
      </c>
      <c r="B201" s="2">
        <v>126</v>
      </c>
      <c r="C201" s="2" t="s">
        <v>6</v>
      </c>
      <c r="D201" s="2">
        <v>1</v>
      </c>
    </row>
    <row r="202" spans="1:4" x14ac:dyDescent="0.2">
      <c r="A202" s="1">
        <v>467</v>
      </c>
      <c r="B202" s="2">
        <v>686</v>
      </c>
      <c r="C202" s="2" t="s">
        <v>5</v>
      </c>
      <c r="D202" s="2">
        <v>2</v>
      </c>
    </row>
    <row r="203" spans="1:4" x14ac:dyDescent="0.2">
      <c r="A203" s="1">
        <v>470</v>
      </c>
      <c r="B203" s="2">
        <v>457</v>
      </c>
      <c r="C203" s="2" t="s">
        <v>7</v>
      </c>
      <c r="D203" s="2">
        <v>1</v>
      </c>
    </row>
    <row r="204" spans="1:4" x14ac:dyDescent="0.2">
      <c r="A204" s="1">
        <v>478</v>
      </c>
      <c r="B204" s="2">
        <v>126</v>
      </c>
      <c r="C204" s="2" t="s">
        <v>6</v>
      </c>
      <c r="D204" s="2">
        <v>1</v>
      </c>
    </row>
    <row r="205" spans="1:4" x14ac:dyDescent="0.2">
      <c r="A205" s="1">
        <v>480</v>
      </c>
      <c r="B205" s="2">
        <v>457</v>
      </c>
      <c r="C205" s="2" t="s">
        <v>7</v>
      </c>
      <c r="D205" s="2">
        <v>1</v>
      </c>
    </row>
    <row r="206" spans="1:4" x14ac:dyDescent="0.2">
      <c r="A206" s="1">
        <v>480</v>
      </c>
      <c r="B206" s="2">
        <v>457</v>
      </c>
      <c r="C206" s="2" t="s">
        <v>5</v>
      </c>
      <c r="D206" s="2">
        <v>1</v>
      </c>
    </row>
    <row r="207" spans="1:4" x14ac:dyDescent="0.2">
      <c r="A207" s="1">
        <v>491</v>
      </c>
      <c r="B207" s="2">
        <v>686</v>
      </c>
      <c r="C207" s="2" t="s">
        <v>5</v>
      </c>
      <c r="D207" s="2">
        <v>2</v>
      </c>
    </row>
    <row r="208" spans="1:4" x14ac:dyDescent="0.2">
      <c r="A208" s="1">
        <v>497</v>
      </c>
      <c r="B208" s="2">
        <v>686</v>
      </c>
      <c r="C208" s="2" t="s">
        <v>5</v>
      </c>
      <c r="D208" s="2">
        <v>6</v>
      </c>
    </row>
    <row r="209" spans="1:4" x14ac:dyDescent="0.2">
      <c r="A209" s="1">
        <v>500</v>
      </c>
      <c r="B209" s="2">
        <v>686</v>
      </c>
      <c r="C209" s="2" t="s">
        <v>5</v>
      </c>
      <c r="D209" s="2">
        <v>2</v>
      </c>
    </row>
    <row r="210" spans="1:4" x14ac:dyDescent="0.2">
      <c r="A210" s="1">
        <v>500</v>
      </c>
      <c r="B210" s="2">
        <v>690</v>
      </c>
      <c r="C210" s="2" t="s">
        <v>5</v>
      </c>
      <c r="D210" s="2">
        <v>2</v>
      </c>
    </row>
    <row r="211" spans="1:4" x14ac:dyDescent="0.2">
      <c r="A211" s="1">
        <v>500</v>
      </c>
      <c r="B211" s="2">
        <v>476</v>
      </c>
      <c r="C211" s="2" t="s">
        <v>5</v>
      </c>
      <c r="D211" s="2">
        <v>1</v>
      </c>
    </row>
    <row r="212" spans="1:4" x14ac:dyDescent="0.2">
      <c r="A212" s="1">
        <v>500</v>
      </c>
      <c r="B212" s="2">
        <v>126</v>
      </c>
      <c r="C212" s="2" t="s">
        <v>6</v>
      </c>
      <c r="D212" s="2">
        <v>2</v>
      </c>
    </row>
    <row r="213" spans="1:4" x14ac:dyDescent="0.2">
      <c r="A213" s="1">
        <v>513</v>
      </c>
      <c r="B213" s="2">
        <v>119</v>
      </c>
      <c r="C213" s="2" t="s">
        <v>6</v>
      </c>
      <c r="D213" s="2">
        <v>1</v>
      </c>
    </row>
    <row r="214" spans="1:4" x14ac:dyDescent="0.2">
      <c r="A214" s="1">
        <v>513</v>
      </c>
      <c r="B214" s="2">
        <v>120</v>
      </c>
      <c r="C214" s="2" t="s">
        <v>6</v>
      </c>
      <c r="D214" s="2">
        <v>1</v>
      </c>
    </row>
    <row r="215" spans="1:4" x14ac:dyDescent="0.2">
      <c r="A215" s="1">
        <v>513</v>
      </c>
      <c r="B215" s="2">
        <v>126</v>
      </c>
      <c r="C215" s="2" t="s">
        <v>6</v>
      </c>
      <c r="D215" s="2">
        <v>1</v>
      </c>
    </row>
    <row r="216" spans="1:4" x14ac:dyDescent="0.2">
      <c r="A216" s="1">
        <v>516</v>
      </c>
      <c r="B216" s="2">
        <v>457</v>
      </c>
      <c r="C216" s="2" t="s">
        <v>7</v>
      </c>
      <c r="D216" s="2">
        <v>1</v>
      </c>
    </row>
    <row r="217" spans="1:4" x14ac:dyDescent="0.2">
      <c r="A217" s="1">
        <v>523</v>
      </c>
      <c r="B217" s="2">
        <v>126</v>
      </c>
      <c r="C217" s="2" t="s">
        <v>6</v>
      </c>
      <c r="D217" s="2">
        <v>1</v>
      </c>
    </row>
    <row r="218" spans="1:4" x14ac:dyDescent="0.2">
      <c r="A218" s="1">
        <v>526</v>
      </c>
      <c r="B218" s="2">
        <v>686</v>
      </c>
      <c r="C218" s="2" t="s">
        <v>5</v>
      </c>
      <c r="D218" s="2">
        <v>2</v>
      </c>
    </row>
    <row r="219" spans="1:4" x14ac:dyDescent="0.2">
      <c r="A219" s="1">
        <v>526</v>
      </c>
      <c r="B219" s="2">
        <v>119</v>
      </c>
      <c r="C219" s="2" t="s">
        <v>6</v>
      </c>
      <c r="D219" s="2">
        <v>1</v>
      </c>
    </row>
    <row r="220" spans="1:4" x14ac:dyDescent="0.2">
      <c r="A220" s="1">
        <v>526</v>
      </c>
      <c r="B220" s="2">
        <v>120</v>
      </c>
      <c r="C220" s="2" t="s">
        <v>6</v>
      </c>
      <c r="D220" s="2">
        <v>1</v>
      </c>
    </row>
    <row r="221" spans="1:4" x14ac:dyDescent="0.2">
      <c r="A221" s="1">
        <v>526</v>
      </c>
      <c r="B221" s="2">
        <v>126</v>
      </c>
      <c r="C221" s="2" t="s">
        <v>6</v>
      </c>
      <c r="D221" s="2">
        <v>1</v>
      </c>
    </row>
    <row r="222" spans="1:4" x14ac:dyDescent="0.2">
      <c r="A222" s="1">
        <v>528</v>
      </c>
      <c r="B222" s="2">
        <v>843</v>
      </c>
      <c r="C222" s="2" t="s">
        <v>5</v>
      </c>
      <c r="D222" s="2">
        <v>2</v>
      </c>
    </row>
    <row r="223" spans="1:4" x14ac:dyDescent="0.2">
      <c r="A223" s="1">
        <v>528</v>
      </c>
      <c r="B223" s="2">
        <v>562</v>
      </c>
      <c r="C223" s="2" t="s">
        <v>5</v>
      </c>
      <c r="D223" s="2">
        <v>1</v>
      </c>
    </row>
    <row r="224" spans="1:4" x14ac:dyDescent="0.2">
      <c r="A224" s="1">
        <v>528</v>
      </c>
      <c r="B224" s="2">
        <v>476</v>
      </c>
      <c r="C224" s="2" t="s">
        <v>5</v>
      </c>
      <c r="D224" s="2">
        <v>1</v>
      </c>
    </row>
    <row r="225" spans="1:4" x14ac:dyDescent="0.2">
      <c r="A225" s="1">
        <v>532</v>
      </c>
      <c r="B225" s="2">
        <v>126</v>
      </c>
      <c r="C225" s="2" t="s">
        <v>6</v>
      </c>
      <c r="D225" s="2">
        <v>2</v>
      </c>
    </row>
    <row r="226" spans="1:4" x14ac:dyDescent="0.2">
      <c r="A226" s="1">
        <v>532</v>
      </c>
      <c r="B226" s="2">
        <v>126</v>
      </c>
      <c r="C226" s="2" t="s">
        <v>5</v>
      </c>
      <c r="D226" s="2">
        <v>1</v>
      </c>
    </row>
    <row r="227" spans="1:4" x14ac:dyDescent="0.2">
      <c r="A227" s="1">
        <v>534</v>
      </c>
      <c r="B227" s="2">
        <v>126</v>
      </c>
      <c r="C227" s="2" t="s">
        <v>6</v>
      </c>
      <c r="D227" s="2">
        <v>2</v>
      </c>
    </row>
    <row r="228" spans="1:4" x14ac:dyDescent="0.2">
      <c r="A228" s="1">
        <v>538</v>
      </c>
      <c r="B228" s="2">
        <v>119</v>
      </c>
      <c r="C228" s="2" t="s">
        <v>6</v>
      </c>
      <c r="D228" s="2">
        <v>1</v>
      </c>
    </row>
    <row r="229" spans="1:4" x14ac:dyDescent="0.2">
      <c r="A229" s="1">
        <v>538</v>
      </c>
      <c r="B229" s="2">
        <v>120</v>
      </c>
      <c r="C229" s="2" t="s">
        <v>6</v>
      </c>
      <c r="D229" s="2">
        <v>1</v>
      </c>
    </row>
    <row r="230" spans="1:4" x14ac:dyDescent="0.2">
      <c r="A230" s="1">
        <v>538</v>
      </c>
      <c r="B230" s="2">
        <v>126</v>
      </c>
      <c r="C230" s="2" t="s">
        <v>6</v>
      </c>
      <c r="D230" s="2">
        <v>1</v>
      </c>
    </row>
    <row r="231" spans="1:4" x14ac:dyDescent="0.2">
      <c r="A231" s="1">
        <v>538</v>
      </c>
      <c r="B231" s="2">
        <v>690</v>
      </c>
      <c r="C231" s="2" t="s">
        <v>5</v>
      </c>
      <c r="D231" s="2">
        <v>1</v>
      </c>
    </row>
    <row r="232" spans="1:4" x14ac:dyDescent="0.2">
      <c r="A232" s="1">
        <v>539</v>
      </c>
      <c r="B232" s="2">
        <v>690</v>
      </c>
      <c r="C232" s="2" t="s">
        <v>5</v>
      </c>
      <c r="D232" s="2">
        <v>1</v>
      </c>
    </row>
    <row r="233" spans="1:4" x14ac:dyDescent="0.2">
      <c r="A233" s="1">
        <v>542</v>
      </c>
      <c r="B233" s="2">
        <v>686</v>
      </c>
      <c r="C233" s="2" t="s">
        <v>5</v>
      </c>
      <c r="D233" s="2">
        <v>1</v>
      </c>
    </row>
    <row r="234" spans="1:4" x14ac:dyDescent="0.2">
      <c r="A234" s="1">
        <v>544</v>
      </c>
      <c r="B234" s="2">
        <v>119</v>
      </c>
      <c r="C234" s="2" t="s">
        <v>6</v>
      </c>
      <c r="D234" s="2">
        <v>1</v>
      </c>
    </row>
    <row r="235" spans="1:4" x14ac:dyDescent="0.2">
      <c r="A235" s="1">
        <v>544</v>
      </c>
      <c r="B235" s="2">
        <v>120</v>
      </c>
      <c r="C235" s="2" t="s">
        <v>6</v>
      </c>
      <c r="D235" s="2">
        <v>1</v>
      </c>
    </row>
    <row r="236" spans="1:4" x14ac:dyDescent="0.2">
      <c r="A236" s="1">
        <v>544</v>
      </c>
      <c r="B236" s="2">
        <v>690</v>
      </c>
      <c r="C236" s="2" t="s">
        <v>5</v>
      </c>
      <c r="D236" s="2">
        <v>1</v>
      </c>
    </row>
    <row r="237" spans="1:4" x14ac:dyDescent="0.2">
      <c r="A237" s="1">
        <v>545</v>
      </c>
      <c r="B237" s="2">
        <v>190</v>
      </c>
      <c r="C237" s="2" t="s">
        <v>7</v>
      </c>
      <c r="D237" s="2">
        <v>1</v>
      </c>
    </row>
    <row r="238" spans="1:4" x14ac:dyDescent="0.2">
      <c r="A238" s="1">
        <v>558</v>
      </c>
      <c r="B238" s="2">
        <v>686</v>
      </c>
      <c r="C238" s="2" t="s">
        <v>5</v>
      </c>
      <c r="D238" s="2">
        <v>1</v>
      </c>
    </row>
    <row r="239" spans="1:4" x14ac:dyDescent="0.2">
      <c r="A239" s="1">
        <v>565</v>
      </c>
      <c r="B239" s="2">
        <v>119</v>
      </c>
      <c r="C239" s="2" t="s">
        <v>6</v>
      </c>
      <c r="D239" s="2">
        <v>1</v>
      </c>
    </row>
    <row r="240" spans="1:4" x14ac:dyDescent="0.2">
      <c r="A240" s="1">
        <v>565</v>
      </c>
      <c r="B240" s="2">
        <v>120</v>
      </c>
      <c r="C240" s="2" t="s">
        <v>6</v>
      </c>
      <c r="D240" s="2">
        <v>1</v>
      </c>
    </row>
    <row r="241" spans="1:4" x14ac:dyDescent="0.2">
      <c r="A241" s="1">
        <v>565</v>
      </c>
      <c r="B241" s="2">
        <v>126</v>
      </c>
      <c r="C241" s="2" t="s">
        <v>6</v>
      </c>
      <c r="D241" s="2">
        <v>3</v>
      </c>
    </row>
    <row r="242" spans="1:4" x14ac:dyDescent="0.2">
      <c r="A242" s="1">
        <v>568</v>
      </c>
      <c r="B242" s="2">
        <v>690</v>
      </c>
      <c r="C242" s="2" t="s">
        <v>5</v>
      </c>
      <c r="D242" s="2">
        <v>2</v>
      </c>
    </row>
    <row r="243" spans="1:4" x14ac:dyDescent="0.2">
      <c r="A243" s="1">
        <v>570</v>
      </c>
      <c r="B243" s="2">
        <v>126</v>
      </c>
      <c r="C243" s="2" t="s">
        <v>6</v>
      </c>
      <c r="D243" s="2">
        <v>1</v>
      </c>
    </row>
    <row r="244" spans="1:4" x14ac:dyDescent="0.2">
      <c r="A244" s="1">
        <v>580</v>
      </c>
      <c r="B244" s="2">
        <v>126</v>
      </c>
      <c r="C244" s="2" t="s">
        <v>5</v>
      </c>
      <c r="D244" s="2">
        <v>3</v>
      </c>
    </row>
    <row r="245" spans="1:4" x14ac:dyDescent="0.2">
      <c r="A245" s="1">
        <v>584</v>
      </c>
      <c r="B245" s="2">
        <v>686</v>
      </c>
      <c r="C245" s="2" t="s">
        <v>5</v>
      </c>
      <c r="D245" s="2">
        <v>2</v>
      </c>
    </row>
    <row r="246" spans="1:4" x14ac:dyDescent="0.2">
      <c r="A246" s="1">
        <v>584</v>
      </c>
      <c r="B246" s="2">
        <v>119</v>
      </c>
      <c r="C246" s="2" t="s">
        <v>6</v>
      </c>
      <c r="D246" s="2">
        <v>1</v>
      </c>
    </row>
    <row r="247" spans="1:4" x14ac:dyDescent="0.2">
      <c r="A247" s="1">
        <v>584</v>
      </c>
      <c r="B247" s="2">
        <v>120</v>
      </c>
      <c r="C247" s="2" t="s">
        <v>6</v>
      </c>
      <c r="D247" s="2">
        <v>1</v>
      </c>
    </row>
    <row r="248" spans="1:4" x14ac:dyDescent="0.2">
      <c r="A248" s="1">
        <v>585</v>
      </c>
      <c r="B248" s="2">
        <v>457</v>
      </c>
      <c r="C248" s="2" t="s">
        <v>5</v>
      </c>
      <c r="D248" s="2">
        <v>3</v>
      </c>
    </row>
    <row r="249" spans="1:4" x14ac:dyDescent="0.2">
      <c r="A249" s="1">
        <v>585</v>
      </c>
      <c r="B249" s="2">
        <v>690</v>
      </c>
      <c r="C249" s="2" t="s">
        <v>5</v>
      </c>
      <c r="D249" s="2">
        <v>1</v>
      </c>
    </row>
    <row r="250" spans="1:4" x14ac:dyDescent="0.2">
      <c r="A250" s="1">
        <v>586</v>
      </c>
      <c r="B250" s="2">
        <v>457</v>
      </c>
      <c r="C250" s="2" t="s">
        <v>7</v>
      </c>
      <c r="D250" s="2">
        <v>1</v>
      </c>
    </row>
    <row r="251" spans="1:4" x14ac:dyDescent="0.2">
      <c r="A251" s="1">
        <v>587</v>
      </c>
      <c r="B251" s="2">
        <v>690</v>
      </c>
      <c r="C251" s="2" t="s">
        <v>5</v>
      </c>
      <c r="D251" s="2">
        <v>2</v>
      </c>
    </row>
    <row r="252" spans="1:4" x14ac:dyDescent="0.2">
      <c r="A252" s="1">
        <v>589</v>
      </c>
      <c r="B252" s="2">
        <v>686</v>
      </c>
      <c r="C252" s="2" t="s">
        <v>5</v>
      </c>
      <c r="D252" s="2">
        <v>2</v>
      </c>
    </row>
    <row r="253" spans="1:4" x14ac:dyDescent="0.2">
      <c r="A253" s="1">
        <v>593</v>
      </c>
      <c r="B253" s="2">
        <v>119</v>
      </c>
      <c r="C253" s="2" t="s">
        <v>6</v>
      </c>
      <c r="D253" s="2">
        <v>1</v>
      </c>
    </row>
    <row r="254" spans="1:4" x14ac:dyDescent="0.2">
      <c r="A254" s="1">
        <v>593</v>
      </c>
      <c r="B254" s="2">
        <v>120</v>
      </c>
      <c r="C254" s="2" t="s">
        <v>6</v>
      </c>
      <c r="D254" s="2">
        <v>1</v>
      </c>
    </row>
    <row r="255" spans="1:4" x14ac:dyDescent="0.2">
      <c r="A255" s="1">
        <v>595</v>
      </c>
      <c r="B255" s="2">
        <v>126</v>
      </c>
      <c r="C255" s="2" t="s">
        <v>6</v>
      </c>
      <c r="D255" s="2">
        <v>2</v>
      </c>
    </row>
    <row r="256" spans="1:4" x14ac:dyDescent="0.2">
      <c r="A256" s="1">
        <v>598</v>
      </c>
      <c r="B256" s="2">
        <v>686</v>
      </c>
      <c r="C256" s="2" t="s">
        <v>5</v>
      </c>
      <c r="D256" s="2">
        <v>2</v>
      </c>
    </row>
    <row r="257" spans="1:4" x14ac:dyDescent="0.2">
      <c r="A257" s="1">
        <v>601</v>
      </c>
      <c r="B257" s="2">
        <v>690</v>
      </c>
      <c r="C257" s="2" t="s">
        <v>5</v>
      </c>
      <c r="D257" s="2">
        <v>1</v>
      </c>
    </row>
    <row r="258" spans="1:4" x14ac:dyDescent="0.2">
      <c r="A258" s="1">
        <v>607</v>
      </c>
      <c r="B258" s="2">
        <v>119</v>
      </c>
      <c r="C258" s="2" t="s">
        <v>6</v>
      </c>
      <c r="D258" s="2">
        <v>1</v>
      </c>
    </row>
    <row r="259" spans="1:4" x14ac:dyDescent="0.2">
      <c r="A259" s="1">
        <v>607</v>
      </c>
      <c r="B259" s="2">
        <v>120</v>
      </c>
      <c r="C259" s="2" t="s">
        <v>6</v>
      </c>
      <c r="D259" s="2">
        <v>1</v>
      </c>
    </row>
    <row r="260" spans="1:4" x14ac:dyDescent="0.2">
      <c r="A260" s="1">
        <v>610</v>
      </c>
      <c r="B260" s="2">
        <v>686</v>
      </c>
      <c r="C260" s="2" t="s">
        <v>5</v>
      </c>
      <c r="D260" s="2">
        <v>5</v>
      </c>
    </row>
    <row r="261" spans="1:4" x14ac:dyDescent="0.2">
      <c r="A261" s="1">
        <v>610</v>
      </c>
      <c r="B261" s="2">
        <v>476</v>
      </c>
      <c r="C261" s="2" t="s">
        <v>5</v>
      </c>
      <c r="D261" s="2">
        <v>1</v>
      </c>
    </row>
    <row r="262" spans="1:4" x14ac:dyDescent="0.2">
      <c r="A262" s="1">
        <v>610</v>
      </c>
      <c r="B262" s="2">
        <v>690</v>
      </c>
      <c r="C262" s="2" t="s">
        <v>5</v>
      </c>
      <c r="D262" s="2">
        <v>3</v>
      </c>
    </row>
    <row r="263" spans="1:4" x14ac:dyDescent="0.2">
      <c r="A263" s="1">
        <v>612</v>
      </c>
      <c r="B263" s="2">
        <v>690</v>
      </c>
      <c r="C263" s="2" t="s">
        <v>5</v>
      </c>
      <c r="D263" s="2">
        <v>3</v>
      </c>
    </row>
    <row r="264" spans="1:4" x14ac:dyDescent="0.2">
      <c r="A264" s="1">
        <v>618</v>
      </c>
      <c r="B264" s="2">
        <v>686</v>
      </c>
      <c r="C264" s="2" t="s">
        <v>5</v>
      </c>
      <c r="D264" s="2">
        <v>3</v>
      </c>
    </row>
    <row r="265" spans="1:4" x14ac:dyDescent="0.2">
      <c r="A265" s="1">
        <v>618</v>
      </c>
      <c r="B265" s="2">
        <v>690</v>
      </c>
      <c r="C265" s="2" t="s">
        <v>5</v>
      </c>
      <c r="D265" s="2">
        <v>5</v>
      </c>
    </row>
    <row r="266" spans="1:4" x14ac:dyDescent="0.2">
      <c r="A266" s="1">
        <v>619</v>
      </c>
      <c r="B266" s="2">
        <v>119</v>
      </c>
      <c r="C266" s="2" t="s">
        <v>6</v>
      </c>
      <c r="D266" s="2">
        <v>1</v>
      </c>
    </row>
    <row r="267" spans="1:4" x14ac:dyDescent="0.2">
      <c r="A267" s="1">
        <v>619</v>
      </c>
      <c r="B267" s="2">
        <v>120</v>
      </c>
      <c r="C267" s="2" t="s">
        <v>6</v>
      </c>
      <c r="D267" s="2">
        <v>1</v>
      </c>
    </row>
    <row r="268" spans="1:4" x14ac:dyDescent="0.2">
      <c r="A268" s="1">
        <v>619</v>
      </c>
      <c r="B268" s="2">
        <v>686</v>
      </c>
      <c r="C268" s="2" t="s">
        <v>5</v>
      </c>
      <c r="D268" s="2">
        <v>1</v>
      </c>
    </row>
    <row r="269" spans="1:4" x14ac:dyDescent="0.2">
      <c r="A269" s="1">
        <v>620</v>
      </c>
      <c r="B269" s="2">
        <v>686</v>
      </c>
      <c r="C269" s="2" t="s">
        <v>5</v>
      </c>
      <c r="D269" s="2">
        <v>4</v>
      </c>
    </row>
    <row r="270" spans="1:4" x14ac:dyDescent="0.2">
      <c r="A270" s="1">
        <v>620</v>
      </c>
      <c r="B270" s="2">
        <v>690</v>
      </c>
      <c r="C270" s="2" t="s">
        <v>5</v>
      </c>
      <c r="D270" s="2">
        <v>5</v>
      </c>
    </row>
    <row r="271" spans="1:4" x14ac:dyDescent="0.2">
      <c r="A271" s="1">
        <v>620</v>
      </c>
      <c r="B271" s="2">
        <v>457</v>
      </c>
      <c r="C271" s="2" t="s">
        <v>5</v>
      </c>
      <c r="D271" s="2">
        <v>2</v>
      </c>
    </row>
    <row r="272" spans="1:4" x14ac:dyDescent="0.2">
      <c r="A272" s="1">
        <v>624</v>
      </c>
      <c r="B272" s="2">
        <v>126</v>
      </c>
      <c r="C272" s="2" t="s">
        <v>6</v>
      </c>
      <c r="D272" s="2">
        <v>1</v>
      </c>
    </row>
    <row r="273" spans="1:4" x14ac:dyDescent="0.2">
      <c r="A273" s="1">
        <v>638</v>
      </c>
      <c r="B273" s="2">
        <v>686</v>
      </c>
      <c r="C273" s="2" t="s">
        <v>5</v>
      </c>
      <c r="D273" s="2">
        <v>2</v>
      </c>
    </row>
    <row r="274" spans="1:4" x14ac:dyDescent="0.2">
      <c r="A274" s="1">
        <v>639</v>
      </c>
      <c r="B274" s="2">
        <v>126</v>
      </c>
      <c r="C274" s="2" t="s">
        <v>6</v>
      </c>
      <c r="D274" s="2">
        <v>1</v>
      </c>
    </row>
    <row r="275" spans="1:4" x14ac:dyDescent="0.2">
      <c r="A275" s="1">
        <v>640</v>
      </c>
      <c r="B275" s="2">
        <v>119</v>
      </c>
      <c r="C275" s="2" t="s">
        <v>6</v>
      </c>
      <c r="D275" s="2">
        <v>1</v>
      </c>
    </row>
    <row r="276" spans="1:4" x14ac:dyDescent="0.2">
      <c r="A276" s="1">
        <v>640</v>
      </c>
      <c r="B276" s="2">
        <v>120</v>
      </c>
      <c r="C276" s="2" t="s">
        <v>6</v>
      </c>
      <c r="D276" s="2">
        <v>1</v>
      </c>
    </row>
    <row r="277" spans="1:4" x14ac:dyDescent="0.2">
      <c r="A277" s="1">
        <v>640</v>
      </c>
      <c r="B277" s="2">
        <v>126</v>
      </c>
      <c r="C277" s="2" t="s">
        <v>6</v>
      </c>
      <c r="D277" s="2">
        <v>1</v>
      </c>
    </row>
    <row r="278" spans="1:4" x14ac:dyDescent="0.2">
      <c r="A278" s="1">
        <v>643</v>
      </c>
      <c r="B278" s="2">
        <v>126</v>
      </c>
      <c r="C278" s="2" t="s">
        <v>6</v>
      </c>
      <c r="D278" s="2">
        <v>1</v>
      </c>
    </row>
    <row r="279" spans="1:4" x14ac:dyDescent="0.2">
      <c r="A279" s="1">
        <v>647</v>
      </c>
      <c r="B279" s="2">
        <v>126</v>
      </c>
      <c r="C279" s="2" t="s">
        <v>6</v>
      </c>
      <c r="D279" s="2">
        <v>1</v>
      </c>
    </row>
    <row r="280" spans="1:4" x14ac:dyDescent="0.2">
      <c r="A280" s="1">
        <v>653</v>
      </c>
      <c r="B280" s="2">
        <v>690</v>
      </c>
      <c r="C280" s="2" t="s">
        <v>5</v>
      </c>
      <c r="D280" s="2">
        <v>3</v>
      </c>
    </row>
    <row r="281" spans="1:4" x14ac:dyDescent="0.2">
      <c r="A281" s="1">
        <v>653</v>
      </c>
      <c r="B281" s="2">
        <v>119</v>
      </c>
      <c r="C281" s="2" t="s">
        <v>6</v>
      </c>
      <c r="D281" s="2">
        <v>2</v>
      </c>
    </row>
    <row r="282" spans="1:4" x14ac:dyDescent="0.2">
      <c r="A282" s="1">
        <v>653</v>
      </c>
      <c r="B282" s="2">
        <v>120</v>
      </c>
      <c r="C282" s="2" t="s">
        <v>6</v>
      </c>
      <c r="D282" s="2">
        <v>2</v>
      </c>
    </row>
    <row r="283" spans="1:4" x14ac:dyDescent="0.2">
      <c r="A283" s="1">
        <v>655</v>
      </c>
      <c r="B283" s="2">
        <v>686</v>
      </c>
      <c r="C283" s="2" t="s">
        <v>5</v>
      </c>
      <c r="D283" s="2">
        <v>2</v>
      </c>
    </row>
    <row r="284" spans="1:4" x14ac:dyDescent="0.2">
      <c r="A284" s="1">
        <v>661</v>
      </c>
      <c r="B284" s="2">
        <v>457</v>
      </c>
      <c r="C284" s="2" t="s">
        <v>7</v>
      </c>
      <c r="D284" s="2">
        <v>1</v>
      </c>
    </row>
    <row r="285" spans="1:4" x14ac:dyDescent="0.2">
      <c r="A285" s="1">
        <v>667</v>
      </c>
      <c r="B285" s="2">
        <v>20</v>
      </c>
      <c r="C285" s="2" t="s">
        <v>6</v>
      </c>
      <c r="D285" s="2">
        <v>1</v>
      </c>
    </row>
    <row r="286" spans="1:4" x14ac:dyDescent="0.2">
      <c r="A286" s="1">
        <v>667</v>
      </c>
      <c r="B286" s="2">
        <v>120</v>
      </c>
      <c r="C286" s="2" t="s">
        <v>6</v>
      </c>
      <c r="D286" s="2">
        <v>2</v>
      </c>
    </row>
    <row r="287" spans="1:4" x14ac:dyDescent="0.2">
      <c r="A287" s="1">
        <v>667</v>
      </c>
      <c r="B287" s="2">
        <v>119</v>
      </c>
      <c r="C287" s="2" t="s">
        <v>6</v>
      </c>
      <c r="D287" s="2">
        <v>1</v>
      </c>
    </row>
    <row r="288" spans="1:4" x14ac:dyDescent="0.2">
      <c r="A288" s="1">
        <v>669</v>
      </c>
      <c r="B288" s="2">
        <v>20</v>
      </c>
      <c r="C288" s="2" t="s">
        <v>6</v>
      </c>
      <c r="D288" s="2">
        <v>1</v>
      </c>
    </row>
    <row r="289" spans="1:4" x14ac:dyDescent="0.2">
      <c r="A289" s="1">
        <v>669</v>
      </c>
      <c r="B289" s="2">
        <v>120</v>
      </c>
      <c r="C289" s="2" t="s">
        <v>6</v>
      </c>
      <c r="D289" s="2">
        <v>2</v>
      </c>
    </row>
    <row r="290" spans="1:4" x14ac:dyDescent="0.2">
      <c r="A290" s="1">
        <v>669</v>
      </c>
      <c r="B290" s="2">
        <v>119</v>
      </c>
      <c r="C290" s="2" t="s">
        <v>6</v>
      </c>
      <c r="D290" s="2">
        <v>1</v>
      </c>
    </row>
    <row r="291" spans="1:4" x14ac:dyDescent="0.2">
      <c r="A291" s="1">
        <v>674</v>
      </c>
      <c r="B291" s="2">
        <v>457</v>
      </c>
      <c r="C291" s="2" t="s">
        <v>7</v>
      </c>
      <c r="D291" s="2">
        <v>1</v>
      </c>
    </row>
    <row r="292" spans="1:4" x14ac:dyDescent="0.2">
      <c r="A292" s="1">
        <v>674</v>
      </c>
      <c r="B292" s="2">
        <v>119</v>
      </c>
      <c r="C292" s="2" t="s">
        <v>6</v>
      </c>
      <c r="D292" s="2">
        <v>1</v>
      </c>
    </row>
    <row r="293" spans="1:4" x14ac:dyDescent="0.2">
      <c r="A293" s="1">
        <v>674</v>
      </c>
      <c r="B293" s="2">
        <v>120</v>
      </c>
      <c r="C293" s="2" t="s">
        <v>6</v>
      </c>
      <c r="D293" s="2">
        <v>1</v>
      </c>
    </row>
    <row r="294" spans="1:4" x14ac:dyDescent="0.2">
      <c r="A294" s="1">
        <v>676</v>
      </c>
      <c r="B294" s="2">
        <v>686</v>
      </c>
      <c r="C294" s="2" t="s">
        <v>5</v>
      </c>
      <c r="D294" s="2">
        <v>3</v>
      </c>
    </row>
    <row r="295" spans="1:4" x14ac:dyDescent="0.2">
      <c r="A295" s="1">
        <v>676</v>
      </c>
      <c r="B295" s="2">
        <v>704</v>
      </c>
      <c r="C295" s="2" t="s">
        <v>5</v>
      </c>
      <c r="D295" s="2">
        <v>1</v>
      </c>
    </row>
    <row r="296" spans="1:4" x14ac:dyDescent="0.2">
      <c r="A296" s="1">
        <v>679</v>
      </c>
      <c r="B296" s="2">
        <v>119</v>
      </c>
      <c r="C296" s="2" t="s">
        <v>6</v>
      </c>
      <c r="D296" s="2">
        <v>1</v>
      </c>
    </row>
    <row r="297" spans="1:4" x14ac:dyDescent="0.2">
      <c r="A297" s="1">
        <v>679</v>
      </c>
      <c r="B297" s="2">
        <v>120</v>
      </c>
      <c r="C297" s="2" t="s">
        <v>6</v>
      </c>
      <c r="D297" s="2">
        <v>1</v>
      </c>
    </row>
    <row r="298" spans="1:4" x14ac:dyDescent="0.2">
      <c r="A298" s="1">
        <v>688</v>
      </c>
      <c r="B298" s="2">
        <v>686</v>
      </c>
      <c r="C298" s="2" t="s">
        <v>5</v>
      </c>
      <c r="D298" s="2">
        <v>2</v>
      </c>
    </row>
    <row r="299" spans="1:4" x14ac:dyDescent="0.2">
      <c r="A299" s="1">
        <v>689</v>
      </c>
      <c r="B299" s="2">
        <v>686</v>
      </c>
      <c r="C299" s="2" t="s">
        <v>5</v>
      </c>
      <c r="D299" s="2">
        <v>1</v>
      </c>
    </row>
    <row r="300" spans="1:4" x14ac:dyDescent="0.2">
      <c r="A300" s="1">
        <v>691</v>
      </c>
      <c r="B300" s="2">
        <v>690</v>
      </c>
      <c r="C300" s="2" t="s">
        <v>5</v>
      </c>
      <c r="D300" s="2">
        <v>3</v>
      </c>
    </row>
    <row r="301" spans="1:4" x14ac:dyDescent="0.2">
      <c r="A301" s="1">
        <v>693</v>
      </c>
      <c r="B301" s="2">
        <v>126</v>
      </c>
      <c r="C301" s="2" t="s">
        <v>6</v>
      </c>
      <c r="D301" s="2">
        <v>1</v>
      </c>
    </row>
    <row r="302" spans="1:4" x14ac:dyDescent="0.2">
      <c r="A302" s="1">
        <v>693</v>
      </c>
      <c r="B302" s="2">
        <v>686</v>
      </c>
      <c r="C302" s="2" t="s">
        <v>5</v>
      </c>
      <c r="D302" s="2">
        <v>6</v>
      </c>
    </row>
    <row r="303" spans="1:4" x14ac:dyDescent="0.2">
      <c r="A303" s="1">
        <v>699</v>
      </c>
      <c r="B303" s="2">
        <v>126</v>
      </c>
      <c r="C303" s="2" t="s">
        <v>6</v>
      </c>
      <c r="D303" s="2">
        <v>4</v>
      </c>
    </row>
    <row r="304" spans="1:4" x14ac:dyDescent="0.2">
      <c r="A304" s="1">
        <v>705</v>
      </c>
      <c r="B304" s="2">
        <v>126</v>
      </c>
      <c r="C304" s="2" t="s">
        <v>6</v>
      </c>
      <c r="D304" s="2">
        <v>4</v>
      </c>
    </row>
    <row r="305" spans="1:4" x14ac:dyDescent="0.2">
      <c r="A305" s="1">
        <v>708</v>
      </c>
      <c r="B305" s="2">
        <v>126</v>
      </c>
      <c r="C305" s="2" t="s">
        <v>6</v>
      </c>
      <c r="D305" s="2">
        <v>1</v>
      </c>
    </row>
    <row r="306" spans="1:4" x14ac:dyDescent="0.2">
      <c r="A306" s="1">
        <v>708</v>
      </c>
      <c r="B306" s="2">
        <v>690</v>
      </c>
      <c r="C306" s="2" t="s">
        <v>5</v>
      </c>
      <c r="D306" s="2">
        <v>1</v>
      </c>
    </row>
    <row r="307" spans="1:4" x14ac:dyDescent="0.2">
      <c r="A307" s="1">
        <v>715</v>
      </c>
      <c r="B307" s="2">
        <v>190</v>
      </c>
      <c r="C307" s="2" t="s">
        <v>6</v>
      </c>
      <c r="D307" s="2">
        <v>1</v>
      </c>
    </row>
    <row r="308" spans="1:4" x14ac:dyDescent="0.2">
      <c r="A308" s="1">
        <v>715</v>
      </c>
      <c r="B308" s="2">
        <v>126</v>
      </c>
      <c r="C308" s="2" t="s">
        <v>6</v>
      </c>
      <c r="D308" s="2">
        <v>1</v>
      </c>
    </row>
    <row r="309" spans="1:4" x14ac:dyDescent="0.2">
      <c r="A309" s="1">
        <v>715</v>
      </c>
      <c r="B309" s="2">
        <v>690</v>
      </c>
      <c r="C309" s="2" t="s">
        <v>5</v>
      </c>
      <c r="D309" s="2">
        <v>1</v>
      </c>
    </row>
    <row r="310" spans="1:4" x14ac:dyDescent="0.2">
      <c r="A310" s="1">
        <v>718</v>
      </c>
      <c r="B310" s="2">
        <v>686</v>
      </c>
      <c r="C310" s="2" t="s">
        <v>5</v>
      </c>
      <c r="D310" s="2">
        <v>2</v>
      </c>
    </row>
    <row r="311" spans="1:4" x14ac:dyDescent="0.2">
      <c r="A311" s="1">
        <v>718</v>
      </c>
      <c r="B311" s="2">
        <v>690</v>
      </c>
      <c r="C311" s="2" t="s">
        <v>5</v>
      </c>
      <c r="D311" s="2">
        <v>1</v>
      </c>
    </row>
    <row r="312" spans="1:4" x14ac:dyDescent="0.2">
      <c r="A312" s="1">
        <v>725</v>
      </c>
      <c r="B312" s="2">
        <v>686</v>
      </c>
      <c r="C312" s="2" t="s">
        <v>5</v>
      </c>
      <c r="D312" s="2">
        <v>2</v>
      </c>
    </row>
    <row r="313" spans="1:4" x14ac:dyDescent="0.2">
      <c r="A313" s="1">
        <v>725</v>
      </c>
      <c r="B313" s="2">
        <v>119</v>
      </c>
      <c r="C313" s="2" t="s">
        <v>6</v>
      </c>
      <c r="D313" s="2">
        <v>1</v>
      </c>
    </row>
    <row r="314" spans="1:4" x14ac:dyDescent="0.2">
      <c r="A314" s="1">
        <v>725</v>
      </c>
      <c r="B314" s="2">
        <v>120</v>
      </c>
      <c r="C314" s="2" t="s">
        <v>6</v>
      </c>
      <c r="D314" s="2">
        <v>1</v>
      </c>
    </row>
    <row r="315" spans="1:4" x14ac:dyDescent="0.2">
      <c r="A315" s="1">
        <v>727</v>
      </c>
      <c r="B315" s="2">
        <v>119</v>
      </c>
      <c r="C315" s="2" t="s">
        <v>6</v>
      </c>
      <c r="D315" s="2">
        <v>1</v>
      </c>
    </row>
    <row r="316" spans="1:4" x14ac:dyDescent="0.2">
      <c r="A316" s="1">
        <v>727</v>
      </c>
      <c r="B316" s="2">
        <v>120</v>
      </c>
      <c r="C316" s="2" t="s">
        <v>6</v>
      </c>
      <c r="D316" s="2">
        <v>1</v>
      </c>
    </row>
    <row r="317" spans="1:4" x14ac:dyDescent="0.2">
      <c r="A317" s="1">
        <v>727</v>
      </c>
      <c r="B317" s="2">
        <v>126</v>
      </c>
      <c r="C317" s="2" t="s">
        <v>6</v>
      </c>
      <c r="D317" s="2">
        <v>1</v>
      </c>
    </row>
    <row r="318" spans="1:4" x14ac:dyDescent="0.2">
      <c r="A318" s="1">
        <v>727</v>
      </c>
      <c r="B318" s="2">
        <v>686</v>
      </c>
      <c r="C318" s="2" t="s">
        <v>5</v>
      </c>
      <c r="D318" s="2">
        <v>4</v>
      </c>
    </row>
    <row r="319" spans="1:4" x14ac:dyDescent="0.2">
      <c r="A319" s="1">
        <v>729</v>
      </c>
      <c r="B319" s="2">
        <v>686</v>
      </c>
      <c r="C319" s="2" t="s">
        <v>5</v>
      </c>
      <c r="D319" s="2">
        <v>5</v>
      </c>
    </row>
    <row r="320" spans="1:4" x14ac:dyDescent="0.2">
      <c r="A320" s="1">
        <v>729</v>
      </c>
      <c r="B320" s="2">
        <v>690</v>
      </c>
      <c r="C320" s="2" t="s">
        <v>5</v>
      </c>
      <c r="D320" s="2">
        <v>9</v>
      </c>
    </row>
    <row r="321" spans="1:4" x14ac:dyDescent="0.2">
      <c r="A321" s="1">
        <v>729</v>
      </c>
      <c r="B321" s="2">
        <v>457</v>
      </c>
      <c r="C321" s="2" t="s">
        <v>5</v>
      </c>
      <c r="D321" s="2">
        <v>1</v>
      </c>
    </row>
    <row r="322" spans="1:4" x14ac:dyDescent="0.2">
      <c r="A322" s="1">
        <v>729</v>
      </c>
      <c r="B322" s="2">
        <v>457</v>
      </c>
      <c r="C322" s="2" t="s">
        <v>7</v>
      </c>
      <c r="D322" s="2">
        <v>1</v>
      </c>
    </row>
    <row r="323" spans="1:4" x14ac:dyDescent="0.2">
      <c r="A323" s="1">
        <v>731</v>
      </c>
      <c r="B323" s="2">
        <v>686</v>
      </c>
      <c r="C323" s="2" t="s">
        <v>5</v>
      </c>
      <c r="D323" s="2">
        <v>2</v>
      </c>
    </row>
    <row r="324" spans="1:4" x14ac:dyDescent="0.2">
      <c r="A324" s="1">
        <v>735</v>
      </c>
      <c r="B324" s="2">
        <v>190</v>
      </c>
      <c r="C324" s="2" t="s">
        <v>7</v>
      </c>
      <c r="D324" s="2">
        <v>1</v>
      </c>
    </row>
    <row r="325" spans="1:4" x14ac:dyDescent="0.2">
      <c r="A325" s="1">
        <v>747</v>
      </c>
      <c r="B325" s="2">
        <v>126</v>
      </c>
      <c r="C325" s="2" t="s">
        <v>6</v>
      </c>
      <c r="D325" s="2">
        <v>3</v>
      </c>
    </row>
    <row r="326" spans="1:4" x14ac:dyDescent="0.2">
      <c r="A326" s="1">
        <v>748</v>
      </c>
      <c r="B326" s="2">
        <v>686</v>
      </c>
      <c r="C326" s="2" t="s">
        <v>5</v>
      </c>
      <c r="D326" s="2">
        <v>4</v>
      </c>
    </row>
    <row r="327" spans="1:4" x14ac:dyDescent="0.2">
      <c r="A327" s="1">
        <v>748</v>
      </c>
      <c r="B327" s="2">
        <v>690</v>
      </c>
      <c r="C327" s="2" t="s">
        <v>5</v>
      </c>
      <c r="D327" s="2">
        <v>3</v>
      </c>
    </row>
    <row r="328" spans="1:4" x14ac:dyDescent="0.2">
      <c r="A328" s="1">
        <v>748</v>
      </c>
      <c r="B328" s="2">
        <v>126</v>
      </c>
      <c r="C328" s="2" t="s">
        <v>6</v>
      </c>
      <c r="D328" s="2">
        <v>1</v>
      </c>
    </row>
    <row r="329" spans="1:4" x14ac:dyDescent="0.2">
      <c r="A329" s="1">
        <v>749</v>
      </c>
      <c r="B329" s="2">
        <v>190</v>
      </c>
      <c r="C329" s="2" t="s">
        <v>6</v>
      </c>
      <c r="D329" s="2">
        <v>2</v>
      </c>
    </row>
    <row r="330" spans="1:4" x14ac:dyDescent="0.2">
      <c r="A330" s="1">
        <v>750</v>
      </c>
      <c r="B330" s="2">
        <v>686</v>
      </c>
      <c r="C330" s="2" t="s">
        <v>5</v>
      </c>
      <c r="D330" s="2">
        <v>2</v>
      </c>
    </row>
    <row r="331" spans="1:4" x14ac:dyDescent="0.2">
      <c r="A331" s="1">
        <v>750</v>
      </c>
      <c r="B331" s="2">
        <v>690</v>
      </c>
      <c r="C331" s="2" t="s">
        <v>5</v>
      </c>
      <c r="D331" s="2">
        <v>1</v>
      </c>
    </row>
    <row r="332" spans="1:4" x14ac:dyDescent="0.2">
      <c r="A332" s="1">
        <v>753</v>
      </c>
      <c r="B332" s="2">
        <v>457</v>
      </c>
      <c r="C332" s="2" t="s">
        <v>5</v>
      </c>
      <c r="D332" s="2">
        <v>1</v>
      </c>
    </row>
    <row r="333" spans="1:4" x14ac:dyDescent="0.2">
      <c r="A333" s="1">
        <v>753</v>
      </c>
      <c r="B333" s="2">
        <v>119</v>
      </c>
      <c r="C333" s="2" t="s">
        <v>6</v>
      </c>
      <c r="D333" s="2">
        <v>1</v>
      </c>
    </row>
    <row r="334" spans="1:4" x14ac:dyDescent="0.2">
      <c r="A334" s="1">
        <v>753</v>
      </c>
      <c r="B334" s="2">
        <v>120</v>
      </c>
      <c r="C334" s="2" t="s">
        <v>6</v>
      </c>
      <c r="D334" s="2">
        <v>1</v>
      </c>
    </row>
    <row r="335" spans="1:4" x14ac:dyDescent="0.2">
      <c r="A335" s="1">
        <v>757</v>
      </c>
      <c r="B335" s="2">
        <v>126</v>
      </c>
      <c r="C335" s="2" t="s">
        <v>6</v>
      </c>
      <c r="D335" s="2">
        <v>2</v>
      </c>
    </row>
    <row r="336" spans="1:4" x14ac:dyDescent="0.2">
      <c r="A336" s="1">
        <v>758</v>
      </c>
      <c r="B336" s="2">
        <v>686</v>
      </c>
      <c r="C336" s="2" t="s">
        <v>5</v>
      </c>
      <c r="D336" s="2">
        <v>5</v>
      </c>
    </row>
    <row r="337" spans="1:4" x14ac:dyDescent="0.2">
      <c r="A337" s="1">
        <v>758</v>
      </c>
      <c r="B337" s="2">
        <v>690</v>
      </c>
      <c r="C337" s="2" t="s">
        <v>5</v>
      </c>
      <c r="D337" s="2">
        <v>4</v>
      </c>
    </row>
    <row r="338" spans="1:4" x14ac:dyDescent="0.2">
      <c r="A338" s="1">
        <v>759</v>
      </c>
      <c r="B338" s="2">
        <v>119</v>
      </c>
      <c r="C338" s="2" t="s">
        <v>6</v>
      </c>
      <c r="D338" s="2">
        <v>1</v>
      </c>
    </row>
    <row r="339" spans="1:4" x14ac:dyDescent="0.2">
      <c r="A339" s="1">
        <v>759</v>
      </c>
      <c r="B339" s="2">
        <v>120</v>
      </c>
      <c r="C339" s="2" t="s">
        <v>6</v>
      </c>
      <c r="D339" s="2">
        <v>1</v>
      </c>
    </row>
    <row r="340" spans="1:4" x14ac:dyDescent="0.2">
      <c r="A340" s="1">
        <v>769</v>
      </c>
      <c r="B340" s="2">
        <v>690</v>
      </c>
      <c r="C340" s="2" t="s">
        <v>5</v>
      </c>
      <c r="D340" s="2">
        <v>1</v>
      </c>
    </row>
    <row r="341" spans="1:4" x14ac:dyDescent="0.2">
      <c r="A341" s="1">
        <v>771</v>
      </c>
      <c r="B341" s="2">
        <v>119</v>
      </c>
      <c r="C341" s="2" t="s">
        <v>6</v>
      </c>
      <c r="D341" s="2">
        <v>2</v>
      </c>
    </row>
    <row r="342" spans="1:4" x14ac:dyDescent="0.2">
      <c r="A342" s="1">
        <v>771</v>
      </c>
      <c r="B342" s="2">
        <v>120</v>
      </c>
      <c r="C342" s="2" t="s">
        <v>6</v>
      </c>
      <c r="D342" s="2">
        <v>2</v>
      </c>
    </row>
    <row r="343" spans="1:4" x14ac:dyDescent="0.2">
      <c r="A343" s="1">
        <v>772</v>
      </c>
      <c r="B343" s="2">
        <v>119</v>
      </c>
      <c r="C343" s="2" t="s">
        <v>6</v>
      </c>
      <c r="D343" s="2">
        <v>1</v>
      </c>
    </row>
    <row r="344" spans="1:4" x14ac:dyDescent="0.2">
      <c r="A344" s="1">
        <v>772</v>
      </c>
      <c r="B344" s="2">
        <v>120</v>
      </c>
      <c r="C344" s="2" t="s">
        <v>6</v>
      </c>
      <c r="D344" s="2">
        <v>1</v>
      </c>
    </row>
    <row r="345" spans="1:4" x14ac:dyDescent="0.2">
      <c r="A345" s="1">
        <v>772</v>
      </c>
      <c r="B345" s="2">
        <v>126</v>
      </c>
      <c r="C345" s="2" t="s">
        <v>6</v>
      </c>
      <c r="D345" s="2">
        <v>1</v>
      </c>
    </row>
    <row r="346" spans="1:4" x14ac:dyDescent="0.2">
      <c r="A346" s="1">
        <v>772</v>
      </c>
      <c r="B346" s="2">
        <v>686</v>
      </c>
      <c r="C346" s="2" t="s">
        <v>5</v>
      </c>
      <c r="D346" s="2">
        <v>1</v>
      </c>
    </row>
    <row r="347" spans="1:4" x14ac:dyDescent="0.2">
      <c r="A347" s="1">
        <v>773</v>
      </c>
      <c r="B347" s="2">
        <v>126</v>
      </c>
      <c r="C347" s="2" t="s">
        <v>6</v>
      </c>
      <c r="D347" s="2">
        <v>2</v>
      </c>
    </row>
    <row r="348" spans="1:4" x14ac:dyDescent="0.2">
      <c r="A348" s="1">
        <v>779</v>
      </c>
      <c r="B348" s="2">
        <v>686</v>
      </c>
      <c r="C348" s="2" t="s">
        <v>5</v>
      </c>
      <c r="D348" s="2">
        <v>4</v>
      </c>
    </row>
    <row r="349" spans="1:4" x14ac:dyDescent="0.2">
      <c r="A349" s="1">
        <v>779</v>
      </c>
      <c r="B349" s="2">
        <v>690</v>
      </c>
      <c r="C349" s="2" t="s">
        <v>5</v>
      </c>
      <c r="D349" s="2">
        <v>3</v>
      </c>
    </row>
    <row r="350" spans="1:4" x14ac:dyDescent="0.2">
      <c r="A350" s="1">
        <v>783</v>
      </c>
      <c r="B350" s="2">
        <v>686</v>
      </c>
      <c r="C350" s="2" t="s">
        <v>5</v>
      </c>
      <c r="D350" s="2">
        <v>6</v>
      </c>
    </row>
    <row r="351" spans="1:4" x14ac:dyDescent="0.2">
      <c r="A351" s="1">
        <v>785</v>
      </c>
      <c r="B351" s="2">
        <v>190</v>
      </c>
      <c r="C351" s="2" t="s">
        <v>6</v>
      </c>
      <c r="D351" s="2">
        <v>1</v>
      </c>
    </row>
    <row r="352" spans="1:4" x14ac:dyDescent="0.2">
      <c r="A352" s="1">
        <v>785</v>
      </c>
      <c r="B352" s="2">
        <v>126</v>
      </c>
      <c r="C352" s="2" t="s">
        <v>6</v>
      </c>
      <c r="D352" s="2">
        <v>1</v>
      </c>
    </row>
    <row r="353" spans="1:4" x14ac:dyDescent="0.2">
      <c r="A353" s="1">
        <v>788</v>
      </c>
      <c r="B353" s="2">
        <v>126</v>
      </c>
      <c r="C353" s="2" t="s">
        <v>6</v>
      </c>
      <c r="D353" s="2">
        <v>1</v>
      </c>
    </row>
    <row r="354" spans="1:4" x14ac:dyDescent="0.2">
      <c r="A354" s="1">
        <v>788</v>
      </c>
      <c r="B354" s="2">
        <v>690</v>
      </c>
      <c r="C354" s="2" t="s">
        <v>5</v>
      </c>
      <c r="D354" s="2">
        <v>1</v>
      </c>
    </row>
    <row r="355" spans="1:4" x14ac:dyDescent="0.2">
      <c r="A355" s="1">
        <v>792</v>
      </c>
      <c r="B355" s="2">
        <v>843</v>
      </c>
      <c r="C355" s="2" t="s">
        <v>5</v>
      </c>
      <c r="D355" s="2">
        <v>1</v>
      </c>
    </row>
    <row r="356" spans="1:4" x14ac:dyDescent="0.2">
      <c r="A356" s="1">
        <v>794</v>
      </c>
      <c r="B356" s="2">
        <v>20</v>
      </c>
      <c r="C356" s="2" t="s">
        <v>6</v>
      </c>
      <c r="D356" s="2">
        <v>1</v>
      </c>
    </row>
    <row r="357" spans="1:4" x14ac:dyDescent="0.2">
      <c r="A357" s="1">
        <v>794</v>
      </c>
      <c r="B357" s="2">
        <v>120</v>
      </c>
      <c r="C357" s="2" t="s">
        <v>6</v>
      </c>
      <c r="D357" s="2">
        <v>2</v>
      </c>
    </row>
    <row r="358" spans="1:4" x14ac:dyDescent="0.2">
      <c r="A358" s="1">
        <v>794</v>
      </c>
      <c r="B358" s="2">
        <v>119</v>
      </c>
      <c r="C358" s="2" t="s">
        <v>6</v>
      </c>
      <c r="D358" s="2">
        <v>1</v>
      </c>
    </row>
    <row r="359" spans="1:4" x14ac:dyDescent="0.2">
      <c r="A359" s="1">
        <v>795</v>
      </c>
      <c r="B359" s="2">
        <v>119</v>
      </c>
      <c r="C359" s="2" t="s">
        <v>6</v>
      </c>
      <c r="D359" s="2">
        <v>1</v>
      </c>
    </row>
    <row r="360" spans="1:4" x14ac:dyDescent="0.2">
      <c r="A360" s="1">
        <v>795</v>
      </c>
      <c r="B360" s="2">
        <v>120</v>
      </c>
      <c r="C360" s="2" t="s">
        <v>6</v>
      </c>
      <c r="D360" s="2">
        <v>1</v>
      </c>
    </row>
    <row r="361" spans="1:4" x14ac:dyDescent="0.2">
      <c r="A361" s="1">
        <v>795</v>
      </c>
      <c r="B361" s="2">
        <v>690</v>
      </c>
      <c r="C361" s="2" t="s">
        <v>5</v>
      </c>
      <c r="D361" s="2">
        <v>2</v>
      </c>
    </row>
    <row r="362" spans="1:4" x14ac:dyDescent="0.2">
      <c r="A362" s="1">
        <v>800</v>
      </c>
      <c r="B362" s="2">
        <v>119</v>
      </c>
      <c r="C362" s="2" t="s">
        <v>6</v>
      </c>
      <c r="D362" s="2">
        <v>1</v>
      </c>
    </row>
    <row r="363" spans="1:4" x14ac:dyDescent="0.2">
      <c r="A363" s="1">
        <v>800</v>
      </c>
      <c r="B363" s="2">
        <v>120</v>
      </c>
      <c r="C363" s="2" t="s">
        <v>6</v>
      </c>
      <c r="D363" s="2">
        <v>1</v>
      </c>
    </row>
    <row r="364" spans="1:4" x14ac:dyDescent="0.2">
      <c r="A364" s="1">
        <v>806</v>
      </c>
      <c r="B364" s="2">
        <v>126</v>
      </c>
      <c r="C364" s="2" t="s">
        <v>6</v>
      </c>
      <c r="D364" s="2">
        <v>1</v>
      </c>
    </row>
    <row r="365" spans="1:4" x14ac:dyDescent="0.2">
      <c r="A365" s="1">
        <v>812</v>
      </c>
      <c r="B365" s="2">
        <v>119</v>
      </c>
      <c r="C365" s="2" t="s">
        <v>6</v>
      </c>
      <c r="D365" s="2">
        <v>1</v>
      </c>
    </row>
    <row r="366" spans="1:4" x14ac:dyDescent="0.2">
      <c r="A366" s="1">
        <v>812</v>
      </c>
      <c r="B366" s="2">
        <v>120</v>
      </c>
      <c r="C366" s="2" t="s">
        <v>6</v>
      </c>
      <c r="D366" s="2">
        <v>1</v>
      </c>
    </row>
    <row r="367" spans="1:4" x14ac:dyDescent="0.2">
      <c r="A367" s="1">
        <v>812</v>
      </c>
      <c r="B367" s="2">
        <v>126</v>
      </c>
      <c r="C367" s="2" t="s">
        <v>6</v>
      </c>
      <c r="D367" s="2">
        <v>1</v>
      </c>
    </row>
    <row r="368" spans="1:4" x14ac:dyDescent="0.2">
      <c r="A368" s="1">
        <v>815</v>
      </c>
      <c r="B368" s="2">
        <v>686</v>
      </c>
      <c r="C368" s="2" t="s">
        <v>5</v>
      </c>
      <c r="D368" s="2">
        <v>2</v>
      </c>
    </row>
    <row r="369" spans="1:4" x14ac:dyDescent="0.2">
      <c r="A369" s="1">
        <v>821</v>
      </c>
      <c r="B369" s="2">
        <v>119</v>
      </c>
      <c r="C369" s="2" t="s">
        <v>6</v>
      </c>
      <c r="D369" s="2">
        <v>1</v>
      </c>
    </row>
    <row r="370" spans="1:4" x14ac:dyDescent="0.2">
      <c r="A370" s="1">
        <v>821</v>
      </c>
      <c r="B370" s="2">
        <v>120</v>
      </c>
      <c r="C370" s="2" t="s">
        <v>6</v>
      </c>
      <c r="D370" s="2">
        <v>1</v>
      </c>
    </row>
    <row r="371" spans="1:4" x14ac:dyDescent="0.2">
      <c r="A371" s="1">
        <v>822</v>
      </c>
      <c r="B371" s="2">
        <v>686</v>
      </c>
      <c r="C371" s="2" t="s">
        <v>5</v>
      </c>
      <c r="D371" s="2">
        <v>3</v>
      </c>
    </row>
    <row r="372" spans="1:4" x14ac:dyDescent="0.2">
      <c r="A372" s="1">
        <v>829</v>
      </c>
      <c r="B372" s="2">
        <v>20</v>
      </c>
      <c r="C372" s="2" t="s">
        <v>6</v>
      </c>
      <c r="D372" s="2">
        <v>1</v>
      </c>
    </row>
    <row r="373" spans="1:4" x14ac:dyDescent="0.2">
      <c r="A373" s="1">
        <v>829</v>
      </c>
      <c r="B373" s="2">
        <v>120</v>
      </c>
      <c r="C373" s="2" t="s">
        <v>6</v>
      </c>
      <c r="D373" s="2">
        <v>1</v>
      </c>
    </row>
    <row r="374" spans="1:4" x14ac:dyDescent="0.2">
      <c r="A374" s="1">
        <v>829</v>
      </c>
      <c r="B374" s="2">
        <v>686</v>
      </c>
      <c r="C374" s="2" t="s">
        <v>5</v>
      </c>
      <c r="D374" s="2">
        <v>4</v>
      </c>
    </row>
    <row r="375" spans="1:4" x14ac:dyDescent="0.2">
      <c r="A375" s="1">
        <v>832</v>
      </c>
      <c r="B375" s="2">
        <v>686</v>
      </c>
      <c r="C375" s="2" t="s">
        <v>5</v>
      </c>
      <c r="D375" s="2">
        <v>1</v>
      </c>
    </row>
    <row r="376" spans="1:4" x14ac:dyDescent="0.2">
      <c r="A376" s="1">
        <v>832</v>
      </c>
      <c r="B376" s="2">
        <v>119</v>
      </c>
      <c r="C376" s="2" t="s">
        <v>6</v>
      </c>
      <c r="D376" s="2">
        <v>1</v>
      </c>
    </row>
    <row r="377" spans="1:4" x14ac:dyDescent="0.2">
      <c r="A377" s="1">
        <v>832</v>
      </c>
      <c r="B377" s="2">
        <v>120</v>
      </c>
      <c r="C377" s="2" t="s">
        <v>6</v>
      </c>
      <c r="D377" s="2">
        <v>1</v>
      </c>
    </row>
    <row r="378" spans="1:4" x14ac:dyDescent="0.2">
      <c r="A378" s="1">
        <v>832</v>
      </c>
      <c r="B378" s="2">
        <v>190</v>
      </c>
      <c r="C378" s="2" t="s">
        <v>6</v>
      </c>
      <c r="D378" s="2">
        <v>2</v>
      </c>
    </row>
    <row r="379" spans="1:4" x14ac:dyDescent="0.2">
      <c r="A379" s="1">
        <v>833</v>
      </c>
      <c r="B379" s="2">
        <v>690</v>
      </c>
      <c r="C379" s="2" t="s">
        <v>5</v>
      </c>
      <c r="D379" s="2">
        <v>1</v>
      </c>
    </row>
    <row r="380" spans="1:4" x14ac:dyDescent="0.2">
      <c r="A380" s="1">
        <v>833</v>
      </c>
      <c r="B380" s="2">
        <v>590</v>
      </c>
      <c r="C380" s="2" t="s">
        <v>5</v>
      </c>
      <c r="D380" s="2">
        <v>1</v>
      </c>
    </row>
    <row r="381" spans="1:4" x14ac:dyDescent="0.2">
      <c r="A381" s="1">
        <v>839</v>
      </c>
      <c r="B381" s="2">
        <v>119</v>
      </c>
      <c r="C381" s="2" t="s">
        <v>6</v>
      </c>
      <c r="D381" s="2">
        <v>1</v>
      </c>
    </row>
    <row r="382" spans="1:4" x14ac:dyDescent="0.2">
      <c r="A382" s="1">
        <v>839</v>
      </c>
      <c r="B382" s="2">
        <v>120</v>
      </c>
      <c r="C382" s="2" t="s">
        <v>6</v>
      </c>
      <c r="D382" s="2">
        <v>1</v>
      </c>
    </row>
    <row r="383" spans="1:4" x14ac:dyDescent="0.2">
      <c r="A383" s="1">
        <v>840</v>
      </c>
      <c r="B383" s="2">
        <v>686</v>
      </c>
      <c r="C383" s="2" t="s">
        <v>5</v>
      </c>
      <c r="D383" s="2">
        <v>2</v>
      </c>
    </row>
    <row r="384" spans="1:4" x14ac:dyDescent="0.2">
      <c r="A384" s="1">
        <v>843</v>
      </c>
      <c r="B384" s="2">
        <v>908</v>
      </c>
      <c r="C384" s="2" t="s">
        <v>7</v>
      </c>
      <c r="D384" s="2">
        <v>1</v>
      </c>
    </row>
    <row r="385" spans="1:4" x14ac:dyDescent="0.2">
      <c r="A385" s="1">
        <v>845</v>
      </c>
      <c r="B385" s="2">
        <v>686</v>
      </c>
      <c r="C385" s="2" t="s">
        <v>5</v>
      </c>
      <c r="D385" s="2">
        <v>2</v>
      </c>
    </row>
    <row r="386" spans="1:4" x14ac:dyDescent="0.2">
      <c r="A386" s="1">
        <v>861</v>
      </c>
      <c r="B386" s="2">
        <v>126</v>
      </c>
      <c r="C386" s="2" t="s">
        <v>6</v>
      </c>
      <c r="D386" s="2">
        <v>2</v>
      </c>
    </row>
    <row r="387" spans="1:4" x14ac:dyDescent="0.2">
      <c r="A387" s="1">
        <v>862</v>
      </c>
      <c r="B387" s="2">
        <v>119</v>
      </c>
      <c r="C387" s="2" t="s">
        <v>6</v>
      </c>
      <c r="D387" s="2">
        <v>2</v>
      </c>
    </row>
    <row r="388" spans="1:4" x14ac:dyDescent="0.2">
      <c r="A388" s="1">
        <v>862</v>
      </c>
      <c r="B388" s="2">
        <v>120</v>
      </c>
      <c r="C388" s="2" t="s">
        <v>6</v>
      </c>
      <c r="D388" s="2">
        <v>2</v>
      </c>
    </row>
    <row r="389" spans="1:4" x14ac:dyDescent="0.2">
      <c r="A389" s="1">
        <v>862</v>
      </c>
      <c r="B389" s="2">
        <v>457</v>
      </c>
      <c r="C389" s="2" t="s">
        <v>5</v>
      </c>
      <c r="D389" s="2">
        <v>2</v>
      </c>
    </row>
    <row r="390" spans="1:4" x14ac:dyDescent="0.2">
      <c r="A390" s="1">
        <v>864</v>
      </c>
      <c r="B390" s="2">
        <v>126</v>
      </c>
      <c r="C390" s="2" t="s">
        <v>6</v>
      </c>
      <c r="D390" s="2">
        <v>1</v>
      </c>
    </row>
    <row r="391" spans="1:4" x14ac:dyDescent="0.2">
      <c r="A391" s="1">
        <v>866</v>
      </c>
      <c r="B391" s="2">
        <v>20</v>
      </c>
      <c r="C391" s="2" t="s">
        <v>6</v>
      </c>
      <c r="D391" s="2">
        <v>1</v>
      </c>
    </row>
    <row r="392" spans="1:4" x14ac:dyDescent="0.2">
      <c r="A392" s="1">
        <v>866</v>
      </c>
      <c r="B392" s="2">
        <v>120</v>
      </c>
      <c r="C392" s="2" t="s">
        <v>6</v>
      </c>
      <c r="D392" s="2">
        <v>2</v>
      </c>
    </row>
    <row r="393" spans="1:4" x14ac:dyDescent="0.2">
      <c r="A393" s="1">
        <v>866</v>
      </c>
      <c r="B393" s="2">
        <v>119</v>
      </c>
      <c r="C393" s="2" t="s">
        <v>6</v>
      </c>
      <c r="D393" s="2">
        <v>1</v>
      </c>
    </row>
    <row r="394" spans="1:4" x14ac:dyDescent="0.2">
      <c r="A394" s="1">
        <v>866</v>
      </c>
      <c r="B394" s="2">
        <v>686</v>
      </c>
      <c r="C394" s="2" t="s">
        <v>5</v>
      </c>
      <c r="D394" s="2">
        <v>1</v>
      </c>
    </row>
    <row r="395" spans="1:4" x14ac:dyDescent="0.2">
      <c r="A395" s="1">
        <v>869</v>
      </c>
      <c r="B395" s="2">
        <v>686</v>
      </c>
      <c r="C395" s="2" t="s">
        <v>5</v>
      </c>
      <c r="D395" s="2">
        <v>2</v>
      </c>
    </row>
    <row r="396" spans="1:4" x14ac:dyDescent="0.2">
      <c r="A396" s="1">
        <v>869</v>
      </c>
      <c r="B396" s="2">
        <v>690</v>
      </c>
      <c r="C396" s="2" t="s">
        <v>5</v>
      </c>
      <c r="D396" s="2">
        <v>1</v>
      </c>
    </row>
    <row r="397" spans="1:4" x14ac:dyDescent="0.2">
      <c r="A397" s="1">
        <v>871</v>
      </c>
      <c r="B397" s="2">
        <v>126</v>
      </c>
      <c r="C397" s="2" t="s">
        <v>6</v>
      </c>
      <c r="D397" s="2">
        <v>2</v>
      </c>
    </row>
    <row r="398" spans="1:4" x14ac:dyDescent="0.2">
      <c r="A398" s="1">
        <v>871</v>
      </c>
      <c r="B398" s="2">
        <v>1260</v>
      </c>
      <c r="C398" s="2" t="s">
        <v>7</v>
      </c>
      <c r="D398" s="2">
        <v>1</v>
      </c>
    </row>
    <row r="399" spans="1:4" x14ac:dyDescent="0.2">
      <c r="A399" s="1">
        <v>874</v>
      </c>
      <c r="B399" s="2">
        <v>126</v>
      </c>
      <c r="C399" s="2" t="s">
        <v>6</v>
      </c>
      <c r="D399" s="2">
        <v>2</v>
      </c>
    </row>
    <row r="400" spans="1:4" x14ac:dyDescent="0.2">
      <c r="A400" s="1">
        <v>877</v>
      </c>
      <c r="B400" s="2">
        <v>126</v>
      </c>
      <c r="C400" s="2" t="s">
        <v>6</v>
      </c>
      <c r="D400" s="2">
        <v>1</v>
      </c>
    </row>
    <row r="401" spans="1:4" x14ac:dyDescent="0.2">
      <c r="A401" s="1">
        <v>879</v>
      </c>
      <c r="B401" s="2">
        <v>119</v>
      </c>
      <c r="C401" s="2" t="s">
        <v>6</v>
      </c>
      <c r="D401" s="2">
        <v>1</v>
      </c>
    </row>
    <row r="402" spans="1:4" x14ac:dyDescent="0.2">
      <c r="A402" s="1">
        <v>879</v>
      </c>
      <c r="B402" s="2">
        <v>120</v>
      </c>
      <c r="C402" s="2" t="s">
        <v>6</v>
      </c>
      <c r="D402" s="2">
        <v>1</v>
      </c>
    </row>
    <row r="403" spans="1:4" x14ac:dyDescent="0.2">
      <c r="A403" s="1">
        <v>892</v>
      </c>
      <c r="B403" s="2">
        <v>119</v>
      </c>
      <c r="C403" s="2" t="s">
        <v>6</v>
      </c>
      <c r="D403" s="2">
        <v>1</v>
      </c>
    </row>
    <row r="404" spans="1:4" x14ac:dyDescent="0.2">
      <c r="A404" s="1">
        <v>892</v>
      </c>
      <c r="B404" s="2">
        <v>120</v>
      </c>
      <c r="C404" s="2" t="s">
        <v>6</v>
      </c>
      <c r="D404" s="2">
        <v>1</v>
      </c>
    </row>
    <row r="405" spans="1:4" x14ac:dyDescent="0.2">
      <c r="A405" s="1">
        <v>892</v>
      </c>
      <c r="B405" s="2">
        <v>457</v>
      </c>
      <c r="C405" s="2" t="s">
        <v>7</v>
      </c>
      <c r="D405" s="2">
        <v>2</v>
      </c>
    </row>
    <row r="406" spans="1:4" x14ac:dyDescent="0.2">
      <c r="A406" s="1">
        <v>892</v>
      </c>
      <c r="B406" s="2">
        <v>457</v>
      </c>
      <c r="C406" s="2" t="s">
        <v>5</v>
      </c>
      <c r="D406" s="2">
        <v>6</v>
      </c>
    </row>
    <row r="407" spans="1:4" x14ac:dyDescent="0.2">
      <c r="A407" s="1">
        <v>893</v>
      </c>
      <c r="B407" s="2">
        <v>704</v>
      </c>
      <c r="C407" s="2" t="s">
        <v>5</v>
      </c>
      <c r="D407" s="2">
        <v>3</v>
      </c>
    </row>
    <row r="408" spans="1:4" x14ac:dyDescent="0.2">
      <c r="A408" s="1">
        <v>897</v>
      </c>
      <c r="B408" s="2">
        <v>20</v>
      </c>
      <c r="C408" s="2" t="s">
        <v>6</v>
      </c>
      <c r="D408" s="2">
        <v>2</v>
      </c>
    </row>
    <row r="409" spans="1:4" x14ac:dyDescent="0.2">
      <c r="A409" s="1">
        <v>897</v>
      </c>
      <c r="B409" s="2">
        <v>120</v>
      </c>
      <c r="C409" s="2" t="s">
        <v>6</v>
      </c>
      <c r="D409" s="2">
        <v>4</v>
      </c>
    </row>
    <row r="410" spans="1:4" x14ac:dyDescent="0.2">
      <c r="A410" s="1">
        <v>897</v>
      </c>
      <c r="B410" s="2">
        <v>119</v>
      </c>
      <c r="C410" s="2" t="s">
        <v>6</v>
      </c>
      <c r="D410" s="2">
        <v>2</v>
      </c>
    </row>
    <row r="411" spans="1:4" x14ac:dyDescent="0.2">
      <c r="A411" s="1">
        <v>897</v>
      </c>
      <c r="B411" s="2">
        <v>126</v>
      </c>
      <c r="C411" s="2" t="s">
        <v>6</v>
      </c>
      <c r="D411" s="2">
        <v>2</v>
      </c>
    </row>
    <row r="412" spans="1:4" x14ac:dyDescent="0.2">
      <c r="A412" s="1">
        <v>900</v>
      </c>
      <c r="B412" s="2">
        <v>686</v>
      </c>
      <c r="C412" s="2" t="s">
        <v>5</v>
      </c>
      <c r="D412" s="2">
        <v>1</v>
      </c>
    </row>
    <row r="413" spans="1:4" x14ac:dyDescent="0.2">
      <c r="A413" s="1">
        <v>900</v>
      </c>
      <c r="B413" s="2">
        <v>126</v>
      </c>
      <c r="C413" s="2" t="s">
        <v>6</v>
      </c>
      <c r="D413" s="2">
        <v>1</v>
      </c>
    </row>
    <row r="414" spans="1:4" x14ac:dyDescent="0.2">
      <c r="A414" s="1">
        <v>902</v>
      </c>
      <c r="B414" s="2">
        <v>457</v>
      </c>
      <c r="C414" s="2" t="s">
        <v>7</v>
      </c>
      <c r="D414" s="2">
        <v>1</v>
      </c>
    </row>
    <row r="415" spans="1:4" x14ac:dyDescent="0.2">
      <c r="A415" s="1">
        <v>902</v>
      </c>
      <c r="B415" s="2">
        <v>457</v>
      </c>
      <c r="C415" s="2" t="s">
        <v>5</v>
      </c>
      <c r="D415" s="2">
        <v>2</v>
      </c>
    </row>
    <row r="416" spans="1:4" x14ac:dyDescent="0.2">
      <c r="A416" s="1">
        <v>903</v>
      </c>
      <c r="B416" s="2">
        <v>190</v>
      </c>
      <c r="C416" s="2" t="s">
        <v>7</v>
      </c>
      <c r="D416" s="2">
        <v>1</v>
      </c>
    </row>
    <row r="417" spans="1:4" x14ac:dyDescent="0.2">
      <c r="A417" s="1">
        <v>906</v>
      </c>
      <c r="B417" s="2">
        <v>119</v>
      </c>
      <c r="C417" s="2" t="s">
        <v>6</v>
      </c>
      <c r="D417" s="2">
        <v>6</v>
      </c>
    </row>
    <row r="418" spans="1:4" x14ac:dyDescent="0.2">
      <c r="A418" s="1">
        <v>906</v>
      </c>
      <c r="B418" s="2">
        <v>120</v>
      </c>
      <c r="C418" s="2" t="s">
        <v>6</v>
      </c>
      <c r="D418" s="2">
        <v>6</v>
      </c>
    </row>
    <row r="419" spans="1:4" x14ac:dyDescent="0.2">
      <c r="A419" s="1">
        <v>906</v>
      </c>
      <c r="B419" s="2">
        <v>686</v>
      </c>
      <c r="C419" s="2" t="s">
        <v>5</v>
      </c>
      <c r="D419" s="2">
        <v>2</v>
      </c>
    </row>
    <row r="420" spans="1:4" x14ac:dyDescent="0.2">
      <c r="A420" s="1">
        <v>920</v>
      </c>
      <c r="B420" s="2">
        <v>457</v>
      </c>
      <c r="C420" s="2" t="s">
        <v>7</v>
      </c>
      <c r="D420" s="2">
        <v>4</v>
      </c>
    </row>
    <row r="421" spans="1:4" x14ac:dyDescent="0.2">
      <c r="A421" s="1">
        <v>920</v>
      </c>
      <c r="B421" s="2">
        <v>457</v>
      </c>
      <c r="C421" s="2" t="s">
        <v>5</v>
      </c>
      <c r="D421" s="2">
        <v>1</v>
      </c>
    </row>
    <row r="422" spans="1:4" x14ac:dyDescent="0.2">
      <c r="A422" s="1">
        <v>923</v>
      </c>
      <c r="B422" s="2">
        <v>686</v>
      </c>
      <c r="C422" s="2" t="s">
        <v>5</v>
      </c>
      <c r="D422" s="2">
        <v>1</v>
      </c>
    </row>
    <row r="423" spans="1:4" x14ac:dyDescent="0.2">
      <c r="A423" s="1">
        <v>923</v>
      </c>
      <c r="B423" s="2">
        <v>20</v>
      </c>
      <c r="C423" s="2" t="s">
        <v>6</v>
      </c>
      <c r="D423" s="2">
        <v>2</v>
      </c>
    </row>
    <row r="424" spans="1:4" x14ac:dyDescent="0.2">
      <c r="A424" s="1">
        <v>923</v>
      </c>
      <c r="B424" s="2">
        <v>120</v>
      </c>
      <c r="C424" s="2" t="s">
        <v>6</v>
      </c>
      <c r="D424" s="2">
        <v>3</v>
      </c>
    </row>
    <row r="425" spans="1:4" x14ac:dyDescent="0.2">
      <c r="A425" s="1">
        <v>923</v>
      </c>
      <c r="B425" s="2">
        <v>119</v>
      </c>
      <c r="C425" s="2" t="s">
        <v>6</v>
      </c>
      <c r="D425" s="2">
        <v>1</v>
      </c>
    </row>
    <row r="426" spans="1:4" x14ac:dyDescent="0.2">
      <c r="A426" s="1">
        <v>923</v>
      </c>
      <c r="B426" s="2">
        <v>126</v>
      </c>
      <c r="C426" s="2" t="s">
        <v>6</v>
      </c>
      <c r="D426" s="2">
        <v>2</v>
      </c>
    </row>
    <row r="427" spans="1:4" x14ac:dyDescent="0.2">
      <c r="A427" s="1">
        <v>927</v>
      </c>
      <c r="B427" s="2">
        <v>690</v>
      </c>
      <c r="C427" s="2" t="s">
        <v>5</v>
      </c>
      <c r="D427" s="2">
        <v>1</v>
      </c>
    </row>
    <row r="428" spans="1:4" x14ac:dyDescent="0.2">
      <c r="A428" s="1">
        <v>928</v>
      </c>
      <c r="B428" s="2">
        <v>20</v>
      </c>
      <c r="C428" s="2" t="s">
        <v>6</v>
      </c>
      <c r="D428" s="2">
        <v>1</v>
      </c>
    </row>
    <row r="429" spans="1:4" x14ac:dyDescent="0.2">
      <c r="A429" s="1">
        <v>928</v>
      </c>
      <c r="B429" s="2">
        <v>120</v>
      </c>
      <c r="C429" s="2" t="s">
        <v>6</v>
      </c>
      <c r="D429" s="2">
        <v>3</v>
      </c>
    </row>
    <row r="430" spans="1:4" x14ac:dyDescent="0.2">
      <c r="A430" s="1">
        <v>928</v>
      </c>
      <c r="B430" s="2">
        <v>119</v>
      </c>
      <c r="C430" s="2" t="s">
        <v>6</v>
      </c>
      <c r="D430" s="2">
        <v>2</v>
      </c>
    </row>
    <row r="431" spans="1:4" x14ac:dyDescent="0.2">
      <c r="A431" s="1">
        <v>933</v>
      </c>
      <c r="B431" s="2">
        <v>126</v>
      </c>
      <c r="C431" s="2" t="s">
        <v>6</v>
      </c>
      <c r="D431" s="2">
        <v>3</v>
      </c>
    </row>
    <row r="432" spans="1:4" x14ac:dyDescent="0.2">
      <c r="A432" s="1">
        <v>933</v>
      </c>
      <c r="B432" s="2">
        <v>686</v>
      </c>
      <c r="C432" s="2" t="s">
        <v>5</v>
      </c>
      <c r="D432" s="2">
        <v>10</v>
      </c>
    </row>
    <row r="433" spans="1:4" x14ac:dyDescent="0.2">
      <c r="A433" s="1">
        <v>938</v>
      </c>
      <c r="B433" s="2">
        <v>457</v>
      </c>
      <c r="C433" s="2" t="s">
        <v>7</v>
      </c>
      <c r="D433" s="2">
        <v>3</v>
      </c>
    </row>
    <row r="434" spans="1:4" x14ac:dyDescent="0.2">
      <c r="A434" s="1">
        <v>938</v>
      </c>
      <c r="B434" s="2">
        <v>686</v>
      </c>
      <c r="C434" s="2" t="s">
        <v>5</v>
      </c>
      <c r="D434" s="2">
        <v>2</v>
      </c>
    </row>
    <row r="435" spans="1:4" x14ac:dyDescent="0.2">
      <c r="A435" s="1">
        <v>938</v>
      </c>
      <c r="B435" s="2">
        <v>457</v>
      </c>
      <c r="C435" s="2" t="s">
        <v>5</v>
      </c>
      <c r="D435" s="2">
        <v>3</v>
      </c>
    </row>
    <row r="436" spans="1:4" x14ac:dyDescent="0.2">
      <c r="A436" s="1">
        <v>940</v>
      </c>
      <c r="B436" s="2">
        <v>686</v>
      </c>
      <c r="C436" s="2" t="s">
        <v>5</v>
      </c>
      <c r="D436" s="2">
        <v>1</v>
      </c>
    </row>
    <row r="437" spans="1:4" x14ac:dyDescent="0.2">
      <c r="A437" s="1">
        <v>944</v>
      </c>
      <c r="B437" s="2">
        <v>686</v>
      </c>
      <c r="C437" s="2" t="s">
        <v>5</v>
      </c>
      <c r="D437" s="2">
        <v>1</v>
      </c>
    </row>
    <row r="438" spans="1:4" x14ac:dyDescent="0.2">
      <c r="A438" s="1">
        <v>946</v>
      </c>
      <c r="B438" s="2">
        <v>119</v>
      </c>
      <c r="C438" s="2" t="s">
        <v>6</v>
      </c>
      <c r="D438" s="2">
        <v>3</v>
      </c>
    </row>
    <row r="439" spans="1:4" x14ac:dyDescent="0.2">
      <c r="A439" s="1">
        <v>946</v>
      </c>
      <c r="B439" s="2">
        <v>120</v>
      </c>
      <c r="C439" s="2" t="s">
        <v>6</v>
      </c>
      <c r="D439" s="2">
        <v>3</v>
      </c>
    </row>
    <row r="440" spans="1:4" x14ac:dyDescent="0.2">
      <c r="A440" s="1">
        <v>946</v>
      </c>
      <c r="B440" s="2">
        <v>126</v>
      </c>
      <c r="C440" s="2" t="s">
        <v>6</v>
      </c>
      <c r="D440" s="2">
        <v>1</v>
      </c>
    </row>
    <row r="441" spans="1:4" x14ac:dyDescent="0.2">
      <c r="A441" s="1">
        <v>947</v>
      </c>
      <c r="B441" s="2">
        <v>126</v>
      </c>
      <c r="C441" s="2" t="s">
        <v>6</v>
      </c>
      <c r="D441" s="2">
        <v>1</v>
      </c>
    </row>
    <row r="442" spans="1:4" x14ac:dyDescent="0.2">
      <c r="A442" s="1">
        <v>956</v>
      </c>
      <c r="B442" s="2">
        <v>686</v>
      </c>
      <c r="C442" s="2" t="s">
        <v>5</v>
      </c>
      <c r="D442" s="2">
        <v>1</v>
      </c>
    </row>
    <row r="443" spans="1:4" x14ac:dyDescent="0.2">
      <c r="A443" s="1">
        <v>956</v>
      </c>
      <c r="B443" s="2">
        <v>704</v>
      </c>
      <c r="C443" s="2" t="s">
        <v>5</v>
      </c>
      <c r="D443" s="2">
        <v>2</v>
      </c>
    </row>
    <row r="444" spans="1:4" x14ac:dyDescent="0.2">
      <c r="A444" s="1">
        <v>961</v>
      </c>
      <c r="B444" s="2">
        <v>126</v>
      </c>
      <c r="C444" s="2" t="s">
        <v>6</v>
      </c>
      <c r="D444" s="2">
        <v>1</v>
      </c>
    </row>
    <row r="445" spans="1:4" x14ac:dyDescent="0.2">
      <c r="A445" s="1">
        <v>961</v>
      </c>
      <c r="B445" s="2">
        <v>686</v>
      </c>
      <c r="C445" s="2" t="s">
        <v>5</v>
      </c>
      <c r="D445" s="2">
        <v>2</v>
      </c>
    </row>
    <row r="446" spans="1:4" x14ac:dyDescent="0.2">
      <c r="A446" s="1">
        <v>964</v>
      </c>
      <c r="B446" s="2">
        <v>126</v>
      </c>
      <c r="C446" s="2" t="s">
        <v>6</v>
      </c>
      <c r="D446" s="2">
        <v>1</v>
      </c>
    </row>
    <row r="447" spans="1:4" x14ac:dyDescent="0.2">
      <c r="A447" s="1">
        <v>965</v>
      </c>
      <c r="B447" s="2">
        <v>119</v>
      </c>
      <c r="C447" s="2" t="s">
        <v>6</v>
      </c>
      <c r="D447" s="2">
        <v>1</v>
      </c>
    </row>
    <row r="448" spans="1:4" x14ac:dyDescent="0.2">
      <c r="A448" s="1">
        <v>965</v>
      </c>
      <c r="B448" s="2">
        <v>120</v>
      </c>
      <c r="C448" s="2" t="s">
        <v>6</v>
      </c>
      <c r="D448" s="2">
        <v>1</v>
      </c>
    </row>
    <row r="449" spans="1:4" x14ac:dyDescent="0.2">
      <c r="A449" s="1">
        <v>967</v>
      </c>
      <c r="B449" s="2">
        <v>20</v>
      </c>
      <c r="C449" s="2" t="s">
        <v>6</v>
      </c>
      <c r="D449" s="2">
        <v>1</v>
      </c>
    </row>
    <row r="450" spans="1:4" x14ac:dyDescent="0.2">
      <c r="A450" s="1">
        <v>967</v>
      </c>
      <c r="B450" s="2">
        <v>120</v>
      </c>
      <c r="C450" s="2" t="s">
        <v>6</v>
      </c>
      <c r="D450" s="2">
        <v>2</v>
      </c>
    </row>
    <row r="451" spans="1:4" x14ac:dyDescent="0.2">
      <c r="A451" s="1">
        <v>967</v>
      </c>
      <c r="B451" s="2">
        <v>119</v>
      </c>
      <c r="C451" s="2" t="s">
        <v>6</v>
      </c>
      <c r="D451" s="2">
        <v>1</v>
      </c>
    </row>
    <row r="452" spans="1:4" x14ac:dyDescent="0.2">
      <c r="A452" s="1">
        <v>972</v>
      </c>
      <c r="B452" s="2">
        <v>690</v>
      </c>
      <c r="C452" s="2" t="s">
        <v>5</v>
      </c>
      <c r="D452" s="2">
        <v>3</v>
      </c>
    </row>
    <row r="453" spans="1:4" x14ac:dyDescent="0.2">
      <c r="A453" s="1">
        <v>973</v>
      </c>
      <c r="B453" s="2">
        <v>126</v>
      </c>
      <c r="C453" s="2" t="s">
        <v>6</v>
      </c>
      <c r="D453" s="2">
        <v>1</v>
      </c>
    </row>
    <row r="454" spans="1:4" x14ac:dyDescent="0.2">
      <c r="A454" s="1">
        <v>973</v>
      </c>
      <c r="B454" s="2">
        <v>686</v>
      </c>
      <c r="C454" s="2" t="s">
        <v>5</v>
      </c>
      <c r="D454" s="2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B5E9-31D5-9043-96B9-C90F75CA9EFB}">
  <dimension ref="A1:J454"/>
  <sheetViews>
    <sheetView tabSelected="1" workbookViewId="0">
      <selection sqref="A1:D454"/>
    </sheetView>
  </sheetViews>
  <sheetFormatPr baseColWidth="10" defaultRowHeight="16" x14ac:dyDescent="0.2"/>
  <sheetData>
    <row r="1" spans="1:10" x14ac:dyDescent="0.2">
      <c r="A1" s="1" t="s">
        <v>2</v>
      </c>
      <c r="B1" s="1" t="s">
        <v>0</v>
      </c>
      <c r="C1" s="1" t="s">
        <v>3</v>
      </c>
      <c r="D1" s="1" t="s">
        <v>4</v>
      </c>
      <c r="E1" s="1"/>
      <c r="F1" s="1"/>
      <c r="G1" s="1"/>
      <c r="H1" s="1"/>
      <c r="I1" s="1"/>
      <c r="J1" s="1"/>
    </row>
    <row r="2" spans="1:10" x14ac:dyDescent="0.2">
      <c r="A2" s="1">
        <v>158</v>
      </c>
      <c r="B2" s="2">
        <v>710</v>
      </c>
      <c r="C2" s="2" t="s">
        <v>5</v>
      </c>
      <c r="D2" s="2">
        <v>2</v>
      </c>
      <c r="E2" s="3"/>
      <c r="F2" s="3"/>
      <c r="G2" s="3"/>
      <c r="H2" s="3"/>
      <c r="I2" s="3"/>
      <c r="J2" s="3"/>
    </row>
    <row r="3" spans="1:10" x14ac:dyDescent="0.2">
      <c r="A3" s="1">
        <v>973</v>
      </c>
      <c r="B3" s="2">
        <v>664</v>
      </c>
      <c r="C3" s="2" t="s">
        <v>6</v>
      </c>
      <c r="D3" s="2">
        <v>1</v>
      </c>
      <c r="E3" s="3"/>
      <c r="F3" s="3"/>
      <c r="G3" s="2"/>
      <c r="H3" s="3"/>
      <c r="I3" s="2"/>
      <c r="J3" s="1"/>
    </row>
    <row r="4" spans="1:10" x14ac:dyDescent="0.2">
      <c r="A4" s="1">
        <v>900</v>
      </c>
      <c r="B4" s="2">
        <v>710</v>
      </c>
      <c r="C4" s="2" t="s">
        <v>5</v>
      </c>
      <c r="D4" s="2">
        <v>1</v>
      </c>
      <c r="E4" s="3"/>
      <c r="F4" s="3"/>
      <c r="G4" s="2"/>
      <c r="H4" s="2"/>
      <c r="I4" s="2"/>
      <c r="J4" s="1"/>
    </row>
    <row r="5" spans="1:10" x14ac:dyDescent="0.2">
      <c r="A5" s="1">
        <v>674</v>
      </c>
      <c r="B5" s="2">
        <v>664</v>
      </c>
      <c r="C5" s="2" t="s">
        <v>7</v>
      </c>
      <c r="D5" s="2">
        <v>1</v>
      </c>
      <c r="E5" s="3"/>
      <c r="F5" s="3"/>
      <c r="G5" s="3"/>
      <c r="H5" s="2"/>
      <c r="I5" s="3"/>
      <c r="J5" s="1"/>
    </row>
    <row r="6" spans="1:10" x14ac:dyDescent="0.2">
      <c r="A6" s="1">
        <v>972</v>
      </c>
      <c r="B6" s="2">
        <v>710</v>
      </c>
      <c r="C6" s="2" t="s">
        <v>5</v>
      </c>
      <c r="D6" s="2">
        <v>3</v>
      </c>
      <c r="E6" s="2"/>
      <c r="F6" s="3"/>
      <c r="G6" s="3"/>
      <c r="H6" s="2"/>
      <c r="I6" s="3"/>
      <c r="J6" s="1"/>
    </row>
    <row r="7" spans="1:10" x14ac:dyDescent="0.2">
      <c r="A7" s="1">
        <v>377</v>
      </c>
      <c r="B7" s="2">
        <v>707</v>
      </c>
      <c r="C7" s="2" t="s">
        <v>6</v>
      </c>
      <c r="D7" s="2">
        <v>1</v>
      </c>
      <c r="E7" s="3"/>
      <c r="F7" s="2"/>
      <c r="G7" s="3"/>
      <c r="H7" s="2"/>
      <c r="I7" s="2"/>
      <c r="J7" s="1"/>
    </row>
    <row r="8" spans="1:10" x14ac:dyDescent="0.2">
      <c r="A8" s="1">
        <v>377</v>
      </c>
      <c r="B8" s="2">
        <v>664</v>
      </c>
      <c r="C8" s="2" t="s">
        <v>6</v>
      </c>
      <c r="D8" s="2">
        <v>2</v>
      </c>
      <c r="E8" s="3"/>
      <c r="F8" s="3"/>
      <c r="G8" s="2"/>
      <c r="H8" s="2"/>
      <c r="I8" s="2"/>
      <c r="J8" s="1"/>
    </row>
    <row r="9" spans="1:10" x14ac:dyDescent="0.2">
      <c r="A9" s="1">
        <v>377</v>
      </c>
      <c r="B9" s="2">
        <v>664</v>
      </c>
      <c r="C9" s="2" t="s">
        <v>6</v>
      </c>
      <c r="D9" s="2">
        <v>1</v>
      </c>
      <c r="E9" s="3"/>
      <c r="F9" s="3"/>
      <c r="G9" s="2"/>
      <c r="H9" s="3"/>
      <c r="I9" s="3"/>
      <c r="J9" s="1"/>
    </row>
    <row r="10" spans="1:10" x14ac:dyDescent="0.2">
      <c r="A10" s="1">
        <v>523</v>
      </c>
      <c r="B10" s="2">
        <v>664</v>
      </c>
      <c r="C10" s="2" t="s">
        <v>6</v>
      </c>
      <c r="D10" s="2">
        <v>1</v>
      </c>
      <c r="E10" s="2"/>
      <c r="F10" s="3"/>
      <c r="G10" s="3"/>
      <c r="H10" s="3"/>
      <c r="I10" s="3"/>
      <c r="J10" s="1"/>
    </row>
    <row r="11" spans="1:10" x14ac:dyDescent="0.2">
      <c r="A11" s="1">
        <v>902</v>
      </c>
      <c r="B11" s="2">
        <v>664</v>
      </c>
      <c r="C11" s="2" t="s">
        <v>7</v>
      </c>
      <c r="D11" s="2">
        <v>1</v>
      </c>
    </row>
    <row r="12" spans="1:10" x14ac:dyDescent="0.2">
      <c r="A12" s="1">
        <v>585</v>
      </c>
      <c r="B12" s="2">
        <v>664</v>
      </c>
      <c r="C12" s="2" t="s">
        <v>5</v>
      </c>
      <c r="D12" s="2">
        <v>3</v>
      </c>
    </row>
    <row r="13" spans="1:10" x14ac:dyDescent="0.2">
      <c r="A13" s="1">
        <v>585</v>
      </c>
      <c r="B13" s="2">
        <v>710</v>
      </c>
      <c r="C13" s="2" t="s">
        <v>5</v>
      </c>
      <c r="D13" s="2">
        <v>1</v>
      </c>
    </row>
    <row r="14" spans="1:10" x14ac:dyDescent="0.2">
      <c r="A14" s="1">
        <v>892</v>
      </c>
      <c r="B14" s="2">
        <v>664</v>
      </c>
      <c r="C14" s="2" t="s">
        <v>6</v>
      </c>
      <c r="D14" s="2">
        <v>1</v>
      </c>
    </row>
    <row r="15" spans="1:10" x14ac:dyDescent="0.2">
      <c r="A15" s="1">
        <v>892</v>
      </c>
      <c r="B15" s="2">
        <v>664</v>
      </c>
      <c r="C15" s="2" t="s">
        <v>6</v>
      </c>
      <c r="D15" s="2">
        <v>1</v>
      </c>
    </row>
    <row r="16" spans="1:10" x14ac:dyDescent="0.2">
      <c r="A16" s="1">
        <v>750</v>
      </c>
      <c r="B16" s="2">
        <v>710</v>
      </c>
      <c r="C16" s="2" t="s">
        <v>5</v>
      </c>
      <c r="D16" s="2">
        <v>2</v>
      </c>
    </row>
    <row r="17" spans="1:4" x14ac:dyDescent="0.2">
      <c r="A17" s="1">
        <v>750</v>
      </c>
      <c r="B17" s="2">
        <v>710</v>
      </c>
      <c r="C17" s="2" t="s">
        <v>5</v>
      </c>
      <c r="D17" s="2">
        <v>1</v>
      </c>
    </row>
    <row r="18" spans="1:4" x14ac:dyDescent="0.2">
      <c r="A18" s="1">
        <v>638</v>
      </c>
      <c r="B18" s="2">
        <v>710</v>
      </c>
      <c r="C18" s="2" t="s">
        <v>5</v>
      </c>
      <c r="D18" s="2">
        <v>2</v>
      </c>
    </row>
    <row r="19" spans="1:4" x14ac:dyDescent="0.2">
      <c r="A19" s="1">
        <v>619</v>
      </c>
      <c r="B19" s="2">
        <v>664</v>
      </c>
      <c r="C19" s="2" t="s">
        <v>6</v>
      </c>
      <c r="D19" s="2">
        <v>1</v>
      </c>
    </row>
    <row r="20" spans="1:4" x14ac:dyDescent="0.2">
      <c r="A20" s="1">
        <v>619</v>
      </c>
      <c r="B20" s="2">
        <v>664</v>
      </c>
      <c r="C20" s="2" t="s">
        <v>6</v>
      </c>
      <c r="D20" s="2">
        <v>1</v>
      </c>
    </row>
    <row r="21" spans="1:4" x14ac:dyDescent="0.2">
      <c r="A21" s="1">
        <v>661</v>
      </c>
      <c r="B21" s="2">
        <v>664</v>
      </c>
      <c r="C21" s="2" t="s">
        <v>7</v>
      </c>
      <c r="D21" s="2">
        <v>1</v>
      </c>
    </row>
    <row r="22" spans="1:4" x14ac:dyDescent="0.2">
      <c r="A22" s="1">
        <v>691</v>
      </c>
      <c r="B22" s="2">
        <v>710</v>
      </c>
      <c r="C22" s="2" t="s">
        <v>5</v>
      </c>
      <c r="D22" s="2">
        <v>3</v>
      </c>
    </row>
    <row r="23" spans="1:4" x14ac:dyDescent="0.2">
      <c r="A23" s="1">
        <v>794</v>
      </c>
      <c r="B23" s="2">
        <v>707</v>
      </c>
      <c r="C23" s="2" t="s">
        <v>6</v>
      </c>
      <c r="D23" s="2">
        <v>1</v>
      </c>
    </row>
    <row r="24" spans="1:4" x14ac:dyDescent="0.2">
      <c r="A24" s="1">
        <v>794</v>
      </c>
      <c r="B24" s="2">
        <v>664</v>
      </c>
      <c r="C24" s="2" t="s">
        <v>6</v>
      </c>
      <c r="D24" s="2">
        <v>2</v>
      </c>
    </row>
    <row r="25" spans="1:4" x14ac:dyDescent="0.2">
      <c r="A25" s="1">
        <v>794</v>
      </c>
      <c r="B25" s="2">
        <v>664</v>
      </c>
      <c r="C25" s="2" t="s">
        <v>6</v>
      </c>
      <c r="D25" s="2">
        <v>1</v>
      </c>
    </row>
    <row r="26" spans="1:4" x14ac:dyDescent="0.2">
      <c r="A26" s="1">
        <v>395</v>
      </c>
      <c r="B26" s="2">
        <v>664</v>
      </c>
      <c r="C26" s="2" t="s">
        <v>6</v>
      </c>
      <c r="D26" s="2">
        <v>1</v>
      </c>
    </row>
    <row r="27" spans="1:4" x14ac:dyDescent="0.2">
      <c r="A27" s="1">
        <v>395</v>
      </c>
      <c r="B27" s="2">
        <v>664</v>
      </c>
      <c r="C27" s="2" t="s">
        <v>6</v>
      </c>
      <c r="D27" s="2">
        <v>1</v>
      </c>
    </row>
    <row r="28" spans="1:4" x14ac:dyDescent="0.2">
      <c r="A28" s="1">
        <v>715</v>
      </c>
      <c r="B28" s="2">
        <v>682</v>
      </c>
      <c r="C28" s="2" t="s">
        <v>6</v>
      </c>
      <c r="D28" s="2">
        <v>1</v>
      </c>
    </row>
    <row r="29" spans="1:4" x14ac:dyDescent="0.2">
      <c r="A29" s="1">
        <v>715</v>
      </c>
      <c r="B29" s="2">
        <v>664</v>
      </c>
      <c r="C29" s="2" t="s">
        <v>6</v>
      </c>
      <c r="D29" s="2">
        <v>1</v>
      </c>
    </row>
    <row r="30" spans="1:4" x14ac:dyDescent="0.2">
      <c r="A30" s="1">
        <v>301</v>
      </c>
      <c r="B30" s="2">
        <v>664</v>
      </c>
      <c r="C30" s="2" t="s">
        <v>6</v>
      </c>
      <c r="D30" s="2">
        <v>1</v>
      </c>
    </row>
    <row r="31" spans="1:4" x14ac:dyDescent="0.2">
      <c r="A31" s="1">
        <v>301</v>
      </c>
      <c r="B31" s="2">
        <v>664</v>
      </c>
      <c r="C31" s="2" t="s">
        <v>6</v>
      </c>
      <c r="D31" s="2">
        <v>1</v>
      </c>
    </row>
    <row r="32" spans="1:4" x14ac:dyDescent="0.2">
      <c r="A32" s="1">
        <v>961</v>
      </c>
      <c r="B32" s="2">
        <v>664</v>
      </c>
      <c r="C32" s="2" t="s">
        <v>6</v>
      </c>
      <c r="D32" s="2">
        <v>1</v>
      </c>
    </row>
    <row r="33" spans="1:4" x14ac:dyDescent="0.2">
      <c r="A33" s="1">
        <v>202</v>
      </c>
      <c r="B33" s="2">
        <v>664</v>
      </c>
      <c r="C33" s="2" t="s">
        <v>6</v>
      </c>
      <c r="D33" s="2">
        <v>1</v>
      </c>
    </row>
    <row r="34" spans="1:4" x14ac:dyDescent="0.2">
      <c r="A34" s="1">
        <v>217</v>
      </c>
      <c r="B34" s="2">
        <v>664</v>
      </c>
      <c r="C34" s="2" t="s">
        <v>6</v>
      </c>
      <c r="D34" s="2">
        <v>1</v>
      </c>
    </row>
    <row r="35" spans="1:4" x14ac:dyDescent="0.2">
      <c r="A35" s="1">
        <v>568</v>
      </c>
      <c r="B35" s="2">
        <v>710</v>
      </c>
      <c r="C35" s="2" t="s">
        <v>5</v>
      </c>
      <c r="D35" s="2">
        <v>2</v>
      </c>
    </row>
    <row r="36" spans="1:4" x14ac:dyDescent="0.2">
      <c r="A36" s="1">
        <v>843</v>
      </c>
      <c r="B36" s="2">
        <v>664</v>
      </c>
      <c r="C36" s="2" t="s">
        <v>7</v>
      </c>
      <c r="D36" s="2">
        <v>1</v>
      </c>
    </row>
    <row r="37" spans="1:4" x14ac:dyDescent="0.2">
      <c r="A37" s="1">
        <v>877</v>
      </c>
      <c r="B37" s="2">
        <v>664</v>
      </c>
      <c r="C37" s="2" t="s">
        <v>6</v>
      </c>
      <c r="D37" s="2">
        <v>1</v>
      </c>
    </row>
    <row r="38" spans="1:4" x14ac:dyDescent="0.2">
      <c r="A38" s="1">
        <v>862</v>
      </c>
      <c r="B38" s="2">
        <v>664</v>
      </c>
      <c r="C38" s="2" t="s">
        <v>6</v>
      </c>
      <c r="D38" s="2">
        <v>2</v>
      </c>
    </row>
    <row r="39" spans="1:4" x14ac:dyDescent="0.2">
      <c r="A39" s="1">
        <v>862</v>
      </c>
      <c r="B39" s="2">
        <v>664</v>
      </c>
      <c r="C39" s="2" t="s">
        <v>6</v>
      </c>
      <c r="D39" s="2">
        <v>2</v>
      </c>
    </row>
    <row r="40" spans="1:4" x14ac:dyDescent="0.2">
      <c r="A40" s="1">
        <v>255</v>
      </c>
      <c r="B40" s="2">
        <v>710</v>
      </c>
      <c r="C40" s="2" t="s">
        <v>5</v>
      </c>
      <c r="D40" s="2">
        <v>1</v>
      </c>
    </row>
    <row r="41" spans="1:4" x14ac:dyDescent="0.2">
      <c r="A41" s="1">
        <v>771</v>
      </c>
      <c r="B41" s="2">
        <v>664</v>
      </c>
      <c r="C41" s="2" t="s">
        <v>6</v>
      </c>
      <c r="D41" s="2">
        <v>2</v>
      </c>
    </row>
    <row r="42" spans="1:4" x14ac:dyDescent="0.2">
      <c r="A42" s="1">
        <v>771</v>
      </c>
      <c r="B42" s="2">
        <v>664</v>
      </c>
      <c r="C42" s="2" t="s">
        <v>6</v>
      </c>
      <c r="D42" s="2">
        <v>2</v>
      </c>
    </row>
    <row r="43" spans="1:4" x14ac:dyDescent="0.2">
      <c r="A43" s="1">
        <v>31</v>
      </c>
      <c r="B43" s="2">
        <v>710</v>
      </c>
      <c r="C43" s="2" t="s">
        <v>5</v>
      </c>
      <c r="D43" s="2">
        <v>3</v>
      </c>
    </row>
    <row r="44" spans="1:4" x14ac:dyDescent="0.2">
      <c r="A44" s="1">
        <v>31</v>
      </c>
      <c r="B44" s="2">
        <v>664</v>
      </c>
      <c r="C44" s="2" t="s">
        <v>5</v>
      </c>
      <c r="D44" s="2">
        <v>16</v>
      </c>
    </row>
    <row r="45" spans="1:4" x14ac:dyDescent="0.2">
      <c r="A45" s="1">
        <v>667</v>
      </c>
      <c r="B45" s="2">
        <v>707</v>
      </c>
      <c r="C45" s="2" t="s">
        <v>6</v>
      </c>
      <c r="D45" s="2">
        <v>1</v>
      </c>
    </row>
    <row r="46" spans="1:4" x14ac:dyDescent="0.2">
      <c r="A46" s="1">
        <v>667</v>
      </c>
      <c r="B46" s="2">
        <v>664</v>
      </c>
      <c r="C46" s="2" t="s">
        <v>6</v>
      </c>
      <c r="D46" s="2">
        <v>2</v>
      </c>
    </row>
    <row r="47" spans="1:4" x14ac:dyDescent="0.2">
      <c r="A47" s="1">
        <v>667</v>
      </c>
      <c r="B47" s="2">
        <v>664</v>
      </c>
      <c r="C47" s="2" t="s">
        <v>6</v>
      </c>
      <c r="D47" s="2">
        <v>1</v>
      </c>
    </row>
    <row r="48" spans="1:4" x14ac:dyDescent="0.2">
      <c r="A48" s="1">
        <v>806</v>
      </c>
      <c r="B48" s="2">
        <v>664</v>
      </c>
      <c r="C48" s="2" t="s">
        <v>6</v>
      </c>
      <c r="D48" s="2">
        <v>1</v>
      </c>
    </row>
    <row r="49" spans="1:4" x14ac:dyDescent="0.2">
      <c r="A49" s="1">
        <v>427</v>
      </c>
      <c r="B49" s="2">
        <v>664</v>
      </c>
      <c r="C49" s="2" t="s">
        <v>6</v>
      </c>
      <c r="D49" s="2">
        <v>1</v>
      </c>
    </row>
    <row r="50" spans="1:4" x14ac:dyDescent="0.2">
      <c r="A50" s="1">
        <v>427</v>
      </c>
      <c r="B50" s="2">
        <v>664</v>
      </c>
      <c r="C50" s="2" t="s">
        <v>6</v>
      </c>
      <c r="D50" s="2">
        <v>1</v>
      </c>
    </row>
    <row r="51" spans="1:4" x14ac:dyDescent="0.2">
      <c r="A51" s="1">
        <v>944</v>
      </c>
      <c r="B51" s="2">
        <v>710</v>
      </c>
      <c r="C51" s="2" t="s">
        <v>5</v>
      </c>
      <c r="D51" s="2">
        <v>1</v>
      </c>
    </row>
    <row r="52" spans="1:4" x14ac:dyDescent="0.2">
      <c r="A52" s="1">
        <v>688</v>
      </c>
      <c r="B52" s="2">
        <v>710</v>
      </c>
      <c r="C52" s="2" t="s">
        <v>5</v>
      </c>
      <c r="D52" s="2">
        <v>2</v>
      </c>
    </row>
    <row r="53" spans="1:4" x14ac:dyDescent="0.2">
      <c r="A53" s="1">
        <v>125</v>
      </c>
      <c r="B53" s="2">
        <v>707</v>
      </c>
      <c r="C53" s="2" t="s">
        <v>6</v>
      </c>
      <c r="D53" s="2">
        <v>1</v>
      </c>
    </row>
    <row r="54" spans="1:4" x14ac:dyDescent="0.2">
      <c r="A54" s="1">
        <v>125</v>
      </c>
      <c r="B54" s="2">
        <v>664</v>
      </c>
      <c r="C54" s="2" t="s">
        <v>6</v>
      </c>
      <c r="D54" s="2">
        <v>2</v>
      </c>
    </row>
    <row r="55" spans="1:4" x14ac:dyDescent="0.2">
      <c r="A55" s="1">
        <v>125</v>
      </c>
      <c r="B55" s="2">
        <v>664</v>
      </c>
      <c r="C55" s="2" t="s">
        <v>6</v>
      </c>
      <c r="D55" s="2">
        <v>1</v>
      </c>
    </row>
    <row r="56" spans="1:4" x14ac:dyDescent="0.2">
      <c r="A56" s="1">
        <v>387</v>
      </c>
      <c r="B56" s="2">
        <v>707</v>
      </c>
      <c r="C56" s="2" t="s">
        <v>6</v>
      </c>
      <c r="D56" s="2">
        <v>1</v>
      </c>
    </row>
    <row r="57" spans="1:4" x14ac:dyDescent="0.2">
      <c r="A57" s="1">
        <v>387</v>
      </c>
      <c r="B57" s="2">
        <v>664</v>
      </c>
      <c r="C57" s="2" t="s">
        <v>6</v>
      </c>
      <c r="D57" s="2">
        <v>2</v>
      </c>
    </row>
    <row r="58" spans="1:4" x14ac:dyDescent="0.2">
      <c r="A58" s="1">
        <v>387</v>
      </c>
      <c r="B58" s="2">
        <v>664</v>
      </c>
      <c r="C58" s="2" t="s">
        <v>6</v>
      </c>
      <c r="D58" s="2">
        <v>1</v>
      </c>
    </row>
    <row r="59" spans="1:4" x14ac:dyDescent="0.2">
      <c r="A59" s="1">
        <v>792</v>
      </c>
      <c r="B59" s="2">
        <v>664</v>
      </c>
      <c r="C59" s="2" t="s">
        <v>5</v>
      </c>
      <c r="D59" s="2">
        <v>1</v>
      </c>
    </row>
    <row r="60" spans="1:4" x14ac:dyDescent="0.2">
      <c r="A60" s="1">
        <v>456</v>
      </c>
      <c r="B60" s="2">
        <v>664</v>
      </c>
      <c r="C60" s="2" t="s">
        <v>6</v>
      </c>
      <c r="D60" s="2">
        <v>1</v>
      </c>
    </row>
    <row r="61" spans="1:4" x14ac:dyDescent="0.2">
      <c r="A61" s="1">
        <v>653</v>
      </c>
      <c r="B61" s="2">
        <v>710</v>
      </c>
      <c r="C61" s="2" t="s">
        <v>5</v>
      </c>
      <c r="D61" s="2">
        <v>3</v>
      </c>
    </row>
    <row r="62" spans="1:4" x14ac:dyDescent="0.2">
      <c r="A62" s="1">
        <v>735</v>
      </c>
      <c r="B62" s="2">
        <v>682</v>
      </c>
      <c r="C62" s="2" t="s">
        <v>7</v>
      </c>
      <c r="D62" s="2">
        <v>1</v>
      </c>
    </row>
    <row r="63" spans="1:4" x14ac:dyDescent="0.2">
      <c r="A63" s="1">
        <v>208</v>
      </c>
      <c r="B63" s="2">
        <v>710</v>
      </c>
      <c r="C63" s="2" t="s">
        <v>5</v>
      </c>
      <c r="D63" s="2">
        <v>2</v>
      </c>
    </row>
    <row r="64" spans="1:4" x14ac:dyDescent="0.2">
      <c r="A64" s="1">
        <v>708</v>
      </c>
      <c r="B64" s="2">
        <v>664</v>
      </c>
      <c r="C64" s="2" t="s">
        <v>6</v>
      </c>
      <c r="D64" s="2">
        <v>1</v>
      </c>
    </row>
    <row r="65" spans="1:4" x14ac:dyDescent="0.2">
      <c r="A65" s="1">
        <v>131</v>
      </c>
      <c r="B65" s="2">
        <v>664</v>
      </c>
      <c r="C65" s="2" t="s">
        <v>6</v>
      </c>
      <c r="D65" s="2">
        <v>1</v>
      </c>
    </row>
    <row r="66" spans="1:4" x14ac:dyDescent="0.2">
      <c r="A66" s="1">
        <v>131</v>
      </c>
      <c r="B66" s="2">
        <v>664</v>
      </c>
      <c r="C66" s="2" t="s">
        <v>6</v>
      </c>
      <c r="D66" s="2">
        <v>1</v>
      </c>
    </row>
    <row r="67" spans="1:4" x14ac:dyDescent="0.2">
      <c r="A67" s="1">
        <v>131</v>
      </c>
      <c r="B67" s="2">
        <v>664</v>
      </c>
      <c r="C67" s="2" t="s">
        <v>6</v>
      </c>
      <c r="D67" s="2">
        <v>1</v>
      </c>
    </row>
    <row r="68" spans="1:4" x14ac:dyDescent="0.2">
      <c r="A68" s="1">
        <v>480</v>
      </c>
      <c r="B68" s="2">
        <v>664</v>
      </c>
      <c r="C68" s="2" t="s">
        <v>7</v>
      </c>
      <c r="D68" s="2">
        <v>1</v>
      </c>
    </row>
    <row r="69" spans="1:4" x14ac:dyDescent="0.2">
      <c r="A69" s="1">
        <v>903</v>
      </c>
      <c r="B69" s="2">
        <v>682</v>
      </c>
      <c r="C69" s="2" t="s">
        <v>7</v>
      </c>
      <c r="D69" s="2">
        <v>1</v>
      </c>
    </row>
    <row r="70" spans="1:4" x14ac:dyDescent="0.2">
      <c r="A70" s="1">
        <v>463</v>
      </c>
      <c r="B70" s="2">
        <v>710</v>
      </c>
      <c r="C70" s="2" t="s">
        <v>5</v>
      </c>
      <c r="D70" s="2">
        <v>2</v>
      </c>
    </row>
    <row r="71" spans="1:4" x14ac:dyDescent="0.2">
      <c r="A71" s="1">
        <v>226</v>
      </c>
      <c r="B71" s="2">
        <v>664</v>
      </c>
      <c r="C71" s="2" t="s">
        <v>5</v>
      </c>
      <c r="D71" s="2">
        <v>1</v>
      </c>
    </row>
    <row r="72" spans="1:4" x14ac:dyDescent="0.2">
      <c r="A72" s="1">
        <v>226</v>
      </c>
      <c r="B72" s="2">
        <v>664</v>
      </c>
      <c r="C72" s="2" t="s">
        <v>5</v>
      </c>
      <c r="D72" s="2">
        <v>1</v>
      </c>
    </row>
    <row r="73" spans="1:4" x14ac:dyDescent="0.2">
      <c r="A73" s="1">
        <v>386</v>
      </c>
      <c r="B73" s="2">
        <v>664</v>
      </c>
      <c r="C73" s="2" t="s">
        <v>6</v>
      </c>
      <c r="D73" s="2">
        <v>1</v>
      </c>
    </row>
    <row r="74" spans="1:4" x14ac:dyDescent="0.2">
      <c r="A74" s="1">
        <v>386</v>
      </c>
      <c r="B74" s="2">
        <v>664</v>
      </c>
      <c r="C74" s="2" t="s">
        <v>6</v>
      </c>
      <c r="D74" s="2">
        <v>1</v>
      </c>
    </row>
    <row r="75" spans="1:4" x14ac:dyDescent="0.2">
      <c r="A75" s="1">
        <v>386</v>
      </c>
      <c r="B75" s="2">
        <v>664</v>
      </c>
      <c r="C75" s="2" t="s">
        <v>6</v>
      </c>
      <c r="D75" s="2">
        <v>1</v>
      </c>
    </row>
    <row r="76" spans="1:4" x14ac:dyDescent="0.2">
      <c r="A76" s="1">
        <v>715</v>
      </c>
      <c r="B76" s="2">
        <v>710</v>
      </c>
      <c r="C76" s="2" t="s">
        <v>5</v>
      </c>
      <c r="D76" s="2">
        <v>1</v>
      </c>
    </row>
    <row r="77" spans="1:4" x14ac:dyDescent="0.2">
      <c r="A77" s="1">
        <v>689</v>
      </c>
      <c r="B77" s="2">
        <v>710</v>
      </c>
      <c r="C77" s="2" t="s">
        <v>5</v>
      </c>
      <c r="D77" s="2">
        <v>1</v>
      </c>
    </row>
    <row r="78" spans="1:4" x14ac:dyDescent="0.2">
      <c r="A78" s="1">
        <v>497</v>
      </c>
      <c r="B78" s="2">
        <v>710</v>
      </c>
      <c r="C78" s="2" t="s">
        <v>5</v>
      </c>
      <c r="D78" s="2">
        <v>6</v>
      </c>
    </row>
    <row r="79" spans="1:4" x14ac:dyDescent="0.2">
      <c r="A79" s="1">
        <v>699</v>
      </c>
      <c r="B79" s="2">
        <v>664</v>
      </c>
      <c r="C79" s="2" t="s">
        <v>6</v>
      </c>
      <c r="D79" s="2">
        <v>4</v>
      </c>
    </row>
    <row r="80" spans="1:4" x14ac:dyDescent="0.2">
      <c r="A80" s="1">
        <v>758</v>
      </c>
      <c r="B80" s="2">
        <v>710</v>
      </c>
      <c r="C80" s="2" t="s">
        <v>5</v>
      </c>
      <c r="D80" s="2">
        <v>5</v>
      </c>
    </row>
    <row r="81" spans="1:4" x14ac:dyDescent="0.2">
      <c r="A81" s="1">
        <v>758</v>
      </c>
      <c r="B81" s="2">
        <v>710</v>
      </c>
      <c r="C81" s="2" t="s">
        <v>5</v>
      </c>
      <c r="D81" s="2">
        <v>4</v>
      </c>
    </row>
    <row r="82" spans="1:4" x14ac:dyDescent="0.2">
      <c r="A82" s="1">
        <v>620</v>
      </c>
      <c r="B82" s="2">
        <v>710</v>
      </c>
      <c r="C82" s="2" t="s">
        <v>5</v>
      </c>
      <c r="D82" s="2">
        <v>4</v>
      </c>
    </row>
    <row r="83" spans="1:4" x14ac:dyDescent="0.2">
      <c r="A83" s="1">
        <v>620</v>
      </c>
      <c r="B83" s="2">
        <v>710</v>
      </c>
      <c r="C83" s="2" t="s">
        <v>5</v>
      </c>
      <c r="D83" s="2">
        <v>5</v>
      </c>
    </row>
    <row r="84" spans="1:4" x14ac:dyDescent="0.2">
      <c r="A84" s="1">
        <v>620</v>
      </c>
      <c r="B84" s="2">
        <v>664</v>
      </c>
      <c r="C84" s="2" t="s">
        <v>5</v>
      </c>
      <c r="D84" s="2">
        <v>2</v>
      </c>
    </row>
    <row r="85" spans="1:4" x14ac:dyDescent="0.2">
      <c r="A85" s="1">
        <v>315</v>
      </c>
      <c r="B85" s="2">
        <v>664</v>
      </c>
      <c r="C85" s="2" t="s">
        <v>6</v>
      </c>
      <c r="D85" s="2">
        <v>1</v>
      </c>
    </row>
    <row r="86" spans="1:4" x14ac:dyDescent="0.2">
      <c r="A86" s="1">
        <v>315</v>
      </c>
      <c r="B86" s="2">
        <v>664</v>
      </c>
      <c r="C86" s="2" t="s">
        <v>6</v>
      </c>
      <c r="D86" s="2">
        <v>1</v>
      </c>
    </row>
    <row r="87" spans="1:4" x14ac:dyDescent="0.2">
      <c r="A87" s="1">
        <v>315</v>
      </c>
      <c r="B87" s="2">
        <v>664</v>
      </c>
      <c r="C87" s="2" t="s">
        <v>6</v>
      </c>
      <c r="D87" s="2">
        <v>1</v>
      </c>
    </row>
    <row r="88" spans="1:4" x14ac:dyDescent="0.2">
      <c r="A88" s="1">
        <v>748</v>
      </c>
      <c r="B88" s="2">
        <v>710</v>
      </c>
      <c r="C88" s="2" t="s">
        <v>5</v>
      </c>
      <c r="D88" s="2">
        <v>4</v>
      </c>
    </row>
    <row r="89" spans="1:4" x14ac:dyDescent="0.2">
      <c r="A89" s="1">
        <v>748</v>
      </c>
      <c r="B89" s="2">
        <v>710</v>
      </c>
      <c r="C89" s="2" t="s">
        <v>5</v>
      </c>
      <c r="D89" s="2">
        <v>3</v>
      </c>
    </row>
    <row r="90" spans="1:4" x14ac:dyDescent="0.2">
      <c r="A90" s="1">
        <v>812</v>
      </c>
      <c r="B90" s="2">
        <v>664</v>
      </c>
      <c r="C90" s="2" t="s">
        <v>6</v>
      </c>
      <c r="D90" s="2">
        <v>1</v>
      </c>
    </row>
    <row r="91" spans="1:4" x14ac:dyDescent="0.2">
      <c r="A91" s="1">
        <v>812</v>
      </c>
      <c r="B91" s="2">
        <v>664</v>
      </c>
      <c r="C91" s="2" t="s">
        <v>6</v>
      </c>
      <c r="D91" s="2">
        <v>1</v>
      </c>
    </row>
    <row r="92" spans="1:4" x14ac:dyDescent="0.2">
      <c r="A92" s="1">
        <v>812</v>
      </c>
      <c r="B92" s="2">
        <v>664</v>
      </c>
      <c r="C92" s="2" t="s">
        <v>6</v>
      </c>
      <c r="D92" s="2">
        <v>1</v>
      </c>
    </row>
    <row r="93" spans="1:4" x14ac:dyDescent="0.2">
      <c r="A93" s="1">
        <v>361</v>
      </c>
      <c r="B93" s="2">
        <v>710</v>
      </c>
      <c r="C93" s="2" t="s">
        <v>5</v>
      </c>
      <c r="D93" s="2">
        <v>2</v>
      </c>
    </row>
    <row r="94" spans="1:4" x14ac:dyDescent="0.2">
      <c r="A94" s="1">
        <v>927</v>
      </c>
      <c r="B94" s="2">
        <v>710</v>
      </c>
      <c r="C94" s="2" t="s">
        <v>5</v>
      </c>
      <c r="D94" s="2">
        <v>1</v>
      </c>
    </row>
    <row r="95" spans="1:4" x14ac:dyDescent="0.2">
      <c r="A95" s="1">
        <v>783</v>
      </c>
      <c r="B95" s="2">
        <v>710</v>
      </c>
      <c r="C95" s="2" t="s">
        <v>5</v>
      </c>
      <c r="D95" s="2">
        <v>6</v>
      </c>
    </row>
    <row r="96" spans="1:4" x14ac:dyDescent="0.2">
      <c r="A96" s="1">
        <v>538</v>
      </c>
      <c r="B96" s="2">
        <v>664</v>
      </c>
      <c r="C96" s="2" t="s">
        <v>6</v>
      </c>
      <c r="D96" s="2">
        <v>1</v>
      </c>
    </row>
    <row r="97" spans="1:4" x14ac:dyDescent="0.2">
      <c r="A97" s="1">
        <v>538</v>
      </c>
      <c r="B97" s="2">
        <v>664</v>
      </c>
      <c r="C97" s="2" t="s">
        <v>6</v>
      </c>
      <c r="D97" s="2">
        <v>1</v>
      </c>
    </row>
    <row r="98" spans="1:4" x14ac:dyDescent="0.2">
      <c r="A98" s="1">
        <v>538</v>
      </c>
      <c r="B98" s="2">
        <v>664</v>
      </c>
      <c r="C98" s="2" t="s">
        <v>6</v>
      </c>
      <c r="D98" s="2">
        <v>1</v>
      </c>
    </row>
    <row r="99" spans="1:4" x14ac:dyDescent="0.2">
      <c r="A99" s="1">
        <v>869</v>
      </c>
      <c r="B99" s="2">
        <v>710</v>
      </c>
      <c r="C99" s="2" t="s">
        <v>5</v>
      </c>
      <c r="D99" s="2">
        <v>2</v>
      </c>
    </row>
    <row r="100" spans="1:4" x14ac:dyDescent="0.2">
      <c r="A100" s="1">
        <v>869</v>
      </c>
      <c r="B100" s="2">
        <v>710</v>
      </c>
      <c r="C100" s="2" t="s">
        <v>5</v>
      </c>
      <c r="D100" s="2">
        <v>1</v>
      </c>
    </row>
    <row r="101" spans="1:4" x14ac:dyDescent="0.2">
      <c r="A101" s="1">
        <v>586</v>
      </c>
      <c r="B101" s="2">
        <v>664</v>
      </c>
      <c r="C101" s="2" t="s">
        <v>7</v>
      </c>
      <c r="D101" s="2">
        <v>1</v>
      </c>
    </row>
    <row r="102" spans="1:4" x14ac:dyDescent="0.2">
      <c r="A102" s="1">
        <v>421</v>
      </c>
      <c r="B102" s="2">
        <v>664</v>
      </c>
      <c r="C102" s="2" t="s">
        <v>6</v>
      </c>
      <c r="D102" s="2">
        <v>1</v>
      </c>
    </row>
    <row r="103" spans="1:4" x14ac:dyDescent="0.2">
      <c r="A103" s="1">
        <v>421</v>
      </c>
      <c r="B103" s="2">
        <v>664</v>
      </c>
      <c r="C103" s="2" t="s">
        <v>6</v>
      </c>
      <c r="D103" s="2">
        <v>1</v>
      </c>
    </row>
    <row r="104" spans="1:4" x14ac:dyDescent="0.2">
      <c r="A104" s="1">
        <v>669</v>
      </c>
      <c r="B104" s="2">
        <v>707</v>
      </c>
      <c r="C104" s="2" t="s">
        <v>6</v>
      </c>
      <c r="D104" s="2">
        <v>1</v>
      </c>
    </row>
    <row r="105" spans="1:4" x14ac:dyDescent="0.2">
      <c r="A105" s="1">
        <v>669</v>
      </c>
      <c r="B105" s="2">
        <v>664</v>
      </c>
      <c r="C105" s="2" t="s">
        <v>6</v>
      </c>
      <c r="D105" s="2">
        <v>2</v>
      </c>
    </row>
    <row r="106" spans="1:4" x14ac:dyDescent="0.2">
      <c r="A106" s="1">
        <v>669</v>
      </c>
      <c r="B106" s="2">
        <v>664</v>
      </c>
      <c r="C106" s="2" t="s">
        <v>6</v>
      </c>
      <c r="D106" s="2">
        <v>1</v>
      </c>
    </row>
    <row r="107" spans="1:4" x14ac:dyDescent="0.2">
      <c r="A107" s="1">
        <v>920</v>
      </c>
      <c r="B107" s="2">
        <v>664</v>
      </c>
      <c r="C107" s="2" t="s">
        <v>7</v>
      </c>
      <c r="D107" s="2">
        <v>4</v>
      </c>
    </row>
    <row r="108" spans="1:4" x14ac:dyDescent="0.2">
      <c r="A108" s="1">
        <v>149</v>
      </c>
      <c r="B108" s="2">
        <v>710</v>
      </c>
      <c r="C108" s="2" t="s">
        <v>5</v>
      </c>
      <c r="D108" s="2">
        <v>1</v>
      </c>
    </row>
    <row r="109" spans="1:4" x14ac:dyDescent="0.2">
      <c r="A109" s="1">
        <v>879</v>
      </c>
      <c r="B109" s="2">
        <v>664</v>
      </c>
      <c r="C109" s="2" t="s">
        <v>6</v>
      </c>
      <c r="D109" s="2">
        <v>1</v>
      </c>
    </row>
    <row r="110" spans="1:4" x14ac:dyDescent="0.2">
      <c r="A110" s="1">
        <v>879</v>
      </c>
      <c r="B110" s="2">
        <v>664</v>
      </c>
      <c r="C110" s="2" t="s">
        <v>6</v>
      </c>
      <c r="D110" s="2">
        <v>1</v>
      </c>
    </row>
    <row r="111" spans="1:4" x14ac:dyDescent="0.2">
      <c r="A111" s="1">
        <v>795</v>
      </c>
      <c r="B111" s="2">
        <v>664</v>
      </c>
      <c r="C111" s="2" t="s">
        <v>6</v>
      </c>
      <c r="D111" s="2">
        <v>1</v>
      </c>
    </row>
    <row r="112" spans="1:4" x14ac:dyDescent="0.2">
      <c r="A112" s="1">
        <v>795</v>
      </c>
      <c r="B112" s="2">
        <v>664</v>
      </c>
      <c r="C112" s="2" t="s">
        <v>6</v>
      </c>
      <c r="D112" s="2">
        <v>1</v>
      </c>
    </row>
    <row r="113" spans="1:4" x14ac:dyDescent="0.2">
      <c r="A113" s="1">
        <v>418</v>
      </c>
      <c r="B113" s="2">
        <v>710</v>
      </c>
      <c r="C113" s="2" t="s">
        <v>5</v>
      </c>
      <c r="D113" s="2">
        <v>2</v>
      </c>
    </row>
    <row r="114" spans="1:4" x14ac:dyDescent="0.2">
      <c r="A114" s="1">
        <v>418</v>
      </c>
      <c r="B114" s="2">
        <v>710</v>
      </c>
      <c r="C114" s="2" t="s">
        <v>5</v>
      </c>
      <c r="D114" s="2">
        <v>4</v>
      </c>
    </row>
    <row r="115" spans="1:4" x14ac:dyDescent="0.2">
      <c r="A115" s="1">
        <v>450</v>
      </c>
      <c r="B115" s="2">
        <v>664</v>
      </c>
      <c r="C115" s="2" t="s">
        <v>6</v>
      </c>
      <c r="D115" s="2">
        <v>1</v>
      </c>
    </row>
    <row r="116" spans="1:4" x14ac:dyDescent="0.2">
      <c r="A116" s="1">
        <v>450</v>
      </c>
      <c r="B116" s="2">
        <v>664</v>
      </c>
      <c r="C116" s="2" t="s">
        <v>6</v>
      </c>
      <c r="D116" s="2">
        <v>1</v>
      </c>
    </row>
    <row r="117" spans="1:4" x14ac:dyDescent="0.2">
      <c r="A117" s="1">
        <v>973</v>
      </c>
      <c r="B117" s="2">
        <v>710</v>
      </c>
      <c r="C117" s="2" t="s">
        <v>5</v>
      </c>
      <c r="D117" s="2">
        <v>2</v>
      </c>
    </row>
    <row r="118" spans="1:4" x14ac:dyDescent="0.2">
      <c r="A118" s="1">
        <v>368</v>
      </c>
      <c r="B118" s="2">
        <v>710</v>
      </c>
      <c r="C118" s="2" t="s">
        <v>5</v>
      </c>
      <c r="D118" s="2">
        <v>1</v>
      </c>
    </row>
    <row r="119" spans="1:4" x14ac:dyDescent="0.2">
      <c r="A119" s="1">
        <v>967</v>
      </c>
      <c r="B119" s="2">
        <v>707</v>
      </c>
      <c r="C119" s="2" t="s">
        <v>6</v>
      </c>
      <c r="D119" s="2">
        <v>1</v>
      </c>
    </row>
    <row r="120" spans="1:4" x14ac:dyDescent="0.2">
      <c r="A120" s="1">
        <v>967</v>
      </c>
      <c r="B120" s="2">
        <v>664</v>
      </c>
      <c r="C120" s="2" t="s">
        <v>6</v>
      </c>
      <c r="D120" s="2">
        <v>2</v>
      </c>
    </row>
    <row r="121" spans="1:4" x14ac:dyDescent="0.2">
      <c r="A121" s="1">
        <v>967</v>
      </c>
      <c r="B121" s="2">
        <v>664</v>
      </c>
      <c r="C121" s="2" t="s">
        <v>6</v>
      </c>
      <c r="D121" s="2">
        <v>1</v>
      </c>
    </row>
    <row r="122" spans="1:4" x14ac:dyDescent="0.2">
      <c r="A122" s="1">
        <v>584</v>
      </c>
      <c r="B122" s="2">
        <v>710</v>
      </c>
      <c r="C122" s="2" t="s">
        <v>5</v>
      </c>
      <c r="D122" s="2">
        <v>2</v>
      </c>
    </row>
    <row r="123" spans="1:4" x14ac:dyDescent="0.2">
      <c r="A123" s="1">
        <v>788</v>
      </c>
      <c r="B123" s="2">
        <v>664</v>
      </c>
      <c r="C123" s="2" t="s">
        <v>6</v>
      </c>
      <c r="D123" s="2">
        <v>1</v>
      </c>
    </row>
    <row r="124" spans="1:4" x14ac:dyDescent="0.2">
      <c r="A124" s="1">
        <v>871</v>
      </c>
      <c r="B124" s="2">
        <v>664</v>
      </c>
      <c r="C124" s="2" t="s">
        <v>6</v>
      </c>
      <c r="D124" s="2">
        <v>2</v>
      </c>
    </row>
    <row r="125" spans="1:4" x14ac:dyDescent="0.2">
      <c r="A125" s="1">
        <v>864</v>
      </c>
      <c r="B125" s="2">
        <v>664</v>
      </c>
      <c r="C125" s="2" t="s">
        <v>6</v>
      </c>
      <c r="D125" s="2">
        <v>1</v>
      </c>
    </row>
    <row r="126" spans="1:4" x14ac:dyDescent="0.2">
      <c r="A126" s="1">
        <v>262</v>
      </c>
      <c r="B126" s="2">
        <v>710</v>
      </c>
      <c r="C126" s="2" t="s">
        <v>5</v>
      </c>
      <c r="D126" s="2">
        <v>2</v>
      </c>
    </row>
    <row r="127" spans="1:4" x14ac:dyDescent="0.2">
      <c r="A127" s="1">
        <v>262</v>
      </c>
      <c r="B127" s="2">
        <v>710</v>
      </c>
      <c r="C127" s="2" t="s">
        <v>5</v>
      </c>
      <c r="D127" s="2">
        <v>4</v>
      </c>
    </row>
    <row r="128" spans="1:4" x14ac:dyDescent="0.2">
      <c r="A128" s="1">
        <v>674</v>
      </c>
      <c r="B128" s="2">
        <v>664</v>
      </c>
      <c r="C128" s="2" t="s">
        <v>6</v>
      </c>
      <c r="D128" s="2">
        <v>1</v>
      </c>
    </row>
    <row r="129" spans="1:4" x14ac:dyDescent="0.2">
      <c r="A129" s="1">
        <v>674</v>
      </c>
      <c r="B129" s="2">
        <v>664</v>
      </c>
      <c r="C129" s="2" t="s">
        <v>6</v>
      </c>
      <c r="D129" s="2">
        <v>1</v>
      </c>
    </row>
    <row r="130" spans="1:4" x14ac:dyDescent="0.2">
      <c r="A130" s="1">
        <v>64</v>
      </c>
      <c r="B130" s="2">
        <v>710</v>
      </c>
      <c r="C130" s="2" t="s">
        <v>5</v>
      </c>
      <c r="D130" s="2">
        <v>1</v>
      </c>
    </row>
    <row r="131" spans="1:4" x14ac:dyDescent="0.2">
      <c r="A131" s="1">
        <v>427</v>
      </c>
      <c r="B131" s="2">
        <v>664</v>
      </c>
      <c r="C131" s="2" t="s">
        <v>5</v>
      </c>
      <c r="D131" s="2">
        <v>6</v>
      </c>
    </row>
    <row r="132" spans="1:4" x14ac:dyDescent="0.2">
      <c r="A132" s="1">
        <v>437</v>
      </c>
      <c r="B132" s="2">
        <v>664</v>
      </c>
      <c r="C132" s="2" t="s">
        <v>5</v>
      </c>
      <c r="D132" s="2">
        <v>4</v>
      </c>
    </row>
    <row r="133" spans="1:4" x14ac:dyDescent="0.2">
      <c r="A133" s="1">
        <v>800</v>
      </c>
      <c r="B133" s="2">
        <v>664</v>
      </c>
      <c r="C133" s="2" t="s">
        <v>6</v>
      </c>
      <c r="D133" s="2">
        <v>1</v>
      </c>
    </row>
    <row r="134" spans="1:4" x14ac:dyDescent="0.2">
      <c r="A134" s="1">
        <v>800</v>
      </c>
      <c r="B134" s="2">
        <v>664</v>
      </c>
      <c r="C134" s="2" t="s">
        <v>6</v>
      </c>
      <c r="D134" s="2">
        <v>1</v>
      </c>
    </row>
    <row r="135" spans="1:4" x14ac:dyDescent="0.2">
      <c r="A135" s="1">
        <v>104</v>
      </c>
      <c r="B135" s="2">
        <v>710</v>
      </c>
      <c r="C135" s="2" t="s">
        <v>5</v>
      </c>
      <c r="D135" s="2">
        <v>1</v>
      </c>
    </row>
    <row r="136" spans="1:4" x14ac:dyDescent="0.2">
      <c r="A136" s="1">
        <v>938</v>
      </c>
      <c r="B136" s="2">
        <v>664</v>
      </c>
      <c r="C136" s="2" t="s">
        <v>7</v>
      </c>
      <c r="D136" s="2">
        <v>3</v>
      </c>
    </row>
    <row r="137" spans="1:4" x14ac:dyDescent="0.2">
      <c r="A137" s="1">
        <v>544</v>
      </c>
      <c r="B137" s="2">
        <v>664</v>
      </c>
      <c r="C137" s="2" t="s">
        <v>6</v>
      </c>
      <c r="D137" s="2">
        <v>1</v>
      </c>
    </row>
    <row r="138" spans="1:4" x14ac:dyDescent="0.2">
      <c r="A138" s="1">
        <v>544</v>
      </c>
      <c r="B138" s="2">
        <v>664</v>
      </c>
      <c r="C138" s="2" t="s">
        <v>6</v>
      </c>
      <c r="D138" s="2">
        <v>1</v>
      </c>
    </row>
    <row r="139" spans="1:4" x14ac:dyDescent="0.2">
      <c r="A139" s="1">
        <v>862</v>
      </c>
      <c r="B139" s="2">
        <v>664</v>
      </c>
      <c r="C139" s="2" t="s">
        <v>5</v>
      </c>
      <c r="D139" s="2">
        <v>2</v>
      </c>
    </row>
    <row r="140" spans="1:4" x14ac:dyDescent="0.2">
      <c r="A140" s="1">
        <v>245</v>
      </c>
      <c r="B140" s="2">
        <v>664</v>
      </c>
      <c r="C140" s="2" t="s">
        <v>7</v>
      </c>
      <c r="D140" s="2">
        <v>2</v>
      </c>
    </row>
    <row r="141" spans="1:4" x14ac:dyDescent="0.2">
      <c r="A141" s="1">
        <v>32</v>
      </c>
      <c r="B141" s="2">
        <v>710</v>
      </c>
      <c r="C141" s="2" t="s">
        <v>5</v>
      </c>
      <c r="D141" s="2">
        <v>2</v>
      </c>
    </row>
    <row r="142" spans="1:4" x14ac:dyDescent="0.2">
      <c r="A142" s="1">
        <v>50</v>
      </c>
      <c r="B142" s="2">
        <v>710</v>
      </c>
      <c r="C142" s="2" t="s">
        <v>5</v>
      </c>
      <c r="D142" s="2">
        <v>1</v>
      </c>
    </row>
    <row r="143" spans="1:4" x14ac:dyDescent="0.2">
      <c r="A143" s="1">
        <v>189</v>
      </c>
      <c r="B143" s="2">
        <v>710</v>
      </c>
      <c r="C143" s="2" t="s">
        <v>5</v>
      </c>
      <c r="D143" s="2">
        <v>1</v>
      </c>
    </row>
    <row r="144" spans="1:4" x14ac:dyDescent="0.2">
      <c r="A144" s="1">
        <v>526</v>
      </c>
      <c r="B144" s="2">
        <v>710</v>
      </c>
      <c r="C144" s="2" t="s">
        <v>5</v>
      </c>
      <c r="D144" s="2">
        <v>2</v>
      </c>
    </row>
    <row r="145" spans="1:4" x14ac:dyDescent="0.2">
      <c r="A145" s="1">
        <v>11</v>
      </c>
      <c r="B145" s="2">
        <v>707</v>
      </c>
      <c r="C145" s="2" t="s">
        <v>6</v>
      </c>
      <c r="D145" s="2">
        <v>1</v>
      </c>
    </row>
    <row r="146" spans="1:4" x14ac:dyDescent="0.2">
      <c r="A146" s="1">
        <v>11</v>
      </c>
      <c r="B146" s="2">
        <v>664</v>
      </c>
      <c r="C146" s="2" t="s">
        <v>6</v>
      </c>
      <c r="D146" s="2">
        <v>2</v>
      </c>
    </row>
    <row r="147" spans="1:4" x14ac:dyDescent="0.2">
      <c r="A147" s="1">
        <v>11</v>
      </c>
      <c r="B147" s="2">
        <v>664</v>
      </c>
      <c r="C147" s="2" t="s">
        <v>6</v>
      </c>
      <c r="D147" s="2">
        <v>1</v>
      </c>
    </row>
    <row r="148" spans="1:4" x14ac:dyDescent="0.2">
      <c r="A148" s="1">
        <v>11</v>
      </c>
      <c r="B148" s="2">
        <v>664</v>
      </c>
      <c r="C148" s="2" t="s">
        <v>6</v>
      </c>
      <c r="D148" s="2">
        <v>1</v>
      </c>
    </row>
    <row r="149" spans="1:4" x14ac:dyDescent="0.2">
      <c r="A149" s="1">
        <v>374</v>
      </c>
      <c r="B149" s="2">
        <v>664</v>
      </c>
      <c r="C149" s="2" t="s">
        <v>6</v>
      </c>
      <c r="D149" s="2">
        <v>1</v>
      </c>
    </row>
    <row r="150" spans="1:4" x14ac:dyDescent="0.2">
      <c r="A150" s="1">
        <v>866</v>
      </c>
      <c r="B150" s="2">
        <v>707</v>
      </c>
      <c r="C150" s="2" t="s">
        <v>6</v>
      </c>
      <c r="D150" s="2">
        <v>1</v>
      </c>
    </row>
    <row r="151" spans="1:4" x14ac:dyDescent="0.2">
      <c r="A151" s="1">
        <v>866</v>
      </c>
      <c r="B151" s="2">
        <v>664</v>
      </c>
      <c r="C151" s="2" t="s">
        <v>6</v>
      </c>
      <c r="D151" s="2">
        <v>2</v>
      </c>
    </row>
    <row r="152" spans="1:4" x14ac:dyDescent="0.2">
      <c r="A152" s="1">
        <v>866</v>
      </c>
      <c r="B152" s="2">
        <v>664</v>
      </c>
      <c r="C152" s="2" t="s">
        <v>6</v>
      </c>
      <c r="D152" s="2">
        <v>1</v>
      </c>
    </row>
    <row r="153" spans="1:4" x14ac:dyDescent="0.2">
      <c r="A153" s="1">
        <v>607</v>
      </c>
      <c r="B153" s="2">
        <v>664</v>
      </c>
      <c r="C153" s="2" t="s">
        <v>6</v>
      </c>
      <c r="D153" s="2">
        <v>1</v>
      </c>
    </row>
    <row r="154" spans="1:4" x14ac:dyDescent="0.2">
      <c r="A154" s="1">
        <v>607</v>
      </c>
      <c r="B154" s="2">
        <v>664</v>
      </c>
      <c r="C154" s="2" t="s">
        <v>6</v>
      </c>
      <c r="D154" s="2">
        <v>1</v>
      </c>
    </row>
    <row r="155" spans="1:4" x14ac:dyDescent="0.2">
      <c r="A155" s="1">
        <v>5</v>
      </c>
      <c r="B155" s="2">
        <v>664</v>
      </c>
      <c r="C155" s="2" t="s">
        <v>5</v>
      </c>
      <c r="D155" s="2">
        <v>2</v>
      </c>
    </row>
    <row r="156" spans="1:4" x14ac:dyDescent="0.2">
      <c r="A156" s="1">
        <v>5</v>
      </c>
      <c r="B156" s="2">
        <v>664</v>
      </c>
      <c r="C156" s="2" t="s">
        <v>5</v>
      </c>
      <c r="D156" s="2">
        <v>2</v>
      </c>
    </row>
    <row r="157" spans="1:4" x14ac:dyDescent="0.2">
      <c r="A157" s="1">
        <v>965</v>
      </c>
      <c r="B157" s="2">
        <v>664</v>
      </c>
      <c r="C157" s="2" t="s">
        <v>6</v>
      </c>
      <c r="D157" s="2">
        <v>1</v>
      </c>
    </row>
    <row r="158" spans="1:4" x14ac:dyDescent="0.2">
      <c r="A158" s="1">
        <v>965</v>
      </c>
      <c r="B158" s="2">
        <v>664</v>
      </c>
      <c r="C158" s="2" t="s">
        <v>6</v>
      </c>
      <c r="D158" s="2">
        <v>1</v>
      </c>
    </row>
    <row r="159" spans="1:4" x14ac:dyDescent="0.2">
      <c r="A159" s="1">
        <v>9</v>
      </c>
      <c r="B159" s="2">
        <v>664</v>
      </c>
      <c r="C159" s="2" t="s">
        <v>6</v>
      </c>
      <c r="D159" s="2">
        <v>1</v>
      </c>
    </row>
    <row r="160" spans="1:4" x14ac:dyDescent="0.2">
      <c r="A160" s="1">
        <v>544</v>
      </c>
      <c r="B160" s="2">
        <v>710</v>
      </c>
      <c r="C160" s="2" t="s">
        <v>5</v>
      </c>
      <c r="D160" s="2">
        <v>1</v>
      </c>
    </row>
    <row r="161" spans="1:4" x14ac:dyDescent="0.2">
      <c r="A161" s="1">
        <v>301</v>
      </c>
      <c r="B161" s="2">
        <v>710</v>
      </c>
      <c r="C161" s="2" t="s">
        <v>5</v>
      </c>
      <c r="D161" s="2">
        <v>4</v>
      </c>
    </row>
    <row r="162" spans="1:4" x14ac:dyDescent="0.2">
      <c r="A162" s="1">
        <v>310</v>
      </c>
      <c r="B162" s="2">
        <v>707</v>
      </c>
      <c r="C162" s="2" t="s">
        <v>6</v>
      </c>
      <c r="D162" s="2">
        <v>1</v>
      </c>
    </row>
    <row r="163" spans="1:4" x14ac:dyDescent="0.2">
      <c r="A163" s="1">
        <v>310</v>
      </c>
      <c r="B163" s="2">
        <v>664</v>
      </c>
      <c r="C163" s="2" t="s">
        <v>6</v>
      </c>
      <c r="D163" s="2">
        <v>2</v>
      </c>
    </row>
    <row r="164" spans="1:4" x14ac:dyDescent="0.2">
      <c r="A164" s="1">
        <v>310</v>
      </c>
      <c r="B164" s="2">
        <v>664</v>
      </c>
      <c r="C164" s="2" t="s">
        <v>6</v>
      </c>
      <c r="D164" s="2">
        <v>1</v>
      </c>
    </row>
    <row r="165" spans="1:4" x14ac:dyDescent="0.2">
      <c r="A165" s="1">
        <v>310</v>
      </c>
      <c r="B165" s="2">
        <v>664</v>
      </c>
      <c r="C165" s="2" t="s">
        <v>6</v>
      </c>
      <c r="D165" s="2">
        <v>1</v>
      </c>
    </row>
    <row r="166" spans="1:4" x14ac:dyDescent="0.2">
      <c r="A166" s="1">
        <v>785</v>
      </c>
      <c r="B166" s="2">
        <v>682</v>
      </c>
      <c r="C166" s="2" t="s">
        <v>6</v>
      </c>
      <c r="D166" s="2">
        <v>1</v>
      </c>
    </row>
    <row r="167" spans="1:4" x14ac:dyDescent="0.2">
      <c r="A167" s="1">
        <v>785</v>
      </c>
      <c r="B167" s="2">
        <v>664</v>
      </c>
      <c r="C167" s="2" t="s">
        <v>6</v>
      </c>
      <c r="D167" s="2">
        <v>1</v>
      </c>
    </row>
    <row r="168" spans="1:4" x14ac:dyDescent="0.2">
      <c r="A168" s="1">
        <v>545</v>
      </c>
      <c r="B168" s="2">
        <v>682</v>
      </c>
      <c r="C168" s="2" t="s">
        <v>7</v>
      </c>
      <c r="D168" s="2">
        <v>1</v>
      </c>
    </row>
    <row r="169" spans="1:4" x14ac:dyDescent="0.2">
      <c r="A169" s="1">
        <v>440</v>
      </c>
      <c r="B169" s="2">
        <v>664</v>
      </c>
      <c r="C169" s="2" t="s">
        <v>6</v>
      </c>
      <c r="D169" s="2">
        <v>1</v>
      </c>
    </row>
    <row r="170" spans="1:4" x14ac:dyDescent="0.2">
      <c r="A170" s="1">
        <v>440</v>
      </c>
      <c r="B170" s="2">
        <v>664</v>
      </c>
      <c r="C170" s="2" t="s">
        <v>6</v>
      </c>
      <c r="D170" s="2">
        <v>1</v>
      </c>
    </row>
    <row r="171" spans="1:4" x14ac:dyDescent="0.2">
      <c r="A171" s="1">
        <v>440</v>
      </c>
      <c r="B171" s="2">
        <v>664</v>
      </c>
      <c r="C171" s="2" t="s">
        <v>6</v>
      </c>
      <c r="D171" s="2">
        <v>2</v>
      </c>
    </row>
    <row r="172" spans="1:4" x14ac:dyDescent="0.2">
      <c r="A172" s="1">
        <v>961</v>
      </c>
      <c r="B172" s="2">
        <v>710</v>
      </c>
      <c r="C172" s="2" t="s">
        <v>5</v>
      </c>
      <c r="D172" s="2">
        <v>2</v>
      </c>
    </row>
    <row r="173" spans="1:4" x14ac:dyDescent="0.2">
      <c r="A173" s="1">
        <v>693</v>
      </c>
      <c r="B173" s="2">
        <v>664</v>
      </c>
      <c r="C173" s="2" t="s">
        <v>6</v>
      </c>
      <c r="D173" s="2">
        <v>1</v>
      </c>
    </row>
    <row r="174" spans="1:4" x14ac:dyDescent="0.2">
      <c r="A174" s="1">
        <v>424</v>
      </c>
      <c r="B174" s="2">
        <v>664</v>
      </c>
      <c r="C174" s="2" t="s">
        <v>6</v>
      </c>
      <c r="D174" s="2">
        <v>1</v>
      </c>
    </row>
    <row r="175" spans="1:4" x14ac:dyDescent="0.2">
      <c r="A175" s="1">
        <v>679</v>
      </c>
      <c r="B175" s="2">
        <v>664</v>
      </c>
      <c r="C175" s="2" t="s">
        <v>6</v>
      </c>
      <c r="D175" s="2">
        <v>1</v>
      </c>
    </row>
    <row r="176" spans="1:4" x14ac:dyDescent="0.2">
      <c r="A176" s="1">
        <v>679</v>
      </c>
      <c r="B176" s="2">
        <v>664</v>
      </c>
      <c r="C176" s="2" t="s">
        <v>6</v>
      </c>
      <c r="D176" s="2">
        <v>1</v>
      </c>
    </row>
    <row r="177" spans="1:4" x14ac:dyDescent="0.2">
      <c r="A177" s="1">
        <v>90</v>
      </c>
      <c r="B177" s="2">
        <v>664</v>
      </c>
      <c r="C177" s="2" t="s">
        <v>6</v>
      </c>
      <c r="D177" s="2">
        <v>1</v>
      </c>
    </row>
    <row r="178" spans="1:4" x14ac:dyDescent="0.2">
      <c r="A178" s="1">
        <v>90</v>
      </c>
      <c r="B178" s="2">
        <v>664</v>
      </c>
      <c r="C178" s="2" t="s">
        <v>6</v>
      </c>
      <c r="D178" s="2">
        <v>1</v>
      </c>
    </row>
    <row r="179" spans="1:4" x14ac:dyDescent="0.2">
      <c r="A179" s="1">
        <v>676</v>
      </c>
      <c r="B179" s="2">
        <v>710</v>
      </c>
      <c r="C179" s="2" t="s">
        <v>5</v>
      </c>
      <c r="D179" s="2">
        <v>3</v>
      </c>
    </row>
    <row r="180" spans="1:4" x14ac:dyDescent="0.2">
      <c r="A180" s="1">
        <v>676</v>
      </c>
      <c r="B180" s="2">
        <v>664</v>
      </c>
      <c r="C180" s="2" t="s">
        <v>5</v>
      </c>
      <c r="D180" s="2">
        <v>1</v>
      </c>
    </row>
    <row r="181" spans="1:4" x14ac:dyDescent="0.2">
      <c r="A181" s="1">
        <v>532</v>
      </c>
      <c r="B181" s="2">
        <v>664</v>
      </c>
      <c r="C181" s="2" t="s">
        <v>6</v>
      </c>
      <c r="D181" s="2">
        <v>2</v>
      </c>
    </row>
    <row r="182" spans="1:4" x14ac:dyDescent="0.2">
      <c r="A182" s="1">
        <v>500</v>
      </c>
      <c r="B182" s="2">
        <v>710</v>
      </c>
      <c r="C182" s="2" t="s">
        <v>5</v>
      </c>
      <c r="D182" s="2">
        <v>2</v>
      </c>
    </row>
    <row r="183" spans="1:4" x14ac:dyDescent="0.2">
      <c r="A183" s="1">
        <v>500</v>
      </c>
      <c r="B183" s="2">
        <v>710</v>
      </c>
      <c r="C183" s="2" t="s">
        <v>5</v>
      </c>
      <c r="D183" s="2">
        <v>2</v>
      </c>
    </row>
    <row r="184" spans="1:4" x14ac:dyDescent="0.2">
      <c r="A184" s="1">
        <v>500</v>
      </c>
      <c r="B184" s="2">
        <v>710</v>
      </c>
      <c r="C184" s="2" t="s">
        <v>5</v>
      </c>
      <c r="D184" s="2">
        <v>1</v>
      </c>
    </row>
    <row r="185" spans="1:4" x14ac:dyDescent="0.2">
      <c r="A185" s="1">
        <v>772</v>
      </c>
      <c r="B185" s="2">
        <v>664</v>
      </c>
      <c r="C185" s="2" t="s">
        <v>6</v>
      </c>
      <c r="D185" s="2">
        <v>1</v>
      </c>
    </row>
    <row r="186" spans="1:4" x14ac:dyDescent="0.2">
      <c r="A186" s="1">
        <v>772</v>
      </c>
      <c r="B186" s="2">
        <v>664</v>
      </c>
      <c r="C186" s="2" t="s">
        <v>6</v>
      </c>
      <c r="D186" s="2">
        <v>1</v>
      </c>
    </row>
    <row r="187" spans="1:4" x14ac:dyDescent="0.2">
      <c r="A187" s="1">
        <v>772</v>
      </c>
      <c r="B187" s="2">
        <v>664</v>
      </c>
      <c r="C187" s="2" t="s">
        <v>6</v>
      </c>
      <c r="D187" s="2">
        <v>1</v>
      </c>
    </row>
    <row r="188" spans="1:4" x14ac:dyDescent="0.2">
      <c r="A188" s="1">
        <v>906</v>
      </c>
      <c r="B188" s="2">
        <v>664</v>
      </c>
      <c r="C188" s="2" t="s">
        <v>6</v>
      </c>
      <c r="D188" s="2">
        <v>6</v>
      </c>
    </row>
    <row r="189" spans="1:4" x14ac:dyDescent="0.2">
      <c r="A189" s="1">
        <v>906</v>
      </c>
      <c r="B189" s="2">
        <v>664</v>
      </c>
      <c r="C189" s="2" t="s">
        <v>6</v>
      </c>
      <c r="D189" s="2">
        <v>6</v>
      </c>
    </row>
    <row r="190" spans="1:4" x14ac:dyDescent="0.2">
      <c r="A190" s="1">
        <v>753</v>
      </c>
      <c r="B190" s="2">
        <v>664</v>
      </c>
      <c r="C190" s="2" t="s">
        <v>5</v>
      </c>
      <c r="D190" s="2">
        <v>1</v>
      </c>
    </row>
    <row r="191" spans="1:4" x14ac:dyDescent="0.2">
      <c r="A191" s="1">
        <v>427</v>
      </c>
      <c r="B191" s="2">
        <v>664</v>
      </c>
      <c r="C191" s="2" t="s">
        <v>7</v>
      </c>
      <c r="D191" s="2">
        <v>1</v>
      </c>
    </row>
    <row r="192" spans="1:4" x14ac:dyDescent="0.2">
      <c r="A192" s="1">
        <v>202</v>
      </c>
      <c r="B192" s="2">
        <v>664</v>
      </c>
      <c r="C192" s="2" t="s">
        <v>5</v>
      </c>
      <c r="D192" s="2">
        <v>1</v>
      </c>
    </row>
    <row r="193" spans="1:4" x14ac:dyDescent="0.2">
      <c r="A193" s="1">
        <v>202</v>
      </c>
      <c r="B193" s="2">
        <v>664</v>
      </c>
      <c r="C193" s="2" t="s">
        <v>5</v>
      </c>
      <c r="D193" s="2">
        <v>1</v>
      </c>
    </row>
    <row r="194" spans="1:4" x14ac:dyDescent="0.2">
      <c r="A194" s="1">
        <v>731</v>
      </c>
      <c r="B194" s="2">
        <v>710</v>
      </c>
      <c r="C194" s="2" t="s">
        <v>5</v>
      </c>
      <c r="D194" s="2">
        <v>2</v>
      </c>
    </row>
    <row r="195" spans="1:4" x14ac:dyDescent="0.2">
      <c r="A195" s="1">
        <v>174</v>
      </c>
      <c r="B195" s="2">
        <v>710</v>
      </c>
      <c r="C195" s="2" t="s">
        <v>5</v>
      </c>
      <c r="D195" s="2">
        <v>2</v>
      </c>
    </row>
    <row r="196" spans="1:4" x14ac:dyDescent="0.2">
      <c r="A196" s="1">
        <v>174</v>
      </c>
      <c r="B196" s="2">
        <v>664</v>
      </c>
      <c r="C196" s="2" t="s">
        <v>5</v>
      </c>
      <c r="D196" s="2">
        <v>3</v>
      </c>
    </row>
    <row r="197" spans="1:4" x14ac:dyDescent="0.2">
      <c r="A197" s="1">
        <v>788</v>
      </c>
      <c r="B197" s="2">
        <v>710</v>
      </c>
      <c r="C197" s="2" t="s">
        <v>5</v>
      </c>
      <c r="D197" s="2">
        <v>1</v>
      </c>
    </row>
    <row r="198" spans="1:4" x14ac:dyDescent="0.2">
      <c r="A198" s="1">
        <v>861</v>
      </c>
      <c r="B198" s="2">
        <v>664</v>
      </c>
      <c r="C198" s="2" t="s">
        <v>6</v>
      </c>
      <c r="D198" s="2">
        <v>2</v>
      </c>
    </row>
    <row r="199" spans="1:4" x14ac:dyDescent="0.2">
      <c r="A199" s="1">
        <v>874</v>
      </c>
      <c r="B199" s="2">
        <v>664</v>
      </c>
      <c r="C199" s="2" t="s">
        <v>6</v>
      </c>
      <c r="D199" s="2">
        <v>2</v>
      </c>
    </row>
    <row r="200" spans="1:4" x14ac:dyDescent="0.2">
      <c r="A200" s="1">
        <v>773</v>
      </c>
      <c r="B200" s="2">
        <v>664</v>
      </c>
      <c r="C200" s="2" t="s">
        <v>6</v>
      </c>
      <c r="D200" s="2">
        <v>2</v>
      </c>
    </row>
    <row r="201" spans="1:4" x14ac:dyDescent="0.2">
      <c r="A201" s="1">
        <v>902</v>
      </c>
      <c r="B201" s="2">
        <v>664</v>
      </c>
      <c r="C201" s="2" t="s">
        <v>5</v>
      </c>
      <c r="D201" s="2">
        <v>2</v>
      </c>
    </row>
    <row r="202" spans="1:4" x14ac:dyDescent="0.2">
      <c r="A202" s="1">
        <v>156</v>
      </c>
      <c r="B202" s="2">
        <v>682</v>
      </c>
      <c r="C202" s="2" t="s">
        <v>6</v>
      </c>
      <c r="D202" s="2">
        <v>1</v>
      </c>
    </row>
    <row r="203" spans="1:4" x14ac:dyDescent="0.2">
      <c r="A203" s="1">
        <v>117</v>
      </c>
      <c r="B203" s="2">
        <v>664</v>
      </c>
      <c r="C203" s="2" t="s">
        <v>5</v>
      </c>
      <c r="D203" s="2">
        <v>1</v>
      </c>
    </row>
    <row r="204" spans="1:4" x14ac:dyDescent="0.2">
      <c r="A204" s="1">
        <v>208</v>
      </c>
      <c r="B204" s="2">
        <v>664</v>
      </c>
      <c r="C204" s="2" t="s">
        <v>6</v>
      </c>
      <c r="D204" s="2">
        <v>1</v>
      </c>
    </row>
    <row r="205" spans="1:4" x14ac:dyDescent="0.2">
      <c r="A205" s="1">
        <v>208</v>
      </c>
      <c r="B205" s="2">
        <v>664</v>
      </c>
      <c r="C205" s="2" t="s">
        <v>6</v>
      </c>
      <c r="D205" s="2">
        <v>1</v>
      </c>
    </row>
    <row r="206" spans="1:4" x14ac:dyDescent="0.2">
      <c r="A206" s="1">
        <v>693</v>
      </c>
      <c r="B206" s="2">
        <v>710</v>
      </c>
      <c r="C206" s="2" t="s">
        <v>5</v>
      </c>
      <c r="D206" s="2">
        <v>6</v>
      </c>
    </row>
    <row r="207" spans="1:4" x14ac:dyDescent="0.2">
      <c r="A207" s="1">
        <v>132</v>
      </c>
      <c r="B207" s="2">
        <v>664</v>
      </c>
      <c r="C207" s="2" t="s">
        <v>6</v>
      </c>
      <c r="D207" s="2">
        <v>1</v>
      </c>
    </row>
    <row r="208" spans="1:4" x14ac:dyDescent="0.2">
      <c r="A208" s="1">
        <v>132</v>
      </c>
      <c r="B208" s="2">
        <v>664</v>
      </c>
      <c r="C208" s="2" t="s">
        <v>6</v>
      </c>
      <c r="D208" s="2">
        <v>1</v>
      </c>
    </row>
    <row r="209" spans="1:4" x14ac:dyDescent="0.2">
      <c r="A209" s="1">
        <v>897</v>
      </c>
      <c r="B209" s="2">
        <v>707</v>
      </c>
      <c r="C209" s="2" t="s">
        <v>6</v>
      </c>
      <c r="D209" s="2">
        <v>2</v>
      </c>
    </row>
    <row r="210" spans="1:4" x14ac:dyDescent="0.2">
      <c r="A210" s="1">
        <v>897</v>
      </c>
      <c r="B210" s="2">
        <v>664</v>
      </c>
      <c r="C210" s="2" t="s">
        <v>6</v>
      </c>
      <c r="D210" s="2">
        <v>4</v>
      </c>
    </row>
    <row r="211" spans="1:4" x14ac:dyDescent="0.2">
      <c r="A211" s="1">
        <v>897</v>
      </c>
      <c r="B211" s="2">
        <v>664</v>
      </c>
      <c r="C211" s="2" t="s">
        <v>6</v>
      </c>
      <c r="D211" s="2">
        <v>2</v>
      </c>
    </row>
    <row r="212" spans="1:4" x14ac:dyDescent="0.2">
      <c r="A212" s="1">
        <v>897</v>
      </c>
      <c r="B212" s="2">
        <v>664</v>
      </c>
      <c r="C212" s="2" t="s">
        <v>6</v>
      </c>
      <c r="D212" s="2">
        <v>2</v>
      </c>
    </row>
    <row r="213" spans="1:4" x14ac:dyDescent="0.2">
      <c r="A213" s="1">
        <v>845</v>
      </c>
      <c r="B213" s="2">
        <v>710</v>
      </c>
      <c r="C213" s="2" t="s">
        <v>5</v>
      </c>
      <c r="D213" s="2">
        <v>2</v>
      </c>
    </row>
    <row r="214" spans="1:4" x14ac:dyDescent="0.2">
      <c r="A214" s="1">
        <v>526</v>
      </c>
      <c r="B214" s="2">
        <v>664</v>
      </c>
      <c r="C214" s="2" t="s">
        <v>6</v>
      </c>
      <c r="D214" s="2">
        <v>1</v>
      </c>
    </row>
    <row r="215" spans="1:4" x14ac:dyDescent="0.2">
      <c r="A215" s="1">
        <v>526</v>
      </c>
      <c r="B215" s="2">
        <v>664</v>
      </c>
      <c r="C215" s="2" t="s">
        <v>6</v>
      </c>
      <c r="D215" s="2">
        <v>1</v>
      </c>
    </row>
    <row r="216" spans="1:4" x14ac:dyDescent="0.2">
      <c r="A216" s="1">
        <v>526</v>
      </c>
      <c r="B216" s="2">
        <v>664</v>
      </c>
      <c r="C216" s="2" t="s">
        <v>6</v>
      </c>
      <c r="D216" s="2">
        <v>1</v>
      </c>
    </row>
    <row r="217" spans="1:4" x14ac:dyDescent="0.2">
      <c r="A217" s="1">
        <v>587</v>
      </c>
      <c r="B217" s="2">
        <v>710</v>
      </c>
      <c r="C217" s="2" t="s">
        <v>5</v>
      </c>
      <c r="D217" s="2">
        <v>2</v>
      </c>
    </row>
    <row r="218" spans="1:4" x14ac:dyDescent="0.2">
      <c r="A218" s="1">
        <v>165</v>
      </c>
      <c r="B218" s="2">
        <v>710</v>
      </c>
      <c r="C218" s="2" t="s">
        <v>5</v>
      </c>
      <c r="D218" s="2">
        <v>2</v>
      </c>
    </row>
    <row r="219" spans="1:4" x14ac:dyDescent="0.2">
      <c r="A219" s="1">
        <v>72</v>
      </c>
      <c r="B219" s="2">
        <v>710</v>
      </c>
      <c r="C219" s="2" t="s">
        <v>7</v>
      </c>
      <c r="D219" s="2">
        <v>1</v>
      </c>
    </row>
    <row r="220" spans="1:4" x14ac:dyDescent="0.2">
      <c r="A220" s="1">
        <v>128</v>
      </c>
      <c r="B220" s="2">
        <v>664</v>
      </c>
      <c r="C220" s="2" t="s">
        <v>6</v>
      </c>
      <c r="D220" s="2">
        <v>1</v>
      </c>
    </row>
    <row r="221" spans="1:4" x14ac:dyDescent="0.2">
      <c r="A221" s="1">
        <v>143</v>
      </c>
      <c r="B221" s="2">
        <v>682</v>
      </c>
      <c r="C221" s="2" t="s">
        <v>5</v>
      </c>
      <c r="D221" s="2">
        <v>1</v>
      </c>
    </row>
    <row r="222" spans="1:4" x14ac:dyDescent="0.2">
      <c r="A222" s="1">
        <v>275</v>
      </c>
      <c r="B222" s="2">
        <v>664</v>
      </c>
      <c r="C222" s="2" t="s">
        <v>7</v>
      </c>
      <c r="D222" s="2">
        <v>1</v>
      </c>
    </row>
    <row r="223" spans="1:4" x14ac:dyDescent="0.2">
      <c r="A223" s="1">
        <v>900</v>
      </c>
      <c r="B223" s="2">
        <v>664</v>
      </c>
      <c r="C223" s="2" t="s">
        <v>6</v>
      </c>
      <c r="D223" s="2">
        <v>1</v>
      </c>
    </row>
    <row r="224" spans="1:4" x14ac:dyDescent="0.2">
      <c r="A224" s="1">
        <v>263</v>
      </c>
      <c r="B224" s="2">
        <v>707</v>
      </c>
      <c r="C224" s="2" t="s">
        <v>6</v>
      </c>
      <c r="D224" s="2">
        <v>2</v>
      </c>
    </row>
    <row r="225" spans="1:4" x14ac:dyDescent="0.2">
      <c r="A225" s="1">
        <v>263</v>
      </c>
      <c r="B225" s="2">
        <v>664</v>
      </c>
      <c r="C225" s="2" t="s">
        <v>6</v>
      </c>
      <c r="D225" s="2">
        <v>3</v>
      </c>
    </row>
    <row r="226" spans="1:4" x14ac:dyDescent="0.2">
      <c r="A226" s="1">
        <v>263</v>
      </c>
      <c r="B226" s="2">
        <v>664</v>
      </c>
      <c r="C226" s="2" t="s">
        <v>6</v>
      </c>
      <c r="D226" s="2">
        <v>1</v>
      </c>
    </row>
    <row r="227" spans="1:4" x14ac:dyDescent="0.2">
      <c r="A227" s="1">
        <v>705</v>
      </c>
      <c r="B227" s="2">
        <v>664</v>
      </c>
      <c r="C227" s="2" t="s">
        <v>6</v>
      </c>
      <c r="D227" s="2">
        <v>4</v>
      </c>
    </row>
    <row r="228" spans="1:4" x14ac:dyDescent="0.2">
      <c r="A228" s="1">
        <v>964</v>
      </c>
      <c r="B228" s="2">
        <v>664</v>
      </c>
      <c r="C228" s="2" t="s">
        <v>6</v>
      </c>
      <c r="D228" s="2">
        <v>1</v>
      </c>
    </row>
    <row r="229" spans="1:4" x14ac:dyDescent="0.2">
      <c r="A229" s="1">
        <v>207</v>
      </c>
      <c r="B229" s="2">
        <v>664</v>
      </c>
      <c r="C229" s="2" t="s">
        <v>6</v>
      </c>
      <c r="D229" s="2">
        <v>1</v>
      </c>
    </row>
    <row r="230" spans="1:4" x14ac:dyDescent="0.2">
      <c r="A230" s="1">
        <v>131</v>
      </c>
      <c r="B230" s="2">
        <v>710</v>
      </c>
      <c r="C230" s="2" t="s">
        <v>5</v>
      </c>
      <c r="D230" s="2">
        <v>1</v>
      </c>
    </row>
    <row r="231" spans="1:4" x14ac:dyDescent="0.2">
      <c r="A231" s="1">
        <v>516</v>
      </c>
      <c r="B231" s="2">
        <v>664</v>
      </c>
      <c r="C231" s="2" t="s">
        <v>7</v>
      </c>
      <c r="D231" s="2">
        <v>1</v>
      </c>
    </row>
    <row r="232" spans="1:4" x14ac:dyDescent="0.2">
      <c r="A232" s="1">
        <v>892</v>
      </c>
      <c r="B232" s="2">
        <v>664</v>
      </c>
      <c r="C232" s="2" t="s">
        <v>7</v>
      </c>
      <c r="D232" s="2">
        <v>2</v>
      </c>
    </row>
    <row r="233" spans="1:4" x14ac:dyDescent="0.2">
      <c r="A233" s="1">
        <v>729</v>
      </c>
      <c r="B233" s="2">
        <v>710</v>
      </c>
      <c r="C233" s="2" t="s">
        <v>5</v>
      </c>
      <c r="D233" s="2">
        <v>5</v>
      </c>
    </row>
    <row r="234" spans="1:4" x14ac:dyDescent="0.2">
      <c r="A234" s="1">
        <v>729</v>
      </c>
      <c r="B234" s="2">
        <v>710</v>
      </c>
      <c r="C234" s="2" t="s">
        <v>5</v>
      </c>
      <c r="D234" s="2">
        <v>9</v>
      </c>
    </row>
    <row r="235" spans="1:4" x14ac:dyDescent="0.2">
      <c r="A235" s="1">
        <v>729</v>
      </c>
      <c r="B235" s="2">
        <v>664</v>
      </c>
      <c r="C235" s="2" t="s">
        <v>5</v>
      </c>
      <c r="D235" s="2">
        <v>1</v>
      </c>
    </row>
    <row r="236" spans="1:4" x14ac:dyDescent="0.2">
      <c r="A236" s="1">
        <v>437</v>
      </c>
      <c r="B236" s="2">
        <v>664</v>
      </c>
      <c r="C236" s="2" t="s">
        <v>6</v>
      </c>
      <c r="D236" s="2">
        <v>1</v>
      </c>
    </row>
    <row r="237" spans="1:4" x14ac:dyDescent="0.2">
      <c r="A237" s="1">
        <v>437</v>
      </c>
      <c r="B237" s="2">
        <v>664</v>
      </c>
      <c r="C237" s="2" t="s">
        <v>6</v>
      </c>
      <c r="D237" s="2">
        <v>1</v>
      </c>
    </row>
    <row r="238" spans="1:4" x14ac:dyDescent="0.2">
      <c r="A238" s="1">
        <v>83</v>
      </c>
      <c r="B238" s="2">
        <v>707</v>
      </c>
      <c r="C238" s="2" t="s">
        <v>6</v>
      </c>
      <c r="D238" s="2">
        <v>1</v>
      </c>
    </row>
    <row r="239" spans="1:4" x14ac:dyDescent="0.2">
      <c r="A239" s="1">
        <v>83</v>
      </c>
      <c r="B239" s="2">
        <v>664</v>
      </c>
      <c r="C239" s="2" t="s">
        <v>6</v>
      </c>
      <c r="D239" s="2">
        <v>2</v>
      </c>
    </row>
    <row r="240" spans="1:4" x14ac:dyDescent="0.2">
      <c r="A240" s="1">
        <v>83</v>
      </c>
      <c r="B240" s="2">
        <v>664</v>
      </c>
      <c r="C240" s="2" t="s">
        <v>6</v>
      </c>
      <c r="D240" s="2">
        <v>1</v>
      </c>
    </row>
    <row r="241" spans="1:4" x14ac:dyDescent="0.2">
      <c r="A241" s="1">
        <v>18</v>
      </c>
      <c r="B241" s="2">
        <v>707</v>
      </c>
      <c r="C241" s="2" t="s">
        <v>6</v>
      </c>
      <c r="D241" s="2">
        <v>2</v>
      </c>
    </row>
    <row r="242" spans="1:4" x14ac:dyDescent="0.2">
      <c r="A242" s="1">
        <v>18</v>
      </c>
      <c r="B242" s="2">
        <v>664</v>
      </c>
      <c r="C242" s="2" t="s">
        <v>6</v>
      </c>
      <c r="D242" s="2">
        <v>3</v>
      </c>
    </row>
    <row r="243" spans="1:4" x14ac:dyDescent="0.2">
      <c r="A243" s="1">
        <v>18</v>
      </c>
      <c r="B243" s="2">
        <v>664</v>
      </c>
      <c r="C243" s="2" t="s">
        <v>6</v>
      </c>
      <c r="D243" s="2">
        <v>1</v>
      </c>
    </row>
    <row r="244" spans="1:4" x14ac:dyDescent="0.2">
      <c r="A244" s="1">
        <v>534</v>
      </c>
      <c r="B244" s="2">
        <v>664</v>
      </c>
      <c r="C244" s="2" t="s">
        <v>6</v>
      </c>
      <c r="D244" s="2">
        <v>2</v>
      </c>
    </row>
    <row r="245" spans="1:4" x14ac:dyDescent="0.2">
      <c r="A245" s="1">
        <v>956</v>
      </c>
      <c r="B245" s="2">
        <v>710</v>
      </c>
      <c r="C245" s="2" t="s">
        <v>5</v>
      </c>
      <c r="D245" s="2">
        <v>1</v>
      </c>
    </row>
    <row r="246" spans="1:4" x14ac:dyDescent="0.2">
      <c r="A246" s="1">
        <v>956</v>
      </c>
      <c r="B246" s="2">
        <v>664</v>
      </c>
      <c r="C246" s="2" t="s">
        <v>5</v>
      </c>
      <c r="D246" s="2">
        <v>2</v>
      </c>
    </row>
    <row r="247" spans="1:4" x14ac:dyDescent="0.2">
      <c r="A247" s="1">
        <v>643</v>
      </c>
      <c r="B247" s="2">
        <v>664</v>
      </c>
      <c r="C247" s="2" t="s">
        <v>6</v>
      </c>
      <c r="D247" s="2">
        <v>1</v>
      </c>
    </row>
    <row r="248" spans="1:4" x14ac:dyDescent="0.2">
      <c r="A248" s="1">
        <v>242</v>
      </c>
      <c r="B248" s="2">
        <v>664</v>
      </c>
      <c r="C248" s="2" t="s">
        <v>6</v>
      </c>
      <c r="D248" s="2">
        <v>1</v>
      </c>
    </row>
    <row r="249" spans="1:4" x14ac:dyDescent="0.2">
      <c r="A249" s="1">
        <v>242</v>
      </c>
      <c r="B249" s="2">
        <v>664</v>
      </c>
      <c r="C249" s="2" t="s">
        <v>6</v>
      </c>
      <c r="D249" s="2">
        <v>1</v>
      </c>
    </row>
    <row r="250" spans="1:4" x14ac:dyDescent="0.2">
      <c r="A250" s="1">
        <v>593</v>
      </c>
      <c r="B250" s="2">
        <v>664</v>
      </c>
      <c r="C250" s="2" t="s">
        <v>6</v>
      </c>
      <c r="D250" s="2">
        <v>1</v>
      </c>
    </row>
    <row r="251" spans="1:4" x14ac:dyDescent="0.2">
      <c r="A251" s="1">
        <v>593</v>
      </c>
      <c r="B251" s="2">
        <v>664</v>
      </c>
      <c r="C251" s="2" t="s">
        <v>6</v>
      </c>
      <c r="D251" s="2">
        <v>1</v>
      </c>
    </row>
    <row r="252" spans="1:4" x14ac:dyDescent="0.2">
      <c r="A252" s="1">
        <v>192</v>
      </c>
      <c r="B252" s="2">
        <v>707</v>
      </c>
      <c r="C252" s="2" t="s">
        <v>6</v>
      </c>
      <c r="D252" s="2">
        <v>1</v>
      </c>
    </row>
    <row r="253" spans="1:4" x14ac:dyDescent="0.2">
      <c r="A253" s="1">
        <v>192</v>
      </c>
      <c r="B253" s="2">
        <v>664</v>
      </c>
      <c r="C253" s="2" t="s">
        <v>6</v>
      </c>
      <c r="D253" s="2">
        <v>2</v>
      </c>
    </row>
    <row r="254" spans="1:4" x14ac:dyDescent="0.2">
      <c r="A254" s="1">
        <v>192</v>
      </c>
      <c r="B254" s="2">
        <v>664</v>
      </c>
      <c r="C254" s="2" t="s">
        <v>6</v>
      </c>
      <c r="D254" s="2">
        <v>1</v>
      </c>
    </row>
    <row r="255" spans="1:4" x14ac:dyDescent="0.2">
      <c r="A255" s="1">
        <v>187</v>
      </c>
      <c r="B255" s="2">
        <v>664</v>
      </c>
      <c r="C255" s="2" t="s">
        <v>6</v>
      </c>
      <c r="D255" s="2">
        <v>1</v>
      </c>
    </row>
    <row r="256" spans="1:4" x14ac:dyDescent="0.2">
      <c r="A256" s="1">
        <v>187</v>
      </c>
      <c r="B256" s="2">
        <v>664</v>
      </c>
      <c r="C256" s="2" t="s">
        <v>6</v>
      </c>
      <c r="D256" s="2">
        <v>1</v>
      </c>
    </row>
    <row r="257" spans="1:4" x14ac:dyDescent="0.2">
      <c r="A257" s="1">
        <v>187</v>
      </c>
      <c r="B257" s="2">
        <v>664</v>
      </c>
      <c r="C257" s="2" t="s">
        <v>6</v>
      </c>
      <c r="D257" s="2">
        <v>2</v>
      </c>
    </row>
    <row r="258" spans="1:4" x14ac:dyDescent="0.2">
      <c r="A258" s="1">
        <v>795</v>
      </c>
      <c r="B258" s="2">
        <v>710</v>
      </c>
      <c r="C258" s="2" t="s">
        <v>5</v>
      </c>
      <c r="D258" s="2">
        <v>2</v>
      </c>
    </row>
    <row r="259" spans="1:4" x14ac:dyDescent="0.2">
      <c r="A259" s="1">
        <v>532</v>
      </c>
      <c r="B259" s="2">
        <v>664</v>
      </c>
      <c r="C259" s="2" t="s">
        <v>5</v>
      </c>
      <c r="D259" s="2">
        <v>1</v>
      </c>
    </row>
    <row r="260" spans="1:4" x14ac:dyDescent="0.2">
      <c r="A260" s="1">
        <v>367</v>
      </c>
      <c r="B260" s="2">
        <v>710</v>
      </c>
      <c r="C260" s="2" t="s">
        <v>5</v>
      </c>
      <c r="D260" s="2">
        <v>1</v>
      </c>
    </row>
    <row r="261" spans="1:4" x14ac:dyDescent="0.2">
      <c r="A261" s="1">
        <v>892</v>
      </c>
      <c r="B261" s="2">
        <v>664</v>
      </c>
      <c r="C261" s="2" t="s">
        <v>5</v>
      </c>
      <c r="D261" s="2">
        <v>6</v>
      </c>
    </row>
    <row r="262" spans="1:4" x14ac:dyDescent="0.2">
      <c r="A262" s="1">
        <v>178</v>
      </c>
      <c r="B262" s="2">
        <v>664</v>
      </c>
      <c r="C262" s="2" t="s">
        <v>6</v>
      </c>
      <c r="D262" s="2">
        <v>2</v>
      </c>
    </row>
    <row r="263" spans="1:4" x14ac:dyDescent="0.2">
      <c r="A263" s="1">
        <v>491</v>
      </c>
      <c r="B263" s="2">
        <v>710</v>
      </c>
      <c r="C263" s="2" t="s">
        <v>5</v>
      </c>
      <c r="D263" s="2">
        <v>2</v>
      </c>
    </row>
    <row r="264" spans="1:4" x14ac:dyDescent="0.2">
      <c r="A264" s="1">
        <v>338</v>
      </c>
      <c r="B264" s="2">
        <v>664</v>
      </c>
      <c r="C264" s="2" t="s">
        <v>6</v>
      </c>
      <c r="D264" s="2">
        <v>1</v>
      </c>
    </row>
    <row r="265" spans="1:4" x14ac:dyDescent="0.2">
      <c r="A265" s="1">
        <v>866</v>
      </c>
      <c r="B265" s="2">
        <v>710</v>
      </c>
      <c r="C265" s="2" t="s">
        <v>5</v>
      </c>
      <c r="D265" s="2">
        <v>1</v>
      </c>
    </row>
    <row r="266" spans="1:4" x14ac:dyDescent="0.2">
      <c r="A266" s="1">
        <v>39</v>
      </c>
      <c r="B266" s="2">
        <v>707</v>
      </c>
      <c r="C266" s="2" t="s">
        <v>6</v>
      </c>
      <c r="D266" s="2">
        <v>1</v>
      </c>
    </row>
    <row r="267" spans="1:4" x14ac:dyDescent="0.2">
      <c r="A267" s="1">
        <v>39</v>
      </c>
      <c r="B267" s="2">
        <v>664</v>
      </c>
      <c r="C267" s="2" t="s">
        <v>6</v>
      </c>
      <c r="D267" s="2">
        <v>2</v>
      </c>
    </row>
    <row r="268" spans="1:4" x14ac:dyDescent="0.2">
      <c r="A268" s="1">
        <v>39</v>
      </c>
      <c r="B268" s="2">
        <v>664</v>
      </c>
      <c r="C268" s="2" t="s">
        <v>6</v>
      </c>
      <c r="D268" s="2">
        <v>1</v>
      </c>
    </row>
    <row r="269" spans="1:4" x14ac:dyDescent="0.2">
      <c r="A269" s="1">
        <v>748</v>
      </c>
      <c r="B269" s="2">
        <v>664</v>
      </c>
      <c r="C269" s="2" t="s">
        <v>6</v>
      </c>
      <c r="D269" s="2">
        <v>1</v>
      </c>
    </row>
    <row r="270" spans="1:4" x14ac:dyDescent="0.2">
      <c r="A270" s="1">
        <v>500</v>
      </c>
      <c r="B270" s="2">
        <v>664</v>
      </c>
      <c r="C270" s="2" t="s">
        <v>6</v>
      </c>
      <c r="D270" s="2">
        <v>2</v>
      </c>
    </row>
    <row r="271" spans="1:4" x14ac:dyDescent="0.2">
      <c r="A271" s="1">
        <v>619</v>
      </c>
      <c r="B271" s="2">
        <v>710</v>
      </c>
      <c r="C271" s="2" t="s">
        <v>5</v>
      </c>
      <c r="D271" s="2">
        <v>1</v>
      </c>
    </row>
    <row r="272" spans="1:4" x14ac:dyDescent="0.2">
      <c r="A272" s="1">
        <v>403</v>
      </c>
      <c r="B272" s="2">
        <v>707</v>
      </c>
      <c r="C272" s="2" t="s">
        <v>6</v>
      </c>
      <c r="D272" s="2">
        <v>1</v>
      </c>
    </row>
    <row r="273" spans="1:4" x14ac:dyDescent="0.2">
      <c r="A273" s="1">
        <v>403</v>
      </c>
      <c r="B273" s="2">
        <v>664</v>
      </c>
      <c r="C273" s="2" t="s">
        <v>6</v>
      </c>
      <c r="D273" s="2">
        <v>3</v>
      </c>
    </row>
    <row r="274" spans="1:4" x14ac:dyDescent="0.2">
      <c r="A274" s="1">
        <v>403</v>
      </c>
      <c r="B274" s="2">
        <v>664</v>
      </c>
      <c r="C274" s="2" t="s">
        <v>6</v>
      </c>
      <c r="D274" s="2">
        <v>2</v>
      </c>
    </row>
    <row r="275" spans="1:4" x14ac:dyDescent="0.2">
      <c r="A275" s="1">
        <v>933</v>
      </c>
      <c r="B275" s="2">
        <v>664</v>
      </c>
      <c r="C275" s="2" t="s">
        <v>6</v>
      </c>
      <c r="D275" s="2">
        <v>3</v>
      </c>
    </row>
    <row r="276" spans="1:4" x14ac:dyDescent="0.2">
      <c r="A276" s="1">
        <v>36</v>
      </c>
      <c r="B276" s="2">
        <v>664</v>
      </c>
      <c r="C276" s="2" t="s">
        <v>6</v>
      </c>
      <c r="D276" s="2">
        <v>1</v>
      </c>
    </row>
    <row r="277" spans="1:4" x14ac:dyDescent="0.2">
      <c r="A277" s="1">
        <v>36</v>
      </c>
      <c r="B277" s="2">
        <v>664</v>
      </c>
      <c r="C277" s="2" t="s">
        <v>6</v>
      </c>
      <c r="D277" s="2">
        <v>1</v>
      </c>
    </row>
    <row r="278" spans="1:4" x14ac:dyDescent="0.2">
      <c r="A278" s="1">
        <v>102</v>
      </c>
      <c r="B278" s="2">
        <v>710</v>
      </c>
      <c r="C278" s="2" t="s">
        <v>5</v>
      </c>
      <c r="D278" s="2">
        <v>2</v>
      </c>
    </row>
    <row r="279" spans="1:4" x14ac:dyDescent="0.2">
      <c r="A279" s="1">
        <v>747</v>
      </c>
      <c r="B279" s="2">
        <v>664</v>
      </c>
      <c r="C279" s="2" t="s">
        <v>6</v>
      </c>
      <c r="D279" s="2">
        <v>3</v>
      </c>
    </row>
    <row r="280" spans="1:4" x14ac:dyDescent="0.2">
      <c r="A280" s="1">
        <v>822</v>
      </c>
      <c r="B280" s="2">
        <v>710</v>
      </c>
      <c r="C280" s="2" t="s">
        <v>5</v>
      </c>
      <c r="D280" s="2">
        <v>3</v>
      </c>
    </row>
    <row r="281" spans="1:4" x14ac:dyDescent="0.2">
      <c r="A281" s="1">
        <v>832</v>
      </c>
      <c r="B281" s="2">
        <v>710</v>
      </c>
      <c r="C281" s="2" t="s">
        <v>5</v>
      </c>
      <c r="D281" s="2">
        <v>1</v>
      </c>
    </row>
    <row r="282" spans="1:4" x14ac:dyDescent="0.2">
      <c r="A282" s="1">
        <v>337</v>
      </c>
      <c r="B282" s="2">
        <v>664</v>
      </c>
      <c r="C282" s="2" t="s">
        <v>6</v>
      </c>
      <c r="D282" s="2">
        <v>2</v>
      </c>
    </row>
    <row r="283" spans="1:4" x14ac:dyDescent="0.2">
      <c r="A283" s="1">
        <v>938</v>
      </c>
      <c r="B283" s="2">
        <v>710</v>
      </c>
      <c r="C283" s="2" t="s">
        <v>5</v>
      </c>
      <c r="D283" s="2">
        <v>2</v>
      </c>
    </row>
    <row r="284" spans="1:4" x14ac:dyDescent="0.2">
      <c r="A284" s="1">
        <v>938</v>
      </c>
      <c r="B284" s="2">
        <v>664</v>
      </c>
      <c r="C284" s="2" t="s">
        <v>5</v>
      </c>
      <c r="D284" s="2">
        <v>3</v>
      </c>
    </row>
    <row r="285" spans="1:4" x14ac:dyDescent="0.2">
      <c r="A285" s="1">
        <v>840</v>
      </c>
      <c r="B285" s="2">
        <v>710</v>
      </c>
      <c r="C285" s="2" t="s">
        <v>5</v>
      </c>
      <c r="D285" s="2">
        <v>2</v>
      </c>
    </row>
    <row r="286" spans="1:4" x14ac:dyDescent="0.2">
      <c r="A286" s="1">
        <v>288</v>
      </c>
      <c r="B286" s="2">
        <v>682</v>
      </c>
      <c r="C286" s="2" t="s">
        <v>7</v>
      </c>
      <c r="D286" s="2">
        <v>2</v>
      </c>
    </row>
    <row r="287" spans="1:4" x14ac:dyDescent="0.2">
      <c r="A287" s="1">
        <v>725</v>
      </c>
      <c r="B287" s="2">
        <v>710</v>
      </c>
      <c r="C287" s="2" t="s">
        <v>5</v>
      </c>
      <c r="D287" s="2">
        <v>2</v>
      </c>
    </row>
    <row r="288" spans="1:4" x14ac:dyDescent="0.2">
      <c r="A288" s="1">
        <v>194</v>
      </c>
      <c r="B288" s="2">
        <v>710</v>
      </c>
      <c r="C288" s="2" t="s">
        <v>5</v>
      </c>
      <c r="D288" s="2">
        <v>2</v>
      </c>
    </row>
    <row r="289" spans="1:4" x14ac:dyDescent="0.2">
      <c r="A289" s="1">
        <v>610</v>
      </c>
      <c r="B289" s="2">
        <v>710</v>
      </c>
      <c r="C289" s="2" t="s">
        <v>5</v>
      </c>
      <c r="D289" s="2">
        <v>5</v>
      </c>
    </row>
    <row r="290" spans="1:4" x14ac:dyDescent="0.2">
      <c r="A290" s="1">
        <v>610</v>
      </c>
      <c r="B290" s="2">
        <v>710</v>
      </c>
      <c r="C290" s="2" t="s">
        <v>5</v>
      </c>
      <c r="D290" s="2">
        <v>1</v>
      </c>
    </row>
    <row r="291" spans="1:4" x14ac:dyDescent="0.2">
      <c r="A291" s="1">
        <v>610</v>
      </c>
      <c r="B291" s="2">
        <v>710</v>
      </c>
      <c r="C291" s="2" t="s">
        <v>5</v>
      </c>
      <c r="D291" s="2">
        <v>3</v>
      </c>
    </row>
    <row r="292" spans="1:4" x14ac:dyDescent="0.2">
      <c r="A292" s="1">
        <v>54</v>
      </c>
      <c r="B292" s="2">
        <v>664</v>
      </c>
      <c r="C292" s="2" t="s">
        <v>7</v>
      </c>
      <c r="D292" s="2">
        <v>1</v>
      </c>
    </row>
    <row r="293" spans="1:4" x14ac:dyDescent="0.2">
      <c r="A293" s="1">
        <v>411</v>
      </c>
      <c r="B293" s="2">
        <v>664</v>
      </c>
      <c r="C293" s="2" t="s">
        <v>6</v>
      </c>
      <c r="D293" s="2">
        <v>1</v>
      </c>
    </row>
    <row r="294" spans="1:4" x14ac:dyDescent="0.2">
      <c r="A294" s="1">
        <v>411</v>
      </c>
      <c r="B294" s="2">
        <v>664</v>
      </c>
      <c r="C294" s="2" t="s">
        <v>6</v>
      </c>
      <c r="D294" s="2">
        <v>1</v>
      </c>
    </row>
    <row r="295" spans="1:4" x14ac:dyDescent="0.2">
      <c r="A295" s="1">
        <v>411</v>
      </c>
      <c r="B295" s="2">
        <v>664</v>
      </c>
      <c r="C295" s="2" t="s">
        <v>6</v>
      </c>
      <c r="D295" s="2">
        <v>1</v>
      </c>
    </row>
    <row r="296" spans="1:4" x14ac:dyDescent="0.2">
      <c r="A296" s="1">
        <v>290</v>
      </c>
      <c r="B296" s="2">
        <v>710</v>
      </c>
      <c r="C296" s="2" t="s">
        <v>5</v>
      </c>
      <c r="D296" s="2">
        <v>2</v>
      </c>
    </row>
    <row r="297" spans="1:4" x14ac:dyDescent="0.2">
      <c r="A297" s="1">
        <v>290</v>
      </c>
      <c r="B297" s="2">
        <v>710</v>
      </c>
      <c r="C297" s="2" t="s">
        <v>5</v>
      </c>
      <c r="D297" s="2">
        <v>2</v>
      </c>
    </row>
    <row r="298" spans="1:4" x14ac:dyDescent="0.2">
      <c r="A298" s="1">
        <v>290</v>
      </c>
      <c r="B298" s="2">
        <v>664</v>
      </c>
      <c r="C298" s="2" t="s">
        <v>5</v>
      </c>
      <c r="D298" s="2">
        <v>1</v>
      </c>
    </row>
    <row r="299" spans="1:4" x14ac:dyDescent="0.2">
      <c r="A299" s="1">
        <v>833</v>
      </c>
      <c r="B299" s="2">
        <v>710</v>
      </c>
      <c r="C299" s="2" t="s">
        <v>5</v>
      </c>
      <c r="D299" s="2">
        <v>1</v>
      </c>
    </row>
    <row r="300" spans="1:4" x14ac:dyDescent="0.2">
      <c r="A300" s="1">
        <v>833</v>
      </c>
      <c r="B300" s="2">
        <v>664</v>
      </c>
      <c r="C300" s="2" t="s">
        <v>5</v>
      </c>
      <c r="D300" s="2">
        <v>1</v>
      </c>
    </row>
    <row r="301" spans="1:4" x14ac:dyDescent="0.2">
      <c r="A301" s="1">
        <v>9</v>
      </c>
      <c r="B301" s="2">
        <v>710</v>
      </c>
      <c r="C301" s="2" t="s">
        <v>5</v>
      </c>
      <c r="D301" s="2">
        <v>4</v>
      </c>
    </row>
    <row r="302" spans="1:4" x14ac:dyDescent="0.2">
      <c r="A302" s="1">
        <v>558</v>
      </c>
      <c r="B302" s="2">
        <v>710</v>
      </c>
      <c r="C302" s="2" t="s">
        <v>5</v>
      </c>
      <c r="D302" s="2">
        <v>1</v>
      </c>
    </row>
    <row r="303" spans="1:4" x14ac:dyDescent="0.2">
      <c r="A303" s="1">
        <v>73</v>
      </c>
      <c r="B303" s="2">
        <v>710</v>
      </c>
      <c r="C303" s="2" t="s">
        <v>5</v>
      </c>
      <c r="D303" s="2">
        <v>1</v>
      </c>
    </row>
    <row r="304" spans="1:4" x14ac:dyDescent="0.2">
      <c r="A304" s="1">
        <v>73</v>
      </c>
      <c r="B304" s="2">
        <v>664</v>
      </c>
      <c r="C304" s="2" t="s">
        <v>5</v>
      </c>
      <c r="D304" s="2">
        <v>2</v>
      </c>
    </row>
    <row r="305" spans="1:4" x14ac:dyDescent="0.2">
      <c r="A305" s="1">
        <v>729</v>
      </c>
      <c r="B305" s="2">
        <v>664</v>
      </c>
      <c r="C305" s="2" t="s">
        <v>7</v>
      </c>
      <c r="D305" s="2">
        <v>1</v>
      </c>
    </row>
    <row r="306" spans="1:4" x14ac:dyDescent="0.2">
      <c r="A306" s="1">
        <v>275</v>
      </c>
      <c r="B306" s="2">
        <v>664</v>
      </c>
      <c r="C306" s="2" t="s">
        <v>5</v>
      </c>
      <c r="D306" s="2">
        <v>2</v>
      </c>
    </row>
    <row r="307" spans="1:4" x14ac:dyDescent="0.2">
      <c r="A307" s="1">
        <v>461</v>
      </c>
      <c r="B307" s="2">
        <v>664</v>
      </c>
      <c r="C307" s="2" t="s">
        <v>6</v>
      </c>
      <c r="D307" s="2">
        <v>1</v>
      </c>
    </row>
    <row r="308" spans="1:4" x14ac:dyDescent="0.2">
      <c r="A308" s="1">
        <v>461</v>
      </c>
      <c r="B308" s="2">
        <v>664</v>
      </c>
      <c r="C308" s="2" t="s">
        <v>6</v>
      </c>
      <c r="D308" s="2">
        <v>1</v>
      </c>
    </row>
    <row r="309" spans="1:4" x14ac:dyDescent="0.2">
      <c r="A309" s="1">
        <v>161</v>
      </c>
      <c r="B309" s="2">
        <v>710</v>
      </c>
      <c r="C309" s="2" t="s">
        <v>5</v>
      </c>
      <c r="D309" s="2">
        <v>1</v>
      </c>
    </row>
    <row r="310" spans="1:4" x14ac:dyDescent="0.2">
      <c r="A310" s="1">
        <v>217</v>
      </c>
      <c r="B310" s="2">
        <v>710</v>
      </c>
      <c r="C310" s="2" t="s">
        <v>5</v>
      </c>
      <c r="D310" s="2">
        <v>2</v>
      </c>
    </row>
    <row r="311" spans="1:4" x14ac:dyDescent="0.2">
      <c r="A311" s="1">
        <v>513</v>
      </c>
      <c r="B311" s="2">
        <v>664</v>
      </c>
      <c r="C311" s="2" t="s">
        <v>6</v>
      </c>
      <c r="D311" s="2">
        <v>1</v>
      </c>
    </row>
    <row r="312" spans="1:4" x14ac:dyDescent="0.2">
      <c r="A312" s="1">
        <v>513</v>
      </c>
      <c r="B312" s="2">
        <v>664</v>
      </c>
      <c r="C312" s="2" t="s">
        <v>6</v>
      </c>
      <c r="D312" s="2">
        <v>1</v>
      </c>
    </row>
    <row r="313" spans="1:4" x14ac:dyDescent="0.2">
      <c r="A313" s="1">
        <v>513</v>
      </c>
      <c r="B313" s="2">
        <v>664</v>
      </c>
      <c r="C313" s="2" t="s">
        <v>6</v>
      </c>
      <c r="D313" s="2">
        <v>1</v>
      </c>
    </row>
    <row r="314" spans="1:4" x14ac:dyDescent="0.2">
      <c r="A314" s="1">
        <v>839</v>
      </c>
      <c r="B314" s="2">
        <v>664</v>
      </c>
      <c r="C314" s="2" t="s">
        <v>6</v>
      </c>
      <c r="D314" s="2">
        <v>1</v>
      </c>
    </row>
    <row r="315" spans="1:4" x14ac:dyDescent="0.2">
      <c r="A315" s="1">
        <v>839</v>
      </c>
      <c r="B315" s="2">
        <v>664</v>
      </c>
      <c r="C315" s="2" t="s">
        <v>6</v>
      </c>
      <c r="D315" s="2">
        <v>1</v>
      </c>
    </row>
    <row r="316" spans="1:4" x14ac:dyDescent="0.2">
      <c r="A316" s="1">
        <v>779</v>
      </c>
      <c r="B316" s="2">
        <v>710</v>
      </c>
      <c r="C316" s="2" t="s">
        <v>5</v>
      </c>
      <c r="D316" s="2">
        <v>4</v>
      </c>
    </row>
    <row r="317" spans="1:4" x14ac:dyDescent="0.2">
      <c r="A317" s="1">
        <v>779</v>
      </c>
      <c r="B317" s="2">
        <v>710</v>
      </c>
      <c r="C317" s="2" t="s">
        <v>5</v>
      </c>
      <c r="D317" s="2">
        <v>3</v>
      </c>
    </row>
    <row r="318" spans="1:4" x14ac:dyDescent="0.2">
      <c r="A318" s="1">
        <v>601</v>
      </c>
      <c r="B318" s="2">
        <v>710</v>
      </c>
      <c r="C318" s="2" t="s">
        <v>5</v>
      </c>
      <c r="D318" s="2">
        <v>1</v>
      </c>
    </row>
    <row r="319" spans="1:4" x14ac:dyDescent="0.2">
      <c r="A319" s="1">
        <v>769</v>
      </c>
      <c r="B319" s="2">
        <v>710</v>
      </c>
      <c r="C319" s="2" t="s">
        <v>5</v>
      </c>
      <c r="D319" s="2">
        <v>1</v>
      </c>
    </row>
    <row r="320" spans="1:4" x14ac:dyDescent="0.2">
      <c r="A320" s="1">
        <v>595</v>
      </c>
      <c r="B320" s="2">
        <v>664</v>
      </c>
      <c r="C320" s="2" t="s">
        <v>6</v>
      </c>
      <c r="D320" s="2">
        <v>2</v>
      </c>
    </row>
    <row r="321" spans="1:4" x14ac:dyDescent="0.2">
      <c r="A321" s="1">
        <v>753</v>
      </c>
      <c r="B321" s="2">
        <v>664</v>
      </c>
      <c r="C321" s="2" t="s">
        <v>6</v>
      </c>
      <c r="D321" s="2">
        <v>1</v>
      </c>
    </row>
    <row r="322" spans="1:4" x14ac:dyDescent="0.2">
      <c r="A322" s="1">
        <v>753</v>
      </c>
      <c r="B322" s="2">
        <v>664</v>
      </c>
      <c r="C322" s="2" t="s">
        <v>6</v>
      </c>
      <c r="D322" s="2">
        <v>1</v>
      </c>
    </row>
    <row r="323" spans="1:4" x14ac:dyDescent="0.2">
      <c r="A323" s="1">
        <v>906</v>
      </c>
      <c r="B323" s="2">
        <v>710</v>
      </c>
      <c r="C323" s="2" t="s">
        <v>5</v>
      </c>
      <c r="D323" s="2">
        <v>2</v>
      </c>
    </row>
    <row r="324" spans="1:4" x14ac:dyDescent="0.2">
      <c r="A324" s="1">
        <v>340</v>
      </c>
      <c r="B324" s="2">
        <v>664</v>
      </c>
      <c r="C324" s="2" t="s">
        <v>5</v>
      </c>
      <c r="D324" s="2">
        <v>1</v>
      </c>
    </row>
    <row r="325" spans="1:4" x14ac:dyDescent="0.2">
      <c r="A325" s="1">
        <v>336</v>
      </c>
      <c r="B325" s="2">
        <v>707</v>
      </c>
      <c r="C325" s="2" t="s">
        <v>6</v>
      </c>
      <c r="D325" s="2">
        <v>1</v>
      </c>
    </row>
    <row r="326" spans="1:4" x14ac:dyDescent="0.2">
      <c r="A326" s="1">
        <v>336</v>
      </c>
      <c r="B326" s="2">
        <v>664</v>
      </c>
      <c r="C326" s="2" t="s">
        <v>6</v>
      </c>
      <c r="D326" s="2">
        <v>2</v>
      </c>
    </row>
    <row r="327" spans="1:4" x14ac:dyDescent="0.2">
      <c r="A327" s="1">
        <v>336</v>
      </c>
      <c r="B327" s="2">
        <v>664</v>
      </c>
      <c r="C327" s="2" t="s">
        <v>6</v>
      </c>
      <c r="D327" s="2">
        <v>1</v>
      </c>
    </row>
    <row r="328" spans="1:4" x14ac:dyDescent="0.2">
      <c r="A328" s="1">
        <v>655</v>
      </c>
      <c r="B328" s="2">
        <v>710</v>
      </c>
      <c r="C328" s="2" t="s">
        <v>5</v>
      </c>
      <c r="D328" s="2">
        <v>2</v>
      </c>
    </row>
    <row r="329" spans="1:4" x14ac:dyDescent="0.2">
      <c r="A329" s="1">
        <v>565</v>
      </c>
      <c r="B329" s="2">
        <v>664</v>
      </c>
      <c r="C329" s="2" t="s">
        <v>6</v>
      </c>
      <c r="D329" s="2">
        <v>1</v>
      </c>
    </row>
    <row r="330" spans="1:4" x14ac:dyDescent="0.2">
      <c r="A330" s="1">
        <v>565</v>
      </c>
      <c r="B330" s="2">
        <v>664</v>
      </c>
      <c r="C330" s="2" t="s">
        <v>6</v>
      </c>
      <c r="D330" s="2">
        <v>1</v>
      </c>
    </row>
    <row r="331" spans="1:4" x14ac:dyDescent="0.2">
      <c r="A331" s="1">
        <v>565</v>
      </c>
      <c r="B331" s="2">
        <v>664</v>
      </c>
      <c r="C331" s="2" t="s">
        <v>6</v>
      </c>
      <c r="D331" s="2">
        <v>3</v>
      </c>
    </row>
    <row r="332" spans="1:4" x14ac:dyDescent="0.2">
      <c r="A332" s="1">
        <v>570</v>
      </c>
      <c r="B332" s="2">
        <v>664</v>
      </c>
      <c r="C332" s="2" t="s">
        <v>6</v>
      </c>
      <c r="D332" s="2">
        <v>1</v>
      </c>
    </row>
    <row r="333" spans="1:4" x14ac:dyDescent="0.2">
      <c r="A333" s="1">
        <v>920</v>
      </c>
      <c r="B333" s="2">
        <v>664</v>
      </c>
      <c r="C333" s="2" t="s">
        <v>5</v>
      </c>
      <c r="D333" s="2">
        <v>1</v>
      </c>
    </row>
    <row r="334" spans="1:4" x14ac:dyDescent="0.2">
      <c r="A334" s="1">
        <v>480</v>
      </c>
      <c r="B334" s="2">
        <v>664</v>
      </c>
      <c r="C334" s="2" t="s">
        <v>5</v>
      </c>
      <c r="D334" s="2">
        <v>1</v>
      </c>
    </row>
    <row r="335" spans="1:4" x14ac:dyDescent="0.2">
      <c r="A335" s="1">
        <v>437</v>
      </c>
      <c r="B335" s="2">
        <v>664</v>
      </c>
      <c r="C335" s="2" t="s">
        <v>7</v>
      </c>
      <c r="D335" s="2">
        <v>2</v>
      </c>
    </row>
    <row r="336" spans="1:4" x14ac:dyDescent="0.2">
      <c r="A336" s="1">
        <v>749</v>
      </c>
      <c r="B336" s="2">
        <v>682</v>
      </c>
      <c r="C336" s="2" t="s">
        <v>6</v>
      </c>
      <c r="D336" s="2">
        <v>2</v>
      </c>
    </row>
    <row r="337" spans="1:4" x14ac:dyDescent="0.2">
      <c r="A337" s="1">
        <v>100</v>
      </c>
      <c r="B337" s="2">
        <v>707</v>
      </c>
      <c r="C337" s="2" t="s">
        <v>6</v>
      </c>
      <c r="D337" s="2">
        <v>1</v>
      </c>
    </row>
    <row r="338" spans="1:4" x14ac:dyDescent="0.2">
      <c r="A338" s="1">
        <v>100</v>
      </c>
      <c r="B338" s="2">
        <v>664</v>
      </c>
      <c r="C338" s="2" t="s">
        <v>6</v>
      </c>
      <c r="D338" s="2">
        <v>2</v>
      </c>
    </row>
    <row r="339" spans="1:4" x14ac:dyDescent="0.2">
      <c r="A339" s="1">
        <v>100</v>
      </c>
      <c r="B339" s="2">
        <v>664</v>
      </c>
      <c r="C339" s="2" t="s">
        <v>6</v>
      </c>
      <c r="D339" s="2">
        <v>1</v>
      </c>
    </row>
    <row r="340" spans="1:4" x14ac:dyDescent="0.2">
      <c r="A340" s="1">
        <v>100</v>
      </c>
      <c r="B340" s="2">
        <v>664</v>
      </c>
      <c r="C340" s="2" t="s">
        <v>6</v>
      </c>
      <c r="D340" s="2">
        <v>1</v>
      </c>
    </row>
    <row r="341" spans="1:4" x14ac:dyDescent="0.2">
      <c r="A341" s="1">
        <v>893</v>
      </c>
      <c r="B341" s="2">
        <v>664</v>
      </c>
      <c r="C341" s="2" t="s">
        <v>5</v>
      </c>
      <c r="D341" s="2">
        <v>3</v>
      </c>
    </row>
    <row r="342" spans="1:4" x14ac:dyDescent="0.2">
      <c r="A342" s="1">
        <v>928</v>
      </c>
      <c r="B342" s="2">
        <v>707</v>
      </c>
      <c r="C342" s="2" t="s">
        <v>6</v>
      </c>
      <c r="D342" s="2">
        <v>1</v>
      </c>
    </row>
    <row r="343" spans="1:4" x14ac:dyDescent="0.2">
      <c r="A343" s="1">
        <v>928</v>
      </c>
      <c r="B343" s="2">
        <v>664</v>
      </c>
      <c r="C343" s="2" t="s">
        <v>6</v>
      </c>
      <c r="D343" s="2">
        <v>3</v>
      </c>
    </row>
    <row r="344" spans="1:4" x14ac:dyDescent="0.2">
      <c r="A344" s="1">
        <v>928</v>
      </c>
      <c r="B344" s="2">
        <v>664</v>
      </c>
      <c r="C344" s="2" t="s">
        <v>6</v>
      </c>
      <c r="D344" s="2">
        <v>2</v>
      </c>
    </row>
    <row r="345" spans="1:4" x14ac:dyDescent="0.2">
      <c r="A345" s="1">
        <v>30</v>
      </c>
      <c r="B345" s="2">
        <v>664</v>
      </c>
      <c r="C345" s="2" t="s">
        <v>6</v>
      </c>
      <c r="D345" s="2">
        <v>1</v>
      </c>
    </row>
    <row r="346" spans="1:4" x14ac:dyDescent="0.2">
      <c r="A346" s="1">
        <v>186</v>
      </c>
      <c r="B346" s="2">
        <v>664</v>
      </c>
      <c r="C346" s="2" t="s">
        <v>6</v>
      </c>
      <c r="D346" s="2">
        <v>1</v>
      </c>
    </row>
    <row r="347" spans="1:4" x14ac:dyDescent="0.2">
      <c r="A347" s="1">
        <v>186</v>
      </c>
      <c r="B347" s="2">
        <v>664</v>
      </c>
      <c r="C347" s="2" t="s">
        <v>6</v>
      </c>
      <c r="D347" s="2">
        <v>1</v>
      </c>
    </row>
    <row r="348" spans="1:4" x14ac:dyDescent="0.2">
      <c r="A348" s="1">
        <v>359</v>
      </c>
      <c r="B348" s="2">
        <v>710</v>
      </c>
      <c r="C348" s="2" t="s">
        <v>5</v>
      </c>
      <c r="D348" s="2">
        <v>2</v>
      </c>
    </row>
    <row r="349" spans="1:4" x14ac:dyDescent="0.2">
      <c r="A349" s="1">
        <v>470</v>
      </c>
      <c r="B349" s="2">
        <v>664</v>
      </c>
      <c r="C349" s="2" t="s">
        <v>7</v>
      </c>
      <c r="D349" s="2">
        <v>1</v>
      </c>
    </row>
    <row r="350" spans="1:4" x14ac:dyDescent="0.2">
      <c r="A350" s="1">
        <v>618</v>
      </c>
      <c r="B350" s="2">
        <v>710</v>
      </c>
      <c r="C350" s="2" t="s">
        <v>5</v>
      </c>
      <c r="D350" s="2">
        <v>3</v>
      </c>
    </row>
    <row r="351" spans="1:4" x14ac:dyDescent="0.2">
      <c r="A351" s="1">
        <v>618</v>
      </c>
      <c r="B351" s="2">
        <v>710</v>
      </c>
      <c r="C351" s="2" t="s">
        <v>5</v>
      </c>
      <c r="D351" s="2">
        <v>5</v>
      </c>
    </row>
    <row r="352" spans="1:4" x14ac:dyDescent="0.2">
      <c r="A352" s="1">
        <v>725</v>
      </c>
      <c r="B352" s="2">
        <v>664</v>
      </c>
      <c r="C352" s="2" t="s">
        <v>6</v>
      </c>
      <c r="D352" s="2">
        <v>1</v>
      </c>
    </row>
    <row r="353" spans="1:4" x14ac:dyDescent="0.2">
      <c r="A353" s="1">
        <v>725</v>
      </c>
      <c r="B353" s="2">
        <v>664</v>
      </c>
      <c r="C353" s="2" t="s">
        <v>6</v>
      </c>
      <c r="D353" s="2">
        <v>1</v>
      </c>
    </row>
    <row r="354" spans="1:4" x14ac:dyDescent="0.2">
      <c r="A354" s="1">
        <v>815</v>
      </c>
      <c r="B354" s="2">
        <v>710</v>
      </c>
      <c r="C354" s="2" t="s">
        <v>5</v>
      </c>
      <c r="D354" s="2">
        <v>2</v>
      </c>
    </row>
    <row r="355" spans="1:4" x14ac:dyDescent="0.2">
      <c r="A355" s="1">
        <v>528</v>
      </c>
      <c r="B355" s="2">
        <v>664</v>
      </c>
      <c r="C355" s="2" t="s">
        <v>5</v>
      </c>
      <c r="D355" s="2">
        <v>2</v>
      </c>
    </row>
    <row r="356" spans="1:4" x14ac:dyDescent="0.2">
      <c r="A356" s="1">
        <v>528</v>
      </c>
      <c r="B356" s="2">
        <v>710</v>
      </c>
      <c r="C356" s="2" t="s">
        <v>5</v>
      </c>
      <c r="D356" s="2">
        <v>1</v>
      </c>
    </row>
    <row r="357" spans="1:4" x14ac:dyDescent="0.2">
      <c r="A357" s="1">
        <v>528</v>
      </c>
      <c r="B357" s="2">
        <v>710</v>
      </c>
      <c r="C357" s="2" t="s">
        <v>5</v>
      </c>
      <c r="D357" s="2">
        <v>1</v>
      </c>
    </row>
    <row r="358" spans="1:4" x14ac:dyDescent="0.2">
      <c r="A358" s="1">
        <v>538</v>
      </c>
      <c r="B358" s="2">
        <v>710</v>
      </c>
      <c r="C358" s="2" t="s">
        <v>5</v>
      </c>
      <c r="D358" s="2">
        <v>1</v>
      </c>
    </row>
    <row r="359" spans="1:4" x14ac:dyDescent="0.2">
      <c r="A359" s="1">
        <v>173</v>
      </c>
      <c r="B359" s="2">
        <v>710</v>
      </c>
      <c r="C359" s="2" t="s">
        <v>5</v>
      </c>
      <c r="D359" s="2">
        <v>1</v>
      </c>
    </row>
    <row r="360" spans="1:4" x14ac:dyDescent="0.2">
      <c r="A360" s="1">
        <v>102</v>
      </c>
      <c r="B360" s="2">
        <v>664</v>
      </c>
      <c r="C360" s="2" t="s">
        <v>6</v>
      </c>
      <c r="D360" s="2">
        <v>1</v>
      </c>
    </row>
    <row r="361" spans="1:4" x14ac:dyDescent="0.2">
      <c r="A361" s="1">
        <v>829</v>
      </c>
      <c r="B361" s="2">
        <v>707</v>
      </c>
      <c r="C361" s="2" t="s">
        <v>6</v>
      </c>
      <c r="D361" s="2">
        <v>1</v>
      </c>
    </row>
    <row r="362" spans="1:4" x14ac:dyDescent="0.2">
      <c r="A362" s="1">
        <v>829</v>
      </c>
      <c r="B362" s="2">
        <v>664</v>
      </c>
      <c r="C362" s="2" t="s">
        <v>6</v>
      </c>
      <c r="D362" s="2">
        <v>1</v>
      </c>
    </row>
    <row r="363" spans="1:4" x14ac:dyDescent="0.2">
      <c r="A363" s="1">
        <v>173</v>
      </c>
      <c r="B363" s="2">
        <v>664</v>
      </c>
      <c r="C363" s="2" t="s">
        <v>6</v>
      </c>
      <c r="D363" s="2">
        <v>1</v>
      </c>
    </row>
    <row r="364" spans="1:4" x14ac:dyDescent="0.2">
      <c r="A364" s="1">
        <v>173</v>
      </c>
      <c r="B364" s="2">
        <v>664</v>
      </c>
      <c r="C364" s="2" t="s">
        <v>6</v>
      </c>
      <c r="D364" s="2">
        <v>1</v>
      </c>
    </row>
    <row r="365" spans="1:4" x14ac:dyDescent="0.2">
      <c r="A365" s="1">
        <v>639</v>
      </c>
      <c r="B365" s="2">
        <v>664</v>
      </c>
      <c r="C365" s="2" t="s">
        <v>6</v>
      </c>
      <c r="D365" s="2">
        <v>1</v>
      </c>
    </row>
    <row r="366" spans="1:4" x14ac:dyDescent="0.2">
      <c r="A366" s="1">
        <v>238</v>
      </c>
      <c r="B366" s="2">
        <v>664</v>
      </c>
      <c r="C366" s="2" t="s">
        <v>6</v>
      </c>
      <c r="D366" s="2">
        <v>1</v>
      </c>
    </row>
    <row r="367" spans="1:4" x14ac:dyDescent="0.2">
      <c r="A367" s="1">
        <v>238</v>
      </c>
      <c r="B367" s="2">
        <v>664</v>
      </c>
      <c r="C367" s="2" t="s">
        <v>6</v>
      </c>
      <c r="D367" s="2">
        <v>1</v>
      </c>
    </row>
    <row r="368" spans="1:4" x14ac:dyDescent="0.2">
      <c r="A368" s="1">
        <v>238</v>
      </c>
      <c r="B368" s="2">
        <v>664</v>
      </c>
      <c r="C368" s="2" t="s">
        <v>6</v>
      </c>
      <c r="D368" s="2">
        <v>1</v>
      </c>
    </row>
    <row r="369" spans="1:4" x14ac:dyDescent="0.2">
      <c r="A369" s="1">
        <v>871</v>
      </c>
      <c r="B369" s="2">
        <v>284</v>
      </c>
      <c r="C369" s="2" t="s">
        <v>7</v>
      </c>
      <c r="D369" s="2">
        <v>1</v>
      </c>
    </row>
    <row r="370" spans="1:4" x14ac:dyDescent="0.2">
      <c r="A370" s="1">
        <v>230</v>
      </c>
      <c r="B370" s="2">
        <v>664</v>
      </c>
      <c r="C370" s="2" t="s">
        <v>6</v>
      </c>
      <c r="D370" s="2">
        <v>1</v>
      </c>
    </row>
    <row r="371" spans="1:4" x14ac:dyDescent="0.2">
      <c r="A371" s="1">
        <v>230</v>
      </c>
      <c r="B371" s="2">
        <v>664</v>
      </c>
      <c r="C371" s="2" t="s">
        <v>6</v>
      </c>
      <c r="D371" s="2">
        <v>1</v>
      </c>
    </row>
    <row r="372" spans="1:4" x14ac:dyDescent="0.2">
      <c r="A372" s="1">
        <v>624</v>
      </c>
      <c r="B372" s="2">
        <v>664</v>
      </c>
      <c r="C372" s="2" t="s">
        <v>6</v>
      </c>
      <c r="D372" s="2">
        <v>1</v>
      </c>
    </row>
    <row r="373" spans="1:4" x14ac:dyDescent="0.2">
      <c r="A373" s="1">
        <v>727</v>
      </c>
      <c r="B373" s="2">
        <v>664</v>
      </c>
      <c r="C373" s="2" t="s">
        <v>6</v>
      </c>
      <c r="D373" s="2">
        <v>1</v>
      </c>
    </row>
    <row r="374" spans="1:4" x14ac:dyDescent="0.2">
      <c r="A374" s="1">
        <v>727</v>
      </c>
      <c r="B374" s="2">
        <v>664</v>
      </c>
      <c r="C374" s="2" t="s">
        <v>6</v>
      </c>
      <c r="D374" s="2">
        <v>1</v>
      </c>
    </row>
    <row r="375" spans="1:4" x14ac:dyDescent="0.2">
      <c r="A375" s="1">
        <v>727</v>
      </c>
      <c r="B375" s="2">
        <v>664</v>
      </c>
      <c r="C375" s="2" t="s">
        <v>6</v>
      </c>
      <c r="D375" s="2">
        <v>1</v>
      </c>
    </row>
    <row r="376" spans="1:4" x14ac:dyDescent="0.2">
      <c r="A376" s="1">
        <v>946</v>
      </c>
      <c r="B376" s="2">
        <v>664</v>
      </c>
      <c r="C376" s="2" t="s">
        <v>6</v>
      </c>
      <c r="D376" s="2">
        <v>3</v>
      </c>
    </row>
    <row r="377" spans="1:4" x14ac:dyDescent="0.2">
      <c r="A377" s="1">
        <v>946</v>
      </c>
      <c r="B377" s="2">
        <v>664</v>
      </c>
      <c r="C377" s="2" t="s">
        <v>6</v>
      </c>
      <c r="D377" s="2">
        <v>3</v>
      </c>
    </row>
    <row r="378" spans="1:4" x14ac:dyDescent="0.2">
      <c r="A378" s="1">
        <v>946</v>
      </c>
      <c r="B378" s="2">
        <v>664</v>
      </c>
      <c r="C378" s="2" t="s">
        <v>6</v>
      </c>
      <c r="D378" s="2">
        <v>1</v>
      </c>
    </row>
    <row r="379" spans="1:4" x14ac:dyDescent="0.2">
      <c r="A379" s="1">
        <v>342</v>
      </c>
      <c r="B379" s="2">
        <v>664</v>
      </c>
      <c r="C379" s="2" t="s">
        <v>5</v>
      </c>
      <c r="D379" s="2">
        <v>1</v>
      </c>
    </row>
    <row r="380" spans="1:4" x14ac:dyDescent="0.2">
      <c r="A380" s="1">
        <v>342</v>
      </c>
      <c r="B380" s="2">
        <v>664</v>
      </c>
      <c r="C380" s="2" t="s">
        <v>5</v>
      </c>
      <c r="D380" s="2">
        <v>1</v>
      </c>
    </row>
    <row r="381" spans="1:4" x14ac:dyDescent="0.2">
      <c r="A381" s="1">
        <v>241</v>
      </c>
      <c r="B381" s="2">
        <v>664</v>
      </c>
      <c r="C381" s="2" t="s">
        <v>6</v>
      </c>
      <c r="D381" s="2">
        <v>1</v>
      </c>
    </row>
    <row r="382" spans="1:4" x14ac:dyDescent="0.2">
      <c r="A382" s="1">
        <v>241</v>
      </c>
      <c r="B382" s="2">
        <v>664</v>
      </c>
      <c r="C382" s="2" t="s">
        <v>6</v>
      </c>
      <c r="D382" s="2">
        <v>1</v>
      </c>
    </row>
    <row r="383" spans="1:4" x14ac:dyDescent="0.2">
      <c r="A383" s="1">
        <v>640</v>
      </c>
      <c r="B383" s="2">
        <v>664</v>
      </c>
      <c r="C383" s="2" t="s">
        <v>6</v>
      </c>
      <c r="D383" s="2">
        <v>1</v>
      </c>
    </row>
    <row r="384" spans="1:4" x14ac:dyDescent="0.2">
      <c r="A384" s="1">
        <v>640</v>
      </c>
      <c r="B384" s="2">
        <v>664</v>
      </c>
      <c r="C384" s="2" t="s">
        <v>6</v>
      </c>
      <c r="D384" s="2">
        <v>1</v>
      </c>
    </row>
    <row r="385" spans="1:4" x14ac:dyDescent="0.2">
      <c r="A385" s="1">
        <v>640</v>
      </c>
      <c r="B385" s="2">
        <v>664</v>
      </c>
      <c r="C385" s="2" t="s">
        <v>6</v>
      </c>
      <c r="D385" s="2">
        <v>1</v>
      </c>
    </row>
    <row r="386" spans="1:4" x14ac:dyDescent="0.2">
      <c r="A386" s="1">
        <v>821</v>
      </c>
      <c r="B386" s="2">
        <v>664</v>
      </c>
      <c r="C386" s="2" t="s">
        <v>6</v>
      </c>
      <c r="D386" s="2">
        <v>1</v>
      </c>
    </row>
    <row r="387" spans="1:4" x14ac:dyDescent="0.2">
      <c r="A387" s="1">
        <v>821</v>
      </c>
      <c r="B387" s="2">
        <v>664</v>
      </c>
      <c r="C387" s="2" t="s">
        <v>6</v>
      </c>
      <c r="D387" s="2">
        <v>1</v>
      </c>
    </row>
    <row r="388" spans="1:4" x14ac:dyDescent="0.2">
      <c r="A388" s="1">
        <v>191</v>
      </c>
      <c r="B388" s="2">
        <v>707</v>
      </c>
      <c r="C388" s="2" t="s">
        <v>6</v>
      </c>
      <c r="D388" s="2">
        <v>1</v>
      </c>
    </row>
    <row r="389" spans="1:4" x14ac:dyDescent="0.2">
      <c r="A389" s="1">
        <v>191</v>
      </c>
      <c r="B389" s="2">
        <v>664</v>
      </c>
      <c r="C389" s="2" t="s">
        <v>6</v>
      </c>
      <c r="D389" s="2">
        <v>2</v>
      </c>
    </row>
    <row r="390" spans="1:4" x14ac:dyDescent="0.2">
      <c r="A390" s="1">
        <v>191</v>
      </c>
      <c r="B390" s="2">
        <v>664</v>
      </c>
      <c r="C390" s="2" t="s">
        <v>6</v>
      </c>
      <c r="D390" s="2">
        <v>1</v>
      </c>
    </row>
    <row r="391" spans="1:4" x14ac:dyDescent="0.2">
      <c r="A391" s="1">
        <v>407</v>
      </c>
      <c r="B391" s="2">
        <v>682</v>
      </c>
      <c r="C391" s="2" t="s">
        <v>6</v>
      </c>
      <c r="D391" s="2">
        <v>1</v>
      </c>
    </row>
    <row r="392" spans="1:4" x14ac:dyDescent="0.2">
      <c r="A392" s="1">
        <v>407</v>
      </c>
      <c r="B392" s="2">
        <v>664</v>
      </c>
      <c r="C392" s="2" t="s">
        <v>6</v>
      </c>
      <c r="D392" s="2">
        <v>1</v>
      </c>
    </row>
    <row r="393" spans="1:4" x14ac:dyDescent="0.2">
      <c r="A393" s="1">
        <v>407</v>
      </c>
      <c r="B393" s="2">
        <v>664</v>
      </c>
      <c r="C393" s="2" t="s">
        <v>6</v>
      </c>
      <c r="D393" s="2">
        <v>1</v>
      </c>
    </row>
    <row r="394" spans="1:4" x14ac:dyDescent="0.2">
      <c r="A394" s="1">
        <v>407</v>
      </c>
      <c r="B394" s="2">
        <v>664</v>
      </c>
      <c r="C394" s="2" t="s">
        <v>6</v>
      </c>
      <c r="D394" s="2">
        <v>1</v>
      </c>
    </row>
    <row r="395" spans="1:4" x14ac:dyDescent="0.2">
      <c r="A395" s="1">
        <v>940</v>
      </c>
      <c r="B395" s="2">
        <v>710</v>
      </c>
      <c r="C395" s="2" t="s">
        <v>5</v>
      </c>
      <c r="D395" s="2">
        <v>1</v>
      </c>
    </row>
    <row r="396" spans="1:4" x14ac:dyDescent="0.2">
      <c r="A396" s="1">
        <v>759</v>
      </c>
      <c r="B396" s="2">
        <v>664</v>
      </c>
      <c r="C396" s="2" t="s">
        <v>6</v>
      </c>
      <c r="D396" s="2">
        <v>1</v>
      </c>
    </row>
    <row r="397" spans="1:4" x14ac:dyDescent="0.2">
      <c r="A397" s="1">
        <v>759</v>
      </c>
      <c r="B397" s="2">
        <v>664</v>
      </c>
      <c r="C397" s="2" t="s">
        <v>6</v>
      </c>
      <c r="D397" s="2">
        <v>1</v>
      </c>
    </row>
    <row r="398" spans="1:4" x14ac:dyDescent="0.2">
      <c r="A398" s="1">
        <v>118</v>
      </c>
      <c r="B398" s="2">
        <v>710</v>
      </c>
      <c r="C398" s="2" t="s">
        <v>5</v>
      </c>
      <c r="D398" s="2">
        <v>1</v>
      </c>
    </row>
    <row r="399" spans="1:4" x14ac:dyDescent="0.2">
      <c r="A399" s="1">
        <v>130</v>
      </c>
      <c r="B399" s="2">
        <v>664</v>
      </c>
      <c r="C399" s="2" t="s">
        <v>7</v>
      </c>
      <c r="D399" s="2">
        <v>1</v>
      </c>
    </row>
    <row r="400" spans="1:4" x14ac:dyDescent="0.2">
      <c r="A400" s="1">
        <v>174</v>
      </c>
      <c r="B400" s="2">
        <v>664</v>
      </c>
      <c r="C400" s="2" t="s">
        <v>6</v>
      </c>
      <c r="D400" s="2">
        <v>2</v>
      </c>
    </row>
    <row r="401" spans="1:4" x14ac:dyDescent="0.2">
      <c r="A401" s="1">
        <v>174</v>
      </c>
      <c r="B401" s="2">
        <v>664</v>
      </c>
      <c r="C401" s="2" t="s">
        <v>6</v>
      </c>
      <c r="D401" s="2">
        <v>2</v>
      </c>
    </row>
    <row r="402" spans="1:4" x14ac:dyDescent="0.2">
      <c r="A402" s="1">
        <v>598</v>
      </c>
      <c r="B402" s="2">
        <v>710</v>
      </c>
      <c r="C402" s="2" t="s">
        <v>5</v>
      </c>
      <c r="D402" s="2">
        <v>2</v>
      </c>
    </row>
    <row r="403" spans="1:4" x14ac:dyDescent="0.2">
      <c r="A403" s="1">
        <v>251</v>
      </c>
      <c r="B403" s="2">
        <v>710</v>
      </c>
      <c r="C403" s="2" t="s">
        <v>5</v>
      </c>
      <c r="D403" s="2">
        <v>1</v>
      </c>
    </row>
    <row r="404" spans="1:4" x14ac:dyDescent="0.2">
      <c r="A404" s="1">
        <v>44</v>
      </c>
      <c r="B404" s="2">
        <v>664</v>
      </c>
      <c r="C404" s="2" t="s">
        <v>6</v>
      </c>
      <c r="D404" s="2">
        <v>1</v>
      </c>
    </row>
    <row r="405" spans="1:4" x14ac:dyDescent="0.2">
      <c r="A405" s="1">
        <v>772</v>
      </c>
      <c r="B405" s="2">
        <v>710</v>
      </c>
      <c r="C405" s="2" t="s">
        <v>5</v>
      </c>
      <c r="D405" s="2">
        <v>1</v>
      </c>
    </row>
    <row r="406" spans="1:4" x14ac:dyDescent="0.2">
      <c r="A406" s="1">
        <v>127</v>
      </c>
      <c r="B406" s="2">
        <v>710</v>
      </c>
      <c r="C406" s="2" t="s">
        <v>5</v>
      </c>
      <c r="D406" s="2">
        <v>1</v>
      </c>
    </row>
    <row r="407" spans="1:4" x14ac:dyDescent="0.2">
      <c r="A407" s="1">
        <v>188</v>
      </c>
      <c r="B407" s="2">
        <v>682</v>
      </c>
      <c r="C407" s="2" t="s">
        <v>7</v>
      </c>
      <c r="D407" s="2">
        <v>1</v>
      </c>
    </row>
    <row r="408" spans="1:4" x14ac:dyDescent="0.2">
      <c r="A408" s="1">
        <v>390</v>
      </c>
      <c r="B408" s="2">
        <v>710</v>
      </c>
      <c r="C408" s="2" t="s">
        <v>5</v>
      </c>
      <c r="D408" s="2">
        <v>1</v>
      </c>
    </row>
    <row r="409" spans="1:4" x14ac:dyDescent="0.2">
      <c r="A409" s="1">
        <v>237</v>
      </c>
      <c r="B409" s="2">
        <v>707</v>
      </c>
      <c r="C409" s="2" t="s">
        <v>6</v>
      </c>
      <c r="D409" s="2">
        <v>1</v>
      </c>
    </row>
    <row r="410" spans="1:4" x14ac:dyDescent="0.2">
      <c r="A410" s="1">
        <v>237</v>
      </c>
      <c r="B410" s="2">
        <v>664</v>
      </c>
      <c r="C410" s="2" t="s">
        <v>6</v>
      </c>
      <c r="D410" s="2">
        <v>2</v>
      </c>
    </row>
    <row r="411" spans="1:4" x14ac:dyDescent="0.2">
      <c r="A411" s="1">
        <v>237</v>
      </c>
      <c r="B411" s="2">
        <v>664</v>
      </c>
      <c r="C411" s="2" t="s">
        <v>6</v>
      </c>
      <c r="D411" s="2">
        <v>1</v>
      </c>
    </row>
    <row r="412" spans="1:4" x14ac:dyDescent="0.2">
      <c r="A412" s="1">
        <v>350</v>
      </c>
      <c r="B412" s="2">
        <v>664</v>
      </c>
      <c r="C412" s="2" t="s">
        <v>6</v>
      </c>
      <c r="D412" s="2">
        <v>1</v>
      </c>
    </row>
    <row r="413" spans="1:4" x14ac:dyDescent="0.2">
      <c r="A413" s="1">
        <v>647</v>
      </c>
      <c r="B413" s="2">
        <v>664</v>
      </c>
      <c r="C413" s="2" t="s">
        <v>6</v>
      </c>
      <c r="D413" s="2">
        <v>1</v>
      </c>
    </row>
    <row r="414" spans="1:4" x14ac:dyDescent="0.2">
      <c r="A414" s="1">
        <v>542</v>
      </c>
      <c r="B414" s="2">
        <v>710</v>
      </c>
      <c r="C414" s="2" t="s">
        <v>5</v>
      </c>
      <c r="D414" s="2">
        <v>1</v>
      </c>
    </row>
    <row r="415" spans="1:4" x14ac:dyDescent="0.2">
      <c r="A415" s="1">
        <v>152</v>
      </c>
      <c r="B415" s="2">
        <v>664</v>
      </c>
      <c r="C415" s="2" t="s">
        <v>7</v>
      </c>
      <c r="D415" s="2">
        <v>2</v>
      </c>
    </row>
    <row r="416" spans="1:4" x14ac:dyDescent="0.2">
      <c r="A416" s="1">
        <v>829</v>
      </c>
      <c r="B416" s="2">
        <v>710</v>
      </c>
      <c r="C416" s="2" t="s">
        <v>5</v>
      </c>
      <c r="D416" s="2">
        <v>4</v>
      </c>
    </row>
    <row r="417" spans="1:4" x14ac:dyDescent="0.2">
      <c r="A417" s="1">
        <v>247</v>
      </c>
      <c r="B417" s="2">
        <v>664</v>
      </c>
      <c r="C417" s="2" t="s">
        <v>6</v>
      </c>
      <c r="D417" s="2">
        <v>1</v>
      </c>
    </row>
    <row r="418" spans="1:4" x14ac:dyDescent="0.2">
      <c r="A418" s="1">
        <v>933</v>
      </c>
      <c r="B418" s="2">
        <v>710</v>
      </c>
      <c r="C418" s="2" t="s">
        <v>5</v>
      </c>
      <c r="D418" s="2">
        <v>10</v>
      </c>
    </row>
    <row r="419" spans="1:4" x14ac:dyDescent="0.2">
      <c r="A419" s="1">
        <v>653</v>
      </c>
      <c r="B419" s="2">
        <v>664</v>
      </c>
      <c r="C419" s="2" t="s">
        <v>6</v>
      </c>
      <c r="D419" s="2">
        <v>2</v>
      </c>
    </row>
    <row r="420" spans="1:4" x14ac:dyDescent="0.2">
      <c r="A420" s="1">
        <v>653</v>
      </c>
      <c r="B420" s="2">
        <v>664</v>
      </c>
      <c r="C420" s="2" t="s">
        <v>6</v>
      </c>
      <c r="D420" s="2">
        <v>2</v>
      </c>
    </row>
    <row r="421" spans="1:4" x14ac:dyDescent="0.2">
      <c r="A421" s="1">
        <v>923</v>
      </c>
      <c r="B421" s="2">
        <v>710</v>
      </c>
      <c r="C421" s="2" t="s">
        <v>5</v>
      </c>
      <c r="D421" s="2">
        <v>1</v>
      </c>
    </row>
    <row r="422" spans="1:4" x14ac:dyDescent="0.2">
      <c r="A422" s="1">
        <v>832</v>
      </c>
      <c r="B422" s="2">
        <v>664</v>
      </c>
      <c r="C422" s="2" t="s">
        <v>6</v>
      </c>
      <c r="D422" s="2">
        <v>1</v>
      </c>
    </row>
    <row r="423" spans="1:4" x14ac:dyDescent="0.2">
      <c r="A423" s="1">
        <v>832</v>
      </c>
      <c r="B423" s="2">
        <v>664</v>
      </c>
      <c r="C423" s="2" t="s">
        <v>6</v>
      </c>
      <c r="D423" s="2">
        <v>1</v>
      </c>
    </row>
    <row r="424" spans="1:4" x14ac:dyDescent="0.2">
      <c r="A424" s="1">
        <v>832</v>
      </c>
      <c r="B424" s="2">
        <v>682</v>
      </c>
      <c r="C424" s="2" t="s">
        <v>6</v>
      </c>
      <c r="D424" s="2">
        <v>2</v>
      </c>
    </row>
    <row r="425" spans="1:4" x14ac:dyDescent="0.2">
      <c r="A425" s="1">
        <v>589</v>
      </c>
      <c r="B425" s="2">
        <v>710</v>
      </c>
      <c r="C425" s="2" t="s">
        <v>5</v>
      </c>
      <c r="D425" s="2">
        <v>2</v>
      </c>
    </row>
    <row r="426" spans="1:4" x14ac:dyDescent="0.2">
      <c r="A426" s="1">
        <v>391</v>
      </c>
      <c r="B426" s="2">
        <v>710</v>
      </c>
      <c r="C426" s="2" t="s">
        <v>5</v>
      </c>
      <c r="D426" s="2">
        <v>3</v>
      </c>
    </row>
    <row r="427" spans="1:4" x14ac:dyDescent="0.2">
      <c r="A427" s="1">
        <v>391</v>
      </c>
      <c r="B427" s="2">
        <v>710</v>
      </c>
      <c r="C427" s="2" t="s">
        <v>5</v>
      </c>
      <c r="D427" s="2">
        <v>5</v>
      </c>
    </row>
    <row r="428" spans="1:4" x14ac:dyDescent="0.2">
      <c r="A428" s="1">
        <v>240</v>
      </c>
      <c r="B428" s="2">
        <v>710</v>
      </c>
      <c r="C428" s="2" t="s">
        <v>5</v>
      </c>
      <c r="D428" s="2">
        <v>6</v>
      </c>
    </row>
    <row r="429" spans="1:4" x14ac:dyDescent="0.2">
      <c r="A429" s="1">
        <v>144</v>
      </c>
      <c r="B429" s="2">
        <v>710</v>
      </c>
      <c r="C429" s="2" t="s">
        <v>5</v>
      </c>
      <c r="D429" s="2">
        <v>1</v>
      </c>
    </row>
    <row r="430" spans="1:4" x14ac:dyDescent="0.2">
      <c r="A430" s="1">
        <v>467</v>
      </c>
      <c r="B430" s="2">
        <v>710</v>
      </c>
      <c r="C430" s="2" t="s">
        <v>5</v>
      </c>
      <c r="D430" s="2">
        <v>2</v>
      </c>
    </row>
    <row r="431" spans="1:4" x14ac:dyDescent="0.2">
      <c r="A431" s="1">
        <v>947</v>
      </c>
      <c r="B431" s="2">
        <v>664</v>
      </c>
      <c r="C431" s="2" t="s">
        <v>6</v>
      </c>
      <c r="D431" s="2">
        <v>1</v>
      </c>
    </row>
    <row r="432" spans="1:4" x14ac:dyDescent="0.2">
      <c r="A432" s="1">
        <v>580</v>
      </c>
      <c r="B432" s="2">
        <v>664</v>
      </c>
      <c r="C432" s="2" t="s">
        <v>5</v>
      </c>
      <c r="D432" s="2">
        <v>3</v>
      </c>
    </row>
    <row r="433" spans="1:4" x14ac:dyDescent="0.2">
      <c r="A433" s="1">
        <v>539</v>
      </c>
      <c r="B433" s="2">
        <v>710</v>
      </c>
      <c r="C433" s="2" t="s">
        <v>5</v>
      </c>
      <c r="D433" s="2">
        <v>1</v>
      </c>
    </row>
    <row r="434" spans="1:4" x14ac:dyDescent="0.2">
      <c r="A434" s="1">
        <v>451</v>
      </c>
      <c r="B434" s="2">
        <v>710</v>
      </c>
      <c r="C434" s="2" t="s">
        <v>5</v>
      </c>
      <c r="D434" s="2">
        <v>3</v>
      </c>
    </row>
    <row r="435" spans="1:4" x14ac:dyDescent="0.2">
      <c r="A435" s="1">
        <v>451</v>
      </c>
      <c r="B435" s="2">
        <v>664</v>
      </c>
      <c r="C435" s="2" t="s">
        <v>5</v>
      </c>
      <c r="D435" s="2">
        <v>1</v>
      </c>
    </row>
    <row r="436" spans="1:4" x14ac:dyDescent="0.2">
      <c r="A436" s="1">
        <v>727</v>
      </c>
      <c r="B436" s="2">
        <v>710</v>
      </c>
      <c r="C436" s="2" t="s">
        <v>5</v>
      </c>
      <c r="D436" s="2">
        <v>4</v>
      </c>
    </row>
    <row r="437" spans="1:4" x14ac:dyDescent="0.2">
      <c r="A437" s="1">
        <v>478</v>
      </c>
      <c r="B437" s="2">
        <v>664</v>
      </c>
      <c r="C437" s="2" t="s">
        <v>6</v>
      </c>
      <c r="D437" s="2">
        <v>1</v>
      </c>
    </row>
    <row r="438" spans="1:4" x14ac:dyDescent="0.2">
      <c r="A438" s="1">
        <v>923</v>
      </c>
      <c r="B438" s="2">
        <v>707</v>
      </c>
      <c r="C438" s="2" t="s">
        <v>6</v>
      </c>
      <c r="D438" s="2">
        <v>2</v>
      </c>
    </row>
    <row r="439" spans="1:4" x14ac:dyDescent="0.2">
      <c r="A439" s="1">
        <v>923</v>
      </c>
      <c r="B439" s="2">
        <v>664</v>
      </c>
      <c r="C439" s="2" t="s">
        <v>6</v>
      </c>
      <c r="D439" s="2">
        <v>3</v>
      </c>
    </row>
    <row r="440" spans="1:4" x14ac:dyDescent="0.2">
      <c r="A440" s="1">
        <v>923</v>
      </c>
      <c r="B440" s="2">
        <v>664</v>
      </c>
      <c r="C440" s="2" t="s">
        <v>6</v>
      </c>
      <c r="D440" s="2">
        <v>1</v>
      </c>
    </row>
    <row r="441" spans="1:4" x14ac:dyDescent="0.2">
      <c r="A441" s="1">
        <v>923</v>
      </c>
      <c r="B441" s="2">
        <v>664</v>
      </c>
      <c r="C441" s="2" t="s">
        <v>6</v>
      </c>
      <c r="D441" s="2">
        <v>2</v>
      </c>
    </row>
    <row r="442" spans="1:4" x14ac:dyDescent="0.2">
      <c r="A442" s="1">
        <v>757</v>
      </c>
      <c r="B442" s="2">
        <v>664</v>
      </c>
      <c r="C442" s="2" t="s">
        <v>6</v>
      </c>
      <c r="D442" s="2">
        <v>2</v>
      </c>
    </row>
    <row r="443" spans="1:4" x14ac:dyDescent="0.2">
      <c r="A443" s="1">
        <v>584</v>
      </c>
      <c r="B443" s="2">
        <v>664</v>
      </c>
      <c r="C443" s="2" t="s">
        <v>6</v>
      </c>
      <c r="D443" s="2">
        <v>1</v>
      </c>
    </row>
    <row r="444" spans="1:4" x14ac:dyDescent="0.2">
      <c r="A444" s="1">
        <v>584</v>
      </c>
      <c r="B444" s="2">
        <v>664</v>
      </c>
      <c r="C444" s="2" t="s">
        <v>6</v>
      </c>
      <c r="D444" s="2">
        <v>1</v>
      </c>
    </row>
    <row r="445" spans="1:4" x14ac:dyDescent="0.2">
      <c r="A445" s="1">
        <v>718</v>
      </c>
      <c r="B445" s="2">
        <v>710</v>
      </c>
      <c r="C445" s="2" t="s">
        <v>5</v>
      </c>
      <c r="D445" s="2">
        <v>2</v>
      </c>
    </row>
    <row r="446" spans="1:4" x14ac:dyDescent="0.2">
      <c r="A446" s="1">
        <v>718</v>
      </c>
      <c r="B446" s="2">
        <v>710</v>
      </c>
      <c r="C446" s="2" t="s">
        <v>5</v>
      </c>
      <c r="D446" s="2">
        <v>1</v>
      </c>
    </row>
    <row r="447" spans="1:4" x14ac:dyDescent="0.2">
      <c r="A447" s="1">
        <v>708</v>
      </c>
      <c r="B447" s="2">
        <v>710</v>
      </c>
      <c r="C447" s="2" t="s">
        <v>5</v>
      </c>
      <c r="D447" s="2">
        <v>1</v>
      </c>
    </row>
    <row r="448" spans="1:4" x14ac:dyDescent="0.2">
      <c r="A448" s="1">
        <v>282</v>
      </c>
      <c r="B448" s="2">
        <v>710</v>
      </c>
      <c r="C448" s="2" t="s">
        <v>5</v>
      </c>
      <c r="D448" s="2">
        <v>3</v>
      </c>
    </row>
    <row r="449" spans="1:4" x14ac:dyDescent="0.2">
      <c r="A449" s="1">
        <v>282</v>
      </c>
      <c r="B449" s="2">
        <v>710</v>
      </c>
      <c r="C449" s="2" t="s">
        <v>5</v>
      </c>
      <c r="D449" s="2">
        <v>7</v>
      </c>
    </row>
    <row r="450" spans="1:4" x14ac:dyDescent="0.2">
      <c r="A450" s="1">
        <v>282</v>
      </c>
      <c r="B450" s="2">
        <v>664</v>
      </c>
      <c r="C450" s="2" t="s">
        <v>5</v>
      </c>
      <c r="D450" s="2">
        <v>1</v>
      </c>
    </row>
    <row r="451" spans="1:4" x14ac:dyDescent="0.2">
      <c r="A451" s="1">
        <v>5</v>
      </c>
      <c r="B451" s="2">
        <v>707</v>
      </c>
      <c r="C451" s="2" t="s">
        <v>7</v>
      </c>
      <c r="D451" s="2">
        <v>1</v>
      </c>
    </row>
    <row r="452" spans="1:4" x14ac:dyDescent="0.2">
      <c r="A452" s="1">
        <v>465</v>
      </c>
      <c r="B452" s="2">
        <v>664</v>
      </c>
      <c r="C452" s="2" t="s">
        <v>6</v>
      </c>
      <c r="D452" s="2">
        <v>1</v>
      </c>
    </row>
    <row r="453" spans="1:4" x14ac:dyDescent="0.2">
      <c r="A453" s="1">
        <v>172</v>
      </c>
      <c r="B453" s="2">
        <v>664</v>
      </c>
      <c r="C453" s="2" t="s">
        <v>6</v>
      </c>
      <c r="D453" s="2">
        <v>1</v>
      </c>
    </row>
    <row r="454" spans="1:4" x14ac:dyDescent="0.2">
      <c r="A454" s="1">
        <v>612</v>
      </c>
      <c r="B454" s="2">
        <v>710</v>
      </c>
      <c r="C454" s="2" t="s">
        <v>5</v>
      </c>
      <c r="D454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4A38-4A98-D641-AA31-65E909584E44}">
  <dimension ref="A1:K254"/>
  <sheetViews>
    <sheetView zoomScaleNormal="100" workbookViewId="0">
      <selection activeCell="F107" sqref="F107:G107"/>
    </sheetView>
  </sheetViews>
  <sheetFormatPr baseColWidth="10" defaultRowHeight="16" x14ac:dyDescent="0.2"/>
  <cols>
    <col min="4" max="4" width="11.6640625" customWidth="1"/>
    <col min="6" max="6" width="17.5" bestFit="1" customWidth="1"/>
    <col min="7" max="7" width="17.1640625" bestFit="1" customWidth="1"/>
    <col min="8" max="8" width="15.6640625" bestFit="1" customWidth="1"/>
  </cols>
  <sheetData>
    <row r="1" spans="1:11" x14ac:dyDescent="0.2">
      <c r="A1" s="16" t="s">
        <v>2</v>
      </c>
      <c r="B1" s="16" t="s">
        <v>0</v>
      </c>
      <c r="C1" s="16" t="s">
        <v>3</v>
      </c>
      <c r="D1" s="17" t="s">
        <v>4</v>
      </c>
      <c r="E1" s="6"/>
      <c r="F1" s="7" t="s">
        <v>11</v>
      </c>
      <c r="G1" s="7" t="s">
        <v>8</v>
      </c>
      <c r="H1" s="7"/>
      <c r="I1" s="7"/>
      <c r="J1" s="7"/>
    </row>
    <row r="2" spans="1:11" x14ac:dyDescent="0.2">
      <c r="A2" s="8" t="s">
        <v>28</v>
      </c>
      <c r="B2" s="8" t="s">
        <v>29</v>
      </c>
      <c r="C2" s="8" t="s">
        <v>6</v>
      </c>
      <c r="D2" s="14">
        <v>1</v>
      </c>
      <c r="E2" s="6"/>
      <c r="F2" s="9" t="s">
        <v>9</v>
      </c>
      <c r="G2" s="9" t="s">
        <v>7</v>
      </c>
      <c r="H2" s="9" t="s">
        <v>6</v>
      </c>
      <c r="I2" s="9" t="s">
        <v>5</v>
      </c>
      <c r="J2" s="9" t="s">
        <v>1</v>
      </c>
    </row>
    <row r="3" spans="1:11" x14ac:dyDescent="0.2">
      <c r="A3" s="10" t="s">
        <v>30</v>
      </c>
      <c r="B3" s="10" t="s">
        <v>31</v>
      </c>
      <c r="C3" s="10" t="s">
        <v>5</v>
      </c>
      <c r="D3" s="15">
        <v>4</v>
      </c>
      <c r="E3" s="6"/>
      <c r="F3" s="11">
        <v>664</v>
      </c>
      <c r="G3" s="6">
        <v>14</v>
      </c>
      <c r="H3" s="6">
        <v>330</v>
      </c>
      <c r="I3" s="6">
        <v>29</v>
      </c>
      <c r="J3" s="6">
        <v>373</v>
      </c>
      <c r="K3">
        <v>427</v>
      </c>
    </row>
    <row r="4" spans="1:11" x14ac:dyDescent="0.2">
      <c r="A4" s="8" t="s">
        <v>30</v>
      </c>
      <c r="B4" s="8" t="s">
        <v>31</v>
      </c>
      <c r="C4" s="8" t="s">
        <v>5</v>
      </c>
      <c r="D4" s="14">
        <v>1</v>
      </c>
      <c r="E4" s="6"/>
      <c r="F4" s="11">
        <v>682</v>
      </c>
      <c r="G4" s="6"/>
      <c r="H4" s="6">
        <v>2</v>
      </c>
      <c r="I4" s="6"/>
      <c r="J4" s="6">
        <v>2</v>
      </c>
      <c r="K4">
        <v>15</v>
      </c>
    </row>
    <row r="5" spans="1:11" x14ac:dyDescent="0.2">
      <c r="A5" s="10" t="s">
        <v>32</v>
      </c>
      <c r="B5" s="10" t="s">
        <v>29</v>
      </c>
      <c r="C5" s="10" t="s">
        <v>6</v>
      </c>
      <c r="D5" s="15">
        <v>1</v>
      </c>
      <c r="E5" s="6"/>
      <c r="F5" s="11">
        <v>710</v>
      </c>
      <c r="G5" s="6">
        <v>1</v>
      </c>
      <c r="H5" s="6"/>
      <c r="I5" s="6">
        <v>71</v>
      </c>
      <c r="J5" s="6">
        <v>72</v>
      </c>
      <c r="K5">
        <v>292</v>
      </c>
    </row>
    <row r="6" spans="1:11" x14ac:dyDescent="0.2">
      <c r="A6" s="8" t="s">
        <v>32</v>
      </c>
      <c r="B6" s="8" t="s">
        <v>29</v>
      </c>
      <c r="C6" s="8" t="s">
        <v>6</v>
      </c>
      <c r="D6" s="14">
        <v>1</v>
      </c>
      <c r="E6" s="6"/>
      <c r="F6" s="12" t="s">
        <v>1</v>
      </c>
      <c r="G6" s="13">
        <v>15</v>
      </c>
      <c r="H6" s="13">
        <v>332</v>
      </c>
      <c r="I6" s="13">
        <v>100</v>
      </c>
      <c r="J6" s="13">
        <v>447</v>
      </c>
    </row>
    <row r="7" spans="1:11" x14ac:dyDescent="0.2">
      <c r="A7" s="10" t="s">
        <v>33</v>
      </c>
      <c r="B7" s="10" t="s">
        <v>29</v>
      </c>
      <c r="C7" s="10" t="s">
        <v>6</v>
      </c>
      <c r="D7" s="15">
        <v>1</v>
      </c>
      <c r="E7" s="6"/>
      <c r="F7" s="6"/>
      <c r="G7" s="20">
        <v>37</v>
      </c>
      <c r="H7" s="20">
        <v>351</v>
      </c>
      <c r="I7" s="20">
        <v>376</v>
      </c>
      <c r="J7" s="6"/>
    </row>
    <row r="8" spans="1:11" x14ac:dyDescent="0.2">
      <c r="A8" s="8" t="s">
        <v>33</v>
      </c>
      <c r="B8" s="8" t="s">
        <v>29</v>
      </c>
      <c r="C8" s="8" t="s">
        <v>6</v>
      </c>
      <c r="D8" s="14">
        <v>1</v>
      </c>
      <c r="E8" s="6"/>
      <c r="I8" s="6"/>
      <c r="J8" s="6"/>
    </row>
    <row r="9" spans="1:11" x14ac:dyDescent="0.2">
      <c r="A9" s="10" t="s">
        <v>34</v>
      </c>
      <c r="B9" s="10" t="s">
        <v>29</v>
      </c>
      <c r="C9" s="10" t="s">
        <v>6</v>
      </c>
      <c r="D9" s="15">
        <v>1</v>
      </c>
      <c r="E9" s="6"/>
      <c r="F9" s="4" t="s">
        <v>9</v>
      </c>
      <c r="G9" t="s">
        <v>202</v>
      </c>
      <c r="I9" s="6"/>
      <c r="J9" s="6"/>
    </row>
    <row r="10" spans="1:11" x14ac:dyDescent="0.2">
      <c r="A10" s="8" t="s">
        <v>35</v>
      </c>
      <c r="B10" s="8" t="s">
        <v>29</v>
      </c>
      <c r="C10" s="8" t="s">
        <v>6</v>
      </c>
      <c r="D10" s="14">
        <v>1</v>
      </c>
      <c r="E10" s="6"/>
      <c r="F10" s="5" t="s">
        <v>29</v>
      </c>
      <c r="G10">
        <v>1.7188940092165899</v>
      </c>
      <c r="I10" s="6"/>
      <c r="J10" s="6"/>
    </row>
    <row r="11" spans="1:11" x14ac:dyDescent="0.2">
      <c r="A11" s="10" t="s">
        <v>35</v>
      </c>
      <c r="B11" s="10" t="s">
        <v>29</v>
      </c>
      <c r="C11" s="10" t="s">
        <v>6</v>
      </c>
      <c r="D11" s="15">
        <v>3</v>
      </c>
      <c r="E11" s="6"/>
      <c r="F11" s="5" t="s">
        <v>97</v>
      </c>
      <c r="G11">
        <v>1</v>
      </c>
      <c r="I11" s="6"/>
      <c r="J11" s="6"/>
    </row>
    <row r="12" spans="1:11" x14ac:dyDescent="0.2">
      <c r="A12" s="8" t="s">
        <v>36</v>
      </c>
      <c r="B12" s="8" t="s">
        <v>29</v>
      </c>
      <c r="C12" s="8" t="s">
        <v>7</v>
      </c>
      <c r="D12" s="14">
        <v>1</v>
      </c>
      <c r="E12" s="6"/>
      <c r="F12" s="5" t="s">
        <v>31</v>
      </c>
      <c r="G12">
        <v>2.1176470588235294</v>
      </c>
      <c r="I12" s="6"/>
      <c r="J12" s="6"/>
    </row>
    <row r="13" spans="1:11" x14ac:dyDescent="0.2">
      <c r="A13" s="10" t="s">
        <v>37</v>
      </c>
      <c r="B13" s="10" t="s">
        <v>29</v>
      </c>
      <c r="C13" s="10" t="s">
        <v>6</v>
      </c>
      <c r="D13" s="15">
        <v>2</v>
      </c>
      <c r="E13" s="6"/>
      <c r="F13" s="5" t="s">
        <v>1</v>
      </c>
      <c r="G13">
        <v>1.766798418972332</v>
      </c>
      <c r="I13" s="6"/>
      <c r="J13" s="6"/>
    </row>
    <row r="14" spans="1:11" x14ac:dyDescent="0.2">
      <c r="A14" s="8" t="s">
        <v>37</v>
      </c>
      <c r="B14" s="8" t="s">
        <v>29</v>
      </c>
      <c r="C14" s="8" t="s">
        <v>6</v>
      </c>
      <c r="D14" s="14">
        <v>1</v>
      </c>
      <c r="E14" s="6"/>
      <c r="I14" s="6"/>
      <c r="J14" s="6"/>
    </row>
    <row r="15" spans="1:11" x14ac:dyDescent="0.2">
      <c r="A15" s="10" t="s">
        <v>38</v>
      </c>
      <c r="B15" s="10" t="s">
        <v>29</v>
      </c>
      <c r="C15" s="10" t="s">
        <v>6</v>
      </c>
      <c r="D15" s="15">
        <v>1</v>
      </c>
      <c r="E15" s="6"/>
      <c r="F15" s="4" t="s">
        <v>9</v>
      </c>
      <c r="G15" t="s">
        <v>202</v>
      </c>
      <c r="I15" s="6"/>
      <c r="J15" s="6"/>
    </row>
    <row r="16" spans="1:11" x14ac:dyDescent="0.2">
      <c r="A16" s="8" t="s">
        <v>38</v>
      </c>
      <c r="B16" s="8" t="s">
        <v>29</v>
      </c>
      <c r="C16" s="8" t="s">
        <v>6</v>
      </c>
      <c r="D16" s="14">
        <v>1</v>
      </c>
      <c r="E16" s="6"/>
      <c r="F16" s="5" t="s">
        <v>7</v>
      </c>
      <c r="G16">
        <v>1.3636363636363635</v>
      </c>
      <c r="I16" s="6"/>
      <c r="J16" s="6"/>
    </row>
    <row r="17" spans="1:10" x14ac:dyDescent="0.2">
      <c r="A17" s="10" t="s">
        <v>39</v>
      </c>
      <c r="B17" s="10" t="s">
        <v>29</v>
      </c>
      <c r="C17" s="10" t="s">
        <v>6</v>
      </c>
      <c r="D17" s="15">
        <v>1</v>
      </c>
      <c r="E17" s="6"/>
      <c r="F17" s="5" t="s">
        <v>6</v>
      </c>
      <c r="G17">
        <v>1.7473684210526317</v>
      </c>
      <c r="I17" s="6"/>
      <c r="J17" s="6"/>
    </row>
    <row r="18" spans="1:10" x14ac:dyDescent="0.2">
      <c r="A18" s="8" t="s">
        <v>39</v>
      </c>
      <c r="B18" s="8" t="s">
        <v>29</v>
      </c>
      <c r="C18" s="8" t="s">
        <v>6</v>
      </c>
      <c r="D18" s="14">
        <v>1</v>
      </c>
      <c r="E18" s="6"/>
      <c r="F18" s="5" t="s">
        <v>5</v>
      </c>
      <c r="G18">
        <v>1.9230769230769231</v>
      </c>
      <c r="I18" s="6"/>
      <c r="J18" s="6"/>
    </row>
    <row r="19" spans="1:10" x14ac:dyDescent="0.2">
      <c r="A19" s="10" t="s">
        <v>40</v>
      </c>
      <c r="B19" s="10" t="s">
        <v>29</v>
      </c>
      <c r="C19" s="10" t="s">
        <v>7</v>
      </c>
      <c r="D19" s="15">
        <v>1</v>
      </c>
      <c r="E19" s="6"/>
      <c r="F19" s="5" t="s">
        <v>1</v>
      </c>
      <c r="G19">
        <v>1.766798418972332</v>
      </c>
      <c r="I19" s="6"/>
      <c r="J19" s="6"/>
    </row>
    <row r="20" spans="1:10" x14ac:dyDescent="0.2">
      <c r="A20" s="8" t="s">
        <v>41</v>
      </c>
      <c r="B20" s="8" t="s">
        <v>29</v>
      </c>
      <c r="C20" s="8" t="s">
        <v>6</v>
      </c>
      <c r="D20" s="14">
        <v>4</v>
      </c>
      <c r="E20" s="6"/>
      <c r="I20" s="6"/>
      <c r="J20" s="6"/>
    </row>
    <row r="21" spans="1:10" x14ac:dyDescent="0.2">
      <c r="A21" s="10" t="s">
        <v>42</v>
      </c>
      <c r="B21" s="10" t="s">
        <v>29</v>
      </c>
      <c r="C21" s="10" t="s">
        <v>6</v>
      </c>
      <c r="D21" s="15">
        <v>1</v>
      </c>
      <c r="E21" s="6"/>
      <c r="F21" s="4" t="s">
        <v>9</v>
      </c>
      <c r="G21" t="s">
        <v>11</v>
      </c>
      <c r="I21" s="6"/>
      <c r="J21" s="6"/>
    </row>
    <row r="22" spans="1:10" x14ac:dyDescent="0.2">
      <c r="A22" s="8" t="s">
        <v>43</v>
      </c>
      <c r="B22" s="8" t="s">
        <v>29</v>
      </c>
      <c r="C22" s="8" t="s">
        <v>6</v>
      </c>
      <c r="D22" s="14">
        <v>1</v>
      </c>
      <c r="E22" s="6"/>
      <c r="F22" s="5" t="s">
        <v>162</v>
      </c>
      <c r="G22">
        <v>3</v>
      </c>
      <c r="H22">
        <v>1</v>
      </c>
      <c r="I22">
        <f>COUNTIF($G$22:$G$192,$H22)</f>
        <v>58</v>
      </c>
      <c r="J22">
        <f>I22*H22</f>
        <v>58</v>
      </c>
    </row>
    <row r="23" spans="1:10" x14ac:dyDescent="0.2">
      <c r="A23" s="10" t="s">
        <v>44</v>
      </c>
      <c r="B23" s="10" t="s">
        <v>29</v>
      </c>
      <c r="C23" s="10" t="s">
        <v>6</v>
      </c>
      <c r="D23" s="15">
        <v>1</v>
      </c>
      <c r="E23" s="6"/>
      <c r="F23" s="5" t="s">
        <v>168</v>
      </c>
      <c r="G23">
        <v>1</v>
      </c>
      <c r="H23">
        <v>2</v>
      </c>
      <c r="I23">
        <f t="shared" ref="I23:I40" si="0">COUNTIF($G$22:$G$192,$H23)</f>
        <v>46</v>
      </c>
      <c r="J23">
        <f t="shared" ref="J23:J40" si="1">I23*H23</f>
        <v>92</v>
      </c>
    </row>
    <row r="24" spans="1:10" x14ac:dyDescent="0.2">
      <c r="A24" s="8" t="s">
        <v>45</v>
      </c>
      <c r="B24" s="8" t="s">
        <v>29</v>
      </c>
      <c r="C24" s="8" t="s">
        <v>6</v>
      </c>
      <c r="D24" s="14">
        <v>3</v>
      </c>
      <c r="E24" s="6"/>
      <c r="F24" s="5" t="s">
        <v>185</v>
      </c>
      <c r="G24">
        <v>1</v>
      </c>
      <c r="H24">
        <v>3</v>
      </c>
      <c r="I24">
        <f t="shared" si="0"/>
        <v>24</v>
      </c>
      <c r="J24">
        <f t="shared" si="1"/>
        <v>72</v>
      </c>
    </row>
    <row r="25" spans="1:10" x14ac:dyDescent="0.2">
      <c r="A25" s="10" t="s">
        <v>45</v>
      </c>
      <c r="B25" s="10" t="s">
        <v>29</v>
      </c>
      <c r="C25" s="10" t="s">
        <v>6</v>
      </c>
      <c r="D25" s="15">
        <v>1</v>
      </c>
      <c r="E25" s="6"/>
      <c r="F25" s="5" t="s">
        <v>88</v>
      </c>
      <c r="G25">
        <v>2</v>
      </c>
      <c r="H25">
        <v>4</v>
      </c>
      <c r="I25">
        <f t="shared" si="0"/>
        <v>19</v>
      </c>
      <c r="J25">
        <f t="shared" si="1"/>
        <v>76</v>
      </c>
    </row>
    <row r="26" spans="1:10" x14ac:dyDescent="0.2">
      <c r="A26" s="8" t="s">
        <v>46</v>
      </c>
      <c r="B26" s="8" t="s">
        <v>29</v>
      </c>
      <c r="C26" s="8" t="s">
        <v>6</v>
      </c>
      <c r="D26" s="14">
        <v>2</v>
      </c>
      <c r="E26" s="6"/>
      <c r="F26" s="5" t="s">
        <v>80</v>
      </c>
      <c r="G26">
        <v>1</v>
      </c>
      <c r="H26">
        <v>5</v>
      </c>
      <c r="I26">
        <f t="shared" si="0"/>
        <v>10</v>
      </c>
      <c r="J26">
        <f t="shared" si="1"/>
        <v>50</v>
      </c>
    </row>
    <row r="27" spans="1:10" x14ac:dyDescent="0.2">
      <c r="A27" s="10" t="s">
        <v>46</v>
      </c>
      <c r="B27" s="10" t="s">
        <v>29</v>
      </c>
      <c r="C27" s="10" t="s">
        <v>6</v>
      </c>
      <c r="D27" s="15">
        <v>1</v>
      </c>
      <c r="E27" s="6"/>
      <c r="F27" s="5" t="s">
        <v>50</v>
      </c>
      <c r="G27">
        <v>1</v>
      </c>
      <c r="H27">
        <v>6</v>
      </c>
      <c r="I27">
        <f t="shared" si="0"/>
        <v>7</v>
      </c>
      <c r="J27">
        <f t="shared" si="1"/>
        <v>42</v>
      </c>
    </row>
    <row r="28" spans="1:10" x14ac:dyDescent="0.2">
      <c r="A28" s="8" t="s">
        <v>47</v>
      </c>
      <c r="B28" s="8" t="s">
        <v>31</v>
      </c>
      <c r="C28" s="8" t="s">
        <v>5</v>
      </c>
      <c r="D28" s="14">
        <v>1</v>
      </c>
      <c r="E28" s="6"/>
      <c r="F28" s="5" t="s">
        <v>119</v>
      </c>
      <c r="G28">
        <v>1</v>
      </c>
      <c r="H28">
        <v>7</v>
      </c>
      <c r="I28">
        <f t="shared" si="0"/>
        <v>3</v>
      </c>
      <c r="J28">
        <f t="shared" si="1"/>
        <v>21</v>
      </c>
    </row>
    <row r="29" spans="1:10" x14ac:dyDescent="0.2">
      <c r="A29" s="10" t="s">
        <v>48</v>
      </c>
      <c r="B29" s="10" t="s">
        <v>29</v>
      </c>
      <c r="C29" s="10" t="s">
        <v>6</v>
      </c>
      <c r="D29" s="15">
        <v>1</v>
      </c>
      <c r="E29" s="6"/>
      <c r="F29" s="5" t="s">
        <v>57</v>
      </c>
      <c r="G29">
        <v>4</v>
      </c>
      <c r="H29">
        <v>8</v>
      </c>
      <c r="I29">
        <f t="shared" si="0"/>
        <v>1</v>
      </c>
      <c r="J29">
        <f t="shared" si="1"/>
        <v>8</v>
      </c>
    </row>
    <row r="30" spans="1:10" x14ac:dyDescent="0.2">
      <c r="A30" s="8" t="s">
        <v>49</v>
      </c>
      <c r="B30" s="8" t="s">
        <v>29</v>
      </c>
      <c r="C30" s="8" t="s">
        <v>6</v>
      </c>
      <c r="D30" s="14">
        <v>2</v>
      </c>
      <c r="E30" s="6"/>
      <c r="F30" s="5" t="s">
        <v>114</v>
      </c>
      <c r="G30">
        <v>1</v>
      </c>
      <c r="H30">
        <v>9</v>
      </c>
      <c r="I30">
        <f t="shared" si="0"/>
        <v>2</v>
      </c>
      <c r="J30">
        <f t="shared" si="1"/>
        <v>18</v>
      </c>
    </row>
    <row r="31" spans="1:10" x14ac:dyDescent="0.2">
      <c r="A31" s="10" t="s">
        <v>50</v>
      </c>
      <c r="B31" s="10" t="s">
        <v>29</v>
      </c>
      <c r="C31" s="10" t="s">
        <v>6</v>
      </c>
      <c r="D31" s="15">
        <v>1</v>
      </c>
      <c r="E31" s="6"/>
      <c r="F31" s="5" t="s">
        <v>192</v>
      </c>
      <c r="G31">
        <v>2</v>
      </c>
      <c r="H31">
        <v>10</v>
      </c>
      <c r="I31">
        <f t="shared" si="0"/>
        <v>1</v>
      </c>
      <c r="J31">
        <f t="shared" si="1"/>
        <v>10</v>
      </c>
    </row>
    <row r="32" spans="1:10" x14ac:dyDescent="0.2">
      <c r="A32" s="8" t="s">
        <v>51</v>
      </c>
      <c r="B32" s="8" t="s">
        <v>29</v>
      </c>
      <c r="C32" s="8" t="s">
        <v>6</v>
      </c>
      <c r="D32" s="14">
        <v>2</v>
      </c>
      <c r="E32" s="6"/>
      <c r="F32" s="5" t="s">
        <v>201</v>
      </c>
      <c r="G32">
        <v>1</v>
      </c>
      <c r="H32">
        <v>11</v>
      </c>
      <c r="I32">
        <f t="shared" si="0"/>
        <v>0</v>
      </c>
      <c r="J32">
        <f t="shared" si="1"/>
        <v>0</v>
      </c>
    </row>
    <row r="33" spans="1:11" x14ac:dyDescent="0.2">
      <c r="A33" s="10" t="s">
        <v>52</v>
      </c>
      <c r="B33" s="10" t="s">
        <v>29</v>
      </c>
      <c r="C33" s="10" t="s">
        <v>6</v>
      </c>
      <c r="D33" s="15">
        <v>3</v>
      </c>
      <c r="E33" s="6"/>
      <c r="F33" s="5" t="s">
        <v>170</v>
      </c>
      <c r="G33">
        <v>4</v>
      </c>
      <c r="H33">
        <v>12</v>
      </c>
      <c r="I33">
        <f t="shared" si="0"/>
        <v>0</v>
      </c>
      <c r="J33">
        <f t="shared" si="1"/>
        <v>0</v>
      </c>
    </row>
    <row r="34" spans="1:11" x14ac:dyDescent="0.2">
      <c r="A34" s="8" t="s">
        <v>52</v>
      </c>
      <c r="B34" s="8" t="s">
        <v>29</v>
      </c>
      <c r="C34" s="8" t="s">
        <v>6</v>
      </c>
      <c r="D34" s="14">
        <v>1</v>
      </c>
      <c r="E34" s="6"/>
      <c r="F34" s="5" t="s">
        <v>186</v>
      </c>
      <c r="G34">
        <v>4</v>
      </c>
      <c r="H34">
        <v>13</v>
      </c>
      <c r="I34">
        <f t="shared" si="0"/>
        <v>0</v>
      </c>
      <c r="J34">
        <f t="shared" si="1"/>
        <v>0</v>
      </c>
    </row>
    <row r="35" spans="1:11" x14ac:dyDescent="0.2">
      <c r="A35" s="10" t="s">
        <v>53</v>
      </c>
      <c r="B35" s="10" t="s">
        <v>29</v>
      </c>
      <c r="C35" s="10" t="s">
        <v>6</v>
      </c>
      <c r="D35" s="15">
        <v>2</v>
      </c>
      <c r="E35" s="6"/>
      <c r="F35" s="5" t="s">
        <v>117</v>
      </c>
      <c r="G35">
        <v>3</v>
      </c>
      <c r="H35">
        <v>14</v>
      </c>
      <c r="I35">
        <f t="shared" si="0"/>
        <v>0</v>
      </c>
      <c r="J35">
        <f t="shared" si="1"/>
        <v>0</v>
      </c>
    </row>
    <row r="36" spans="1:11" x14ac:dyDescent="0.2">
      <c r="A36" s="8" t="s">
        <v>54</v>
      </c>
      <c r="B36" s="8" t="s">
        <v>31</v>
      </c>
      <c r="C36" s="8" t="s">
        <v>5</v>
      </c>
      <c r="D36" s="14">
        <v>1</v>
      </c>
      <c r="E36" s="6"/>
      <c r="F36" s="5" t="s">
        <v>138</v>
      </c>
      <c r="G36">
        <v>2</v>
      </c>
      <c r="H36">
        <v>15</v>
      </c>
      <c r="I36">
        <f t="shared" si="0"/>
        <v>0</v>
      </c>
      <c r="J36">
        <f t="shared" si="1"/>
        <v>0</v>
      </c>
    </row>
    <row r="37" spans="1:11" x14ac:dyDescent="0.2">
      <c r="A37" s="10" t="s">
        <v>55</v>
      </c>
      <c r="B37" s="10" t="s">
        <v>29</v>
      </c>
      <c r="C37" s="10" t="s">
        <v>6</v>
      </c>
      <c r="D37" s="15">
        <v>1</v>
      </c>
      <c r="E37" s="6"/>
      <c r="F37" s="5" t="s">
        <v>130</v>
      </c>
      <c r="G37">
        <v>3</v>
      </c>
      <c r="H37">
        <v>16</v>
      </c>
      <c r="I37">
        <f t="shared" si="0"/>
        <v>0</v>
      </c>
      <c r="J37">
        <f t="shared" si="1"/>
        <v>0</v>
      </c>
    </row>
    <row r="38" spans="1:11" x14ac:dyDescent="0.2">
      <c r="A38" s="8" t="s">
        <v>56</v>
      </c>
      <c r="B38" s="8" t="s">
        <v>29</v>
      </c>
      <c r="C38" s="8" t="s">
        <v>6</v>
      </c>
      <c r="D38" s="14">
        <v>1</v>
      </c>
      <c r="E38" s="6"/>
      <c r="F38" s="5" t="s">
        <v>109</v>
      </c>
      <c r="G38">
        <v>1</v>
      </c>
      <c r="H38">
        <v>17</v>
      </c>
      <c r="I38">
        <f t="shared" si="0"/>
        <v>0</v>
      </c>
      <c r="J38">
        <f t="shared" si="1"/>
        <v>0</v>
      </c>
    </row>
    <row r="39" spans="1:11" x14ac:dyDescent="0.2">
      <c r="A39" s="10" t="s">
        <v>57</v>
      </c>
      <c r="B39" s="10" t="s">
        <v>29</v>
      </c>
      <c r="C39" s="10" t="s">
        <v>6</v>
      </c>
      <c r="D39" s="15">
        <v>1</v>
      </c>
      <c r="E39" s="6"/>
      <c r="F39" s="5" t="s">
        <v>165</v>
      </c>
      <c r="G39">
        <v>1</v>
      </c>
      <c r="H39">
        <v>18</v>
      </c>
      <c r="I39">
        <f t="shared" si="0"/>
        <v>0</v>
      </c>
      <c r="J39">
        <f t="shared" si="1"/>
        <v>0</v>
      </c>
    </row>
    <row r="40" spans="1:11" x14ac:dyDescent="0.2">
      <c r="A40" s="8" t="s">
        <v>57</v>
      </c>
      <c r="B40" s="8" t="s">
        <v>29</v>
      </c>
      <c r="C40" s="8" t="s">
        <v>6</v>
      </c>
      <c r="D40" s="14">
        <v>3</v>
      </c>
      <c r="E40" s="6"/>
      <c r="F40" s="5" t="s">
        <v>135</v>
      </c>
      <c r="G40">
        <v>5</v>
      </c>
      <c r="H40">
        <v>19</v>
      </c>
      <c r="I40">
        <f t="shared" si="0"/>
        <v>0</v>
      </c>
      <c r="J40">
        <f t="shared" si="1"/>
        <v>0</v>
      </c>
    </row>
    <row r="41" spans="1:11" x14ac:dyDescent="0.2">
      <c r="A41" s="10" t="s">
        <v>58</v>
      </c>
      <c r="B41" s="10" t="s">
        <v>29</v>
      </c>
      <c r="C41" s="10" t="s">
        <v>6</v>
      </c>
      <c r="D41" s="15">
        <v>1</v>
      </c>
      <c r="E41" s="6"/>
      <c r="F41" s="5" t="s">
        <v>181</v>
      </c>
      <c r="G41">
        <v>2</v>
      </c>
      <c r="I41" s="6"/>
      <c r="J41">
        <f>SUM(J22:J40)/SUM(I22:I40)</f>
        <v>2.6140350877192984</v>
      </c>
    </row>
    <row r="42" spans="1:11" x14ac:dyDescent="0.2">
      <c r="A42" s="8" t="s">
        <v>59</v>
      </c>
      <c r="B42" s="8" t="s">
        <v>29</v>
      </c>
      <c r="C42" s="8" t="s">
        <v>5</v>
      </c>
      <c r="D42" s="14">
        <v>2</v>
      </c>
      <c r="E42" s="6"/>
      <c r="F42" s="5" t="s">
        <v>134</v>
      </c>
      <c r="G42">
        <v>2</v>
      </c>
      <c r="I42" s="6"/>
      <c r="J42" s="6"/>
    </row>
    <row r="43" spans="1:11" x14ac:dyDescent="0.2">
      <c r="A43" s="10" t="s">
        <v>59</v>
      </c>
      <c r="B43" s="10" t="s">
        <v>29</v>
      </c>
      <c r="C43" s="10" t="s">
        <v>5</v>
      </c>
      <c r="D43" s="15">
        <v>2</v>
      </c>
      <c r="E43" s="6"/>
      <c r="F43" s="5" t="s">
        <v>92</v>
      </c>
      <c r="G43">
        <v>6</v>
      </c>
      <c r="I43" s="6"/>
      <c r="J43" s="6"/>
    </row>
    <row r="44" spans="1:11" x14ac:dyDescent="0.2">
      <c r="A44" s="8" t="s">
        <v>59</v>
      </c>
      <c r="B44" s="8" t="s">
        <v>29</v>
      </c>
      <c r="C44" s="8" t="s">
        <v>5</v>
      </c>
      <c r="D44" s="14">
        <v>1</v>
      </c>
      <c r="E44" s="6"/>
      <c r="F44" s="5" t="s">
        <v>148</v>
      </c>
      <c r="G44">
        <v>3</v>
      </c>
      <c r="H44" t="s">
        <v>203</v>
      </c>
      <c r="I44" s="6">
        <v>235</v>
      </c>
      <c r="J44" s="6">
        <v>171</v>
      </c>
      <c r="K44" s="21">
        <f>1-(J44/I44)</f>
        <v>0.27234042553191484</v>
      </c>
    </row>
    <row r="45" spans="1:11" x14ac:dyDescent="0.2">
      <c r="A45" s="10" t="s">
        <v>60</v>
      </c>
      <c r="B45" s="10" t="s">
        <v>29</v>
      </c>
      <c r="C45" s="10" t="s">
        <v>6</v>
      </c>
      <c r="D45" s="15">
        <v>1</v>
      </c>
      <c r="E45" s="6"/>
      <c r="F45" s="5" t="s">
        <v>43</v>
      </c>
      <c r="G45">
        <v>1</v>
      </c>
      <c r="H45" t="s">
        <v>204</v>
      </c>
      <c r="I45" s="6">
        <v>764</v>
      </c>
      <c r="J45" s="6">
        <v>447</v>
      </c>
      <c r="K45" s="21">
        <f>1-(J45/I45)</f>
        <v>0.41492146596858637</v>
      </c>
    </row>
    <row r="46" spans="1:11" x14ac:dyDescent="0.2">
      <c r="A46" s="8" t="s">
        <v>61</v>
      </c>
      <c r="B46" s="8" t="s">
        <v>29</v>
      </c>
      <c r="C46" s="8" t="s">
        <v>6</v>
      </c>
      <c r="D46" s="14">
        <v>4</v>
      </c>
      <c r="E46" s="6"/>
      <c r="F46" s="5" t="s">
        <v>59</v>
      </c>
      <c r="G46">
        <v>6</v>
      </c>
      <c r="H46" t="s">
        <v>205</v>
      </c>
      <c r="I46" s="6">
        <v>3.25</v>
      </c>
      <c r="J46" s="6">
        <v>2.61</v>
      </c>
      <c r="K46" s="21">
        <f>1-(J46/I46)</f>
        <v>0.19692307692307698</v>
      </c>
    </row>
    <row r="47" spans="1:11" x14ac:dyDescent="0.2">
      <c r="A47" s="10" t="s">
        <v>62</v>
      </c>
      <c r="B47" s="10" t="s">
        <v>29</v>
      </c>
      <c r="C47" s="10" t="s">
        <v>5</v>
      </c>
      <c r="D47" s="15">
        <v>4</v>
      </c>
      <c r="E47" s="6"/>
      <c r="F47" s="5" t="s">
        <v>173</v>
      </c>
      <c r="G47">
        <v>1</v>
      </c>
      <c r="I47" s="6"/>
      <c r="J47" s="6"/>
    </row>
    <row r="48" spans="1:11" x14ac:dyDescent="0.2">
      <c r="A48" s="8" t="s">
        <v>62</v>
      </c>
      <c r="B48" s="8" t="s">
        <v>29</v>
      </c>
      <c r="C48" s="8" t="s">
        <v>5</v>
      </c>
      <c r="D48" s="14">
        <v>1</v>
      </c>
      <c r="E48" s="6"/>
      <c r="F48" s="5" t="s">
        <v>195</v>
      </c>
      <c r="G48">
        <v>1</v>
      </c>
      <c r="I48" s="6"/>
      <c r="J48" s="6"/>
    </row>
    <row r="49" spans="1:10" x14ac:dyDescent="0.2">
      <c r="A49" s="10" t="s">
        <v>63</v>
      </c>
      <c r="B49" s="10" t="s">
        <v>29</v>
      </c>
      <c r="C49" s="10" t="s">
        <v>6</v>
      </c>
      <c r="D49" s="15">
        <v>1</v>
      </c>
      <c r="E49" s="6"/>
      <c r="F49" s="5" t="s">
        <v>188</v>
      </c>
      <c r="G49">
        <v>2</v>
      </c>
      <c r="I49" s="6"/>
      <c r="J49" s="6"/>
    </row>
    <row r="50" spans="1:10" x14ac:dyDescent="0.2">
      <c r="A50" s="8" t="s">
        <v>63</v>
      </c>
      <c r="B50" s="8" t="s">
        <v>29</v>
      </c>
      <c r="C50" s="8" t="s">
        <v>6</v>
      </c>
      <c r="D50" s="14">
        <v>1</v>
      </c>
      <c r="E50" s="6"/>
      <c r="F50" s="5" t="s">
        <v>172</v>
      </c>
      <c r="G50">
        <v>4</v>
      </c>
      <c r="I50" s="6"/>
      <c r="J50" s="6"/>
    </row>
    <row r="51" spans="1:10" x14ac:dyDescent="0.2">
      <c r="A51" s="10" t="s">
        <v>64</v>
      </c>
      <c r="B51" s="10" t="s">
        <v>29</v>
      </c>
      <c r="C51" s="10" t="s">
        <v>6</v>
      </c>
      <c r="D51" s="15">
        <v>1</v>
      </c>
      <c r="E51" s="6"/>
      <c r="F51" s="5" t="s">
        <v>177</v>
      </c>
      <c r="G51">
        <v>2</v>
      </c>
      <c r="I51" s="6"/>
      <c r="J51" s="6"/>
    </row>
    <row r="52" spans="1:10" x14ac:dyDescent="0.2">
      <c r="A52" s="8" t="s">
        <v>40</v>
      </c>
      <c r="B52" s="8" t="s">
        <v>29</v>
      </c>
      <c r="C52" s="8" t="s">
        <v>6</v>
      </c>
      <c r="D52" s="14">
        <v>2</v>
      </c>
      <c r="E52" s="6"/>
      <c r="F52" s="5" t="s">
        <v>84</v>
      </c>
      <c r="G52">
        <v>2</v>
      </c>
      <c r="I52" s="6"/>
      <c r="J52" s="6"/>
    </row>
    <row r="53" spans="1:10" x14ac:dyDescent="0.2">
      <c r="A53" s="10" t="s">
        <v>40</v>
      </c>
      <c r="B53" s="10" t="s">
        <v>29</v>
      </c>
      <c r="C53" s="10" t="s">
        <v>6</v>
      </c>
      <c r="D53" s="15">
        <v>2</v>
      </c>
      <c r="E53" s="6"/>
      <c r="F53" s="5" t="s">
        <v>125</v>
      </c>
      <c r="G53">
        <v>5</v>
      </c>
      <c r="I53" s="6"/>
      <c r="J53" s="6"/>
    </row>
    <row r="54" spans="1:10" x14ac:dyDescent="0.2">
      <c r="A54" s="8" t="s">
        <v>65</v>
      </c>
      <c r="B54" s="8" t="s">
        <v>29</v>
      </c>
      <c r="C54" s="8" t="s">
        <v>7</v>
      </c>
      <c r="D54" s="14">
        <v>1</v>
      </c>
      <c r="E54" s="6"/>
      <c r="F54" s="5" t="s">
        <v>122</v>
      </c>
      <c r="G54">
        <v>4</v>
      </c>
      <c r="I54" s="6"/>
      <c r="J54" s="6"/>
    </row>
    <row r="55" spans="1:10" x14ac:dyDescent="0.2">
      <c r="A55" s="10" t="s">
        <v>66</v>
      </c>
      <c r="B55" s="10" t="s">
        <v>29</v>
      </c>
      <c r="C55" s="10" t="s">
        <v>6</v>
      </c>
      <c r="D55" s="15">
        <v>3</v>
      </c>
      <c r="E55" s="6"/>
      <c r="F55" s="5" t="s">
        <v>182</v>
      </c>
      <c r="G55">
        <v>1</v>
      </c>
      <c r="I55" s="6"/>
      <c r="J55" s="6"/>
    </row>
    <row r="56" spans="1:10" x14ac:dyDescent="0.2">
      <c r="A56" s="8" t="s">
        <v>66</v>
      </c>
      <c r="B56" s="8" t="s">
        <v>29</v>
      </c>
      <c r="C56" s="8" t="s">
        <v>6</v>
      </c>
      <c r="D56" s="14">
        <v>6</v>
      </c>
      <c r="E56" s="6"/>
      <c r="F56" s="5" t="s">
        <v>58</v>
      </c>
      <c r="G56">
        <v>1</v>
      </c>
      <c r="I56" s="6"/>
      <c r="J56" s="6"/>
    </row>
    <row r="57" spans="1:10" x14ac:dyDescent="0.2">
      <c r="A57" s="10" t="s">
        <v>67</v>
      </c>
      <c r="B57" s="10" t="s">
        <v>29</v>
      </c>
      <c r="C57" s="10" t="s">
        <v>6</v>
      </c>
      <c r="D57" s="15">
        <v>2</v>
      </c>
      <c r="E57" s="6"/>
      <c r="F57" s="5" t="s">
        <v>152</v>
      </c>
      <c r="G57">
        <v>4</v>
      </c>
      <c r="I57" s="6"/>
      <c r="J57" s="6"/>
    </row>
    <row r="58" spans="1:10" x14ac:dyDescent="0.2">
      <c r="A58" s="8" t="s">
        <v>68</v>
      </c>
      <c r="B58" s="8" t="s">
        <v>29</v>
      </c>
      <c r="C58" s="8" t="s">
        <v>7</v>
      </c>
      <c r="D58" s="14">
        <v>3</v>
      </c>
      <c r="E58" s="6"/>
      <c r="F58" s="5" t="s">
        <v>164</v>
      </c>
      <c r="G58">
        <v>1</v>
      </c>
      <c r="I58" s="6"/>
      <c r="J58" s="6"/>
    </row>
    <row r="59" spans="1:10" x14ac:dyDescent="0.2">
      <c r="A59" s="10" t="s">
        <v>69</v>
      </c>
      <c r="B59" s="10" t="s">
        <v>29</v>
      </c>
      <c r="C59" s="10" t="s">
        <v>6</v>
      </c>
      <c r="D59" s="15">
        <v>1</v>
      </c>
      <c r="E59" s="6"/>
      <c r="F59" s="5" t="s">
        <v>41</v>
      </c>
      <c r="G59">
        <v>4</v>
      </c>
      <c r="I59" s="6"/>
      <c r="J59" s="6"/>
    </row>
    <row r="60" spans="1:10" x14ac:dyDescent="0.2">
      <c r="A60" s="8" t="s">
        <v>69</v>
      </c>
      <c r="B60" s="8" t="s">
        <v>29</v>
      </c>
      <c r="C60" s="8" t="s">
        <v>6</v>
      </c>
      <c r="D60" s="14">
        <v>1</v>
      </c>
      <c r="E60" s="6"/>
      <c r="F60" s="5" t="s">
        <v>47</v>
      </c>
      <c r="G60">
        <v>1</v>
      </c>
      <c r="I60" s="6"/>
      <c r="J60" s="6"/>
    </row>
    <row r="61" spans="1:10" x14ac:dyDescent="0.2">
      <c r="A61" s="10" t="s">
        <v>70</v>
      </c>
      <c r="B61" s="10" t="s">
        <v>29</v>
      </c>
      <c r="C61" s="10" t="s">
        <v>6</v>
      </c>
      <c r="D61" s="15">
        <v>4</v>
      </c>
      <c r="E61" s="6"/>
      <c r="F61" s="5" t="s">
        <v>95</v>
      </c>
      <c r="G61">
        <v>3</v>
      </c>
      <c r="I61" s="6"/>
      <c r="J61" s="6"/>
    </row>
    <row r="62" spans="1:10" x14ac:dyDescent="0.2">
      <c r="A62" s="8" t="s">
        <v>71</v>
      </c>
      <c r="B62" s="8" t="s">
        <v>29</v>
      </c>
      <c r="C62" s="8" t="s">
        <v>6</v>
      </c>
      <c r="D62" s="14">
        <v>1</v>
      </c>
      <c r="E62" s="6"/>
      <c r="F62" s="5" t="s">
        <v>63</v>
      </c>
      <c r="G62">
        <v>2</v>
      </c>
      <c r="I62" s="6"/>
      <c r="J62" s="6"/>
    </row>
    <row r="63" spans="1:10" x14ac:dyDescent="0.2">
      <c r="A63" s="10" t="s">
        <v>72</v>
      </c>
      <c r="B63" s="10" t="s">
        <v>29</v>
      </c>
      <c r="C63" s="10" t="s">
        <v>5</v>
      </c>
      <c r="D63" s="15">
        <v>1</v>
      </c>
      <c r="E63" s="6"/>
      <c r="F63" s="5" t="s">
        <v>112</v>
      </c>
      <c r="G63">
        <v>3</v>
      </c>
      <c r="I63" s="6"/>
      <c r="J63" s="6"/>
    </row>
    <row r="64" spans="1:10" x14ac:dyDescent="0.2">
      <c r="A64" s="8" t="s">
        <v>73</v>
      </c>
      <c r="B64" s="8" t="s">
        <v>29</v>
      </c>
      <c r="C64" s="8" t="s">
        <v>6</v>
      </c>
      <c r="D64" s="14">
        <v>1</v>
      </c>
      <c r="E64" s="6"/>
      <c r="F64" s="5" t="s">
        <v>159</v>
      </c>
      <c r="G64">
        <v>2</v>
      </c>
      <c r="I64" s="6"/>
      <c r="J64" s="6"/>
    </row>
    <row r="65" spans="1:10" x14ac:dyDescent="0.2">
      <c r="A65" s="10" t="s">
        <v>74</v>
      </c>
      <c r="B65" s="10" t="s">
        <v>29</v>
      </c>
      <c r="C65" s="10" t="s">
        <v>6</v>
      </c>
      <c r="D65" s="15">
        <v>1</v>
      </c>
      <c r="E65" s="6"/>
      <c r="F65" s="5" t="s">
        <v>146</v>
      </c>
      <c r="G65">
        <v>2</v>
      </c>
      <c r="I65" s="6"/>
      <c r="J65" s="6"/>
    </row>
    <row r="66" spans="1:10" x14ac:dyDescent="0.2">
      <c r="A66" s="8" t="s">
        <v>74</v>
      </c>
      <c r="B66" s="8" t="s">
        <v>29</v>
      </c>
      <c r="C66" s="8" t="s">
        <v>6</v>
      </c>
      <c r="D66" s="14">
        <v>1</v>
      </c>
      <c r="E66" s="6"/>
      <c r="F66" s="5" t="s">
        <v>139</v>
      </c>
      <c r="G66">
        <v>1</v>
      </c>
      <c r="I66" s="6"/>
      <c r="J66" s="6"/>
    </row>
    <row r="67" spans="1:10" x14ac:dyDescent="0.2">
      <c r="A67" s="10" t="s">
        <v>75</v>
      </c>
      <c r="B67" s="10" t="s">
        <v>29</v>
      </c>
      <c r="C67" s="10" t="s">
        <v>6</v>
      </c>
      <c r="D67" s="15">
        <v>2</v>
      </c>
      <c r="E67" s="6"/>
      <c r="F67" s="5" t="s">
        <v>189</v>
      </c>
      <c r="G67">
        <v>1</v>
      </c>
      <c r="I67" s="6"/>
      <c r="J67" s="6"/>
    </row>
    <row r="68" spans="1:10" x14ac:dyDescent="0.2">
      <c r="A68" s="8" t="s">
        <v>75</v>
      </c>
      <c r="B68" s="8" t="s">
        <v>29</v>
      </c>
      <c r="C68" s="8" t="s">
        <v>6</v>
      </c>
      <c r="D68" s="14">
        <v>1</v>
      </c>
      <c r="E68" s="6"/>
      <c r="F68" s="5" t="s">
        <v>176</v>
      </c>
      <c r="G68">
        <v>5</v>
      </c>
      <c r="I68" s="6"/>
      <c r="J68" s="6"/>
    </row>
    <row r="69" spans="1:10" x14ac:dyDescent="0.2">
      <c r="A69" s="10" t="s">
        <v>76</v>
      </c>
      <c r="B69" s="10" t="s">
        <v>29</v>
      </c>
      <c r="C69" s="10" t="s">
        <v>6</v>
      </c>
      <c r="D69" s="15">
        <v>3</v>
      </c>
      <c r="E69" s="6"/>
      <c r="F69" s="5" t="s">
        <v>144</v>
      </c>
      <c r="G69">
        <v>1</v>
      </c>
      <c r="I69" s="6"/>
      <c r="J69" s="6"/>
    </row>
    <row r="70" spans="1:10" x14ac:dyDescent="0.2">
      <c r="A70" s="8" t="s">
        <v>76</v>
      </c>
      <c r="B70" s="8" t="s">
        <v>29</v>
      </c>
      <c r="C70" s="8" t="s">
        <v>6</v>
      </c>
      <c r="D70" s="14">
        <v>2</v>
      </c>
      <c r="E70" s="6"/>
      <c r="F70" s="5" t="s">
        <v>89</v>
      </c>
      <c r="G70">
        <v>1</v>
      </c>
      <c r="I70" s="6"/>
      <c r="J70" s="6"/>
    </row>
    <row r="71" spans="1:10" x14ac:dyDescent="0.2">
      <c r="A71" s="10" t="s">
        <v>77</v>
      </c>
      <c r="B71" s="10" t="s">
        <v>29</v>
      </c>
      <c r="C71" s="10" t="s">
        <v>6</v>
      </c>
      <c r="D71" s="15">
        <v>1</v>
      </c>
      <c r="E71" s="6"/>
      <c r="F71" s="5" t="s">
        <v>32</v>
      </c>
      <c r="G71">
        <v>2</v>
      </c>
      <c r="I71" s="6"/>
      <c r="J71" s="6"/>
    </row>
    <row r="72" spans="1:10" x14ac:dyDescent="0.2">
      <c r="A72" s="8" t="s">
        <v>78</v>
      </c>
      <c r="B72" s="8" t="s">
        <v>31</v>
      </c>
      <c r="C72" s="8" t="s">
        <v>5</v>
      </c>
      <c r="D72" s="14">
        <v>3</v>
      </c>
      <c r="E72" s="6"/>
      <c r="F72" s="5" t="s">
        <v>60</v>
      </c>
      <c r="G72">
        <v>1</v>
      </c>
      <c r="I72" s="6"/>
      <c r="J72" s="6"/>
    </row>
    <row r="73" spans="1:10" x14ac:dyDescent="0.2">
      <c r="A73" s="10" t="s">
        <v>79</v>
      </c>
      <c r="B73" s="10" t="s">
        <v>29</v>
      </c>
      <c r="C73" s="10" t="s">
        <v>6</v>
      </c>
      <c r="D73" s="15">
        <v>5</v>
      </c>
      <c r="E73" s="6"/>
      <c r="F73" s="5" t="s">
        <v>51</v>
      </c>
      <c r="G73">
        <v>2</v>
      </c>
      <c r="I73" s="6"/>
      <c r="J73" s="6"/>
    </row>
    <row r="74" spans="1:10" x14ac:dyDescent="0.2">
      <c r="A74" s="8" t="s">
        <v>79</v>
      </c>
      <c r="B74" s="8" t="s">
        <v>29</v>
      </c>
      <c r="C74" s="8" t="s">
        <v>6</v>
      </c>
      <c r="D74" s="14">
        <v>2</v>
      </c>
      <c r="E74" s="6"/>
      <c r="F74" s="5" t="s">
        <v>140</v>
      </c>
      <c r="G74">
        <v>2</v>
      </c>
      <c r="I74" s="6"/>
      <c r="J74" s="6"/>
    </row>
    <row r="75" spans="1:10" x14ac:dyDescent="0.2">
      <c r="A75" s="10" t="s">
        <v>80</v>
      </c>
      <c r="B75" s="10" t="s">
        <v>31</v>
      </c>
      <c r="C75" s="10" t="s">
        <v>5</v>
      </c>
      <c r="D75" s="15">
        <v>1</v>
      </c>
      <c r="E75" s="6"/>
      <c r="F75" s="5" t="s">
        <v>113</v>
      </c>
      <c r="G75">
        <v>2</v>
      </c>
      <c r="I75" s="6"/>
      <c r="J75" s="6"/>
    </row>
    <row r="76" spans="1:10" x14ac:dyDescent="0.2">
      <c r="A76" s="8" t="s">
        <v>81</v>
      </c>
      <c r="B76" s="8" t="s">
        <v>29</v>
      </c>
      <c r="C76" s="8" t="s">
        <v>6</v>
      </c>
      <c r="D76" s="14">
        <v>1</v>
      </c>
      <c r="E76" s="6"/>
      <c r="F76" s="5" t="s">
        <v>38</v>
      </c>
      <c r="G76">
        <v>2</v>
      </c>
      <c r="I76" s="6"/>
      <c r="J76" s="6"/>
    </row>
    <row r="77" spans="1:10" x14ac:dyDescent="0.2">
      <c r="A77" s="10" t="s">
        <v>81</v>
      </c>
      <c r="B77" s="10" t="s">
        <v>29</v>
      </c>
      <c r="C77" s="10" t="s">
        <v>6</v>
      </c>
      <c r="D77" s="15">
        <v>2</v>
      </c>
      <c r="E77" s="6"/>
      <c r="F77" s="5" t="s">
        <v>85</v>
      </c>
      <c r="G77">
        <v>6</v>
      </c>
      <c r="I77" s="6"/>
      <c r="J77" s="6"/>
    </row>
    <row r="78" spans="1:10" x14ac:dyDescent="0.2">
      <c r="A78" s="8" t="s">
        <v>82</v>
      </c>
      <c r="B78" s="8" t="s">
        <v>29</v>
      </c>
      <c r="C78" s="8" t="s">
        <v>6</v>
      </c>
      <c r="D78" s="14">
        <v>3</v>
      </c>
      <c r="E78" s="6"/>
      <c r="F78" s="5" t="s">
        <v>183</v>
      </c>
      <c r="G78">
        <v>4</v>
      </c>
      <c r="I78" s="6"/>
      <c r="J78" s="6"/>
    </row>
    <row r="79" spans="1:10" x14ac:dyDescent="0.2">
      <c r="A79" s="10" t="s">
        <v>83</v>
      </c>
      <c r="B79" s="10" t="s">
        <v>31</v>
      </c>
      <c r="C79" s="10" t="s">
        <v>5</v>
      </c>
      <c r="D79" s="15">
        <v>2</v>
      </c>
      <c r="E79" s="6"/>
      <c r="F79" s="5" t="s">
        <v>150</v>
      </c>
      <c r="G79">
        <v>4</v>
      </c>
      <c r="I79" s="6"/>
      <c r="J79" s="6"/>
    </row>
    <row r="80" spans="1:10" x14ac:dyDescent="0.2">
      <c r="A80" s="8" t="s">
        <v>84</v>
      </c>
      <c r="B80" s="8" t="s">
        <v>29</v>
      </c>
      <c r="C80" s="8" t="s">
        <v>7</v>
      </c>
      <c r="D80" s="14">
        <v>2</v>
      </c>
      <c r="E80" s="6"/>
      <c r="F80" s="5" t="s">
        <v>72</v>
      </c>
      <c r="G80">
        <v>1</v>
      </c>
      <c r="I80" s="6"/>
      <c r="J80" s="6"/>
    </row>
    <row r="81" spans="1:10" x14ac:dyDescent="0.2">
      <c r="A81" s="10" t="s">
        <v>85</v>
      </c>
      <c r="B81" s="10" t="s">
        <v>31</v>
      </c>
      <c r="C81" s="10" t="s">
        <v>5</v>
      </c>
      <c r="D81" s="15">
        <v>2</v>
      </c>
      <c r="E81" s="6"/>
      <c r="F81" s="5" t="s">
        <v>66</v>
      </c>
      <c r="G81">
        <v>9</v>
      </c>
      <c r="I81" s="6"/>
      <c r="J81" s="6"/>
    </row>
    <row r="82" spans="1:10" x14ac:dyDescent="0.2">
      <c r="A82" s="8" t="s">
        <v>86</v>
      </c>
      <c r="B82" s="8" t="s">
        <v>29</v>
      </c>
      <c r="C82" s="8" t="s">
        <v>6</v>
      </c>
      <c r="D82" s="14">
        <v>1</v>
      </c>
      <c r="E82" s="6"/>
      <c r="F82" s="5" t="s">
        <v>100</v>
      </c>
      <c r="G82">
        <v>1</v>
      </c>
      <c r="I82" s="6"/>
      <c r="J82" s="6"/>
    </row>
    <row r="83" spans="1:10" x14ac:dyDescent="0.2">
      <c r="A83" s="10" t="s">
        <v>86</v>
      </c>
      <c r="B83" s="10" t="s">
        <v>29</v>
      </c>
      <c r="C83" s="10" t="s">
        <v>6</v>
      </c>
      <c r="D83" s="15">
        <v>1</v>
      </c>
      <c r="E83" s="6"/>
      <c r="F83" s="5" t="s">
        <v>49</v>
      </c>
      <c r="G83">
        <v>2</v>
      </c>
      <c r="I83" s="6"/>
      <c r="J83" s="6"/>
    </row>
    <row r="84" spans="1:10" x14ac:dyDescent="0.2">
      <c r="A84" s="8" t="s">
        <v>87</v>
      </c>
      <c r="B84" s="8" t="s">
        <v>29</v>
      </c>
      <c r="C84" s="8" t="s">
        <v>6</v>
      </c>
      <c r="D84" s="14">
        <v>1</v>
      </c>
      <c r="E84" s="6"/>
      <c r="F84" s="5" t="s">
        <v>128</v>
      </c>
      <c r="G84">
        <v>2</v>
      </c>
      <c r="I84" s="6"/>
      <c r="J84" s="6"/>
    </row>
    <row r="85" spans="1:10" x14ac:dyDescent="0.2">
      <c r="A85" s="10" t="s">
        <v>88</v>
      </c>
      <c r="B85" s="10" t="s">
        <v>29</v>
      </c>
      <c r="C85" s="10" t="s">
        <v>6</v>
      </c>
      <c r="D85" s="15">
        <v>1</v>
      </c>
      <c r="E85" s="6"/>
      <c r="F85" s="5" t="s">
        <v>187</v>
      </c>
      <c r="G85">
        <v>1</v>
      </c>
      <c r="I85" s="6"/>
      <c r="J85" s="6"/>
    </row>
    <row r="86" spans="1:10" x14ac:dyDescent="0.2">
      <c r="A86" s="8" t="s">
        <v>88</v>
      </c>
      <c r="B86" s="8" t="s">
        <v>29</v>
      </c>
      <c r="C86" s="8" t="s">
        <v>6</v>
      </c>
      <c r="D86" s="14">
        <v>1</v>
      </c>
      <c r="E86" s="6"/>
      <c r="F86" s="5" t="s">
        <v>98</v>
      </c>
      <c r="G86">
        <v>1</v>
      </c>
      <c r="I86" s="6"/>
      <c r="J86" s="6"/>
    </row>
    <row r="87" spans="1:10" x14ac:dyDescent="0.2">
      <c r="A87" s="10" t="s">
        <v>89</v>
      </c>
      <c r="B87" s="10" t="s">
        <v>29</v>
      </c>
      <c r="C87" s="10" t="s">
        <v>6</v>
      </c>
      <c r="D87" s="15">
        <v>1</v>
      </c>
      <c r="E87" s="6"/>
      <c r="F87" s="5" t="s">
        <v>73</v>
      </c>
      <c r="G87">
        <v>2</v>
      </c>
      <c r="I87" s="6"/>
      <c r="J87" s="6"/>
    </row>
    <row r="88" spans="1:10" x14ac:dyDescent="0.2">
      <c r="A88" s="8" t="s">
        <v>90</v>
      </c>
      <c r="B88" s="8" t="s">
        <v>29</v>
      </c>
      <c r="C88" s="8" t="s">
        <v>6</v>
      </c>
      <c r="D88" s="14">
        <v>2</v>
      </c>
      <c r="E88" s="6"/>
      <c r="F88" s="5" t="s">
        <v>35</v>
      </c>
      <c r="G88">
        <v>4</v>
      </c>
      <c r="I88" s="6"/>
      <c r="J88" s="6"/>
    </row>
    <row r="89" spans="1:10" x14ac:dyDescent="0.2">
      <c r="A89" s="10" t="s">
        <v>91</v>
      </c>
      <c r="B89" s="10" t="s">
        <v>29</v>
      </c>
      <c r="C89" s="10" t="s">
        <v>6</v>
      </c>
      <c r="D89" s="15">
        <v>1</v>
      </c>
      <c r="E89" s="6"/>
      <c r="F89" s="5" t="s">
        <v>52</v>
      </c>
      <c r="G89">
        <v>4</v>
      </c>
      <c r="I89" s="6"/>
      <c r="J89" s="6"/>
    </row>
    <row r="90" spans="1:10" x14ac:dyDescent="0.2">
      <c r="A90" s="8" t="s">
        <v>92</v>
      </c>
      <c r="B90" s="8" t="s">
        <v>29</v>
      </c>
      <c r="C90" s="8" t="s">
        <v>6</v>
      </c>
      <c r="D90" s="14">
        <v>5</v>
      </c>
      <c r="E90" s="6"/>
      <c r="F90" s="5" t="s">
        <v>154</v>
      </c>
      <c r="G90">
        <v>1</v>
      </c>
      <c r="I90" s="6"/>
      <c r="J90" s="6"/>
    </row>
    <row r="91" spans="1:10" x14ac:dyDescent="0.2">
      <c r="A91" s="10" t="s">
        <v>92</v>
      </c>
      <c r="B91" s="10" t="s">
        <v>29</v>
      </c>
      <c r="C91" s="10" t="s">
        <v>6</v>
      </c>
      <c r="D91" s="15">
        <v>1</v>
      </c>
      <c r="E91" s="6"/>
      <c r="F91" s="5" t="s">
        <v>121</v>
      </c>
      <c r="G91">
        <v>9</v>
      </c>
      <c r="I91" s="6"/>
      <c r="J91" s="6"/>
    </row>
    <row r="92" spans="1:10" x14ac:dyDescent="0.2">
      <c r="A92" s="8" t="s">
        <v>93</v>
      </c>
      <c r="B92" s="8" t="s">
        <v>29</v>
      </c>
      <c r="C92" s="8" t="s">
        <v>6</v>
      </c>
      <c r="D92" s="14">
        <v>1</v>
      </c>
      <c r="E92" s="6"/>
      <c r="F92" s="5" t="s">
        <v>197</v>
      </c>
      <c r="G92">
        <v>1</v>
      </c>
      <c r="I92" s="6"/>
      <c r="J92" s="6"/>
    </row>
    <row r="93" spans="1:10" x14ac:dyDescent="0.2">
      <c r="A93" s="10" t="s">
        <v>93</v>
      </c>
      <c r="B93" s="10" t="s">
        <v>29</v>
      </c>
      <c r="C93" s="10" t="s">
        <v>6</v>
      </c>
      <c r="D93" s="15">
        <v>2</v>
      </c>
      <c r="E93" s="6"/>
      <c r="F93" s="5" t="s">
        <v>142</v>
      </c>
      <c r="G93">
        <v>2</v>
      </c>
      <c r="I93" s="6"/>
      <c r="J93" s="6"/>
    </row>
    <row r="94" spans="1:10" x14ac:dyDescent="0.2">
      <c r="A94" s="8" t="s">
        <v>94</v>
      </c>
      <c r="B94" s="8" t="s">
        <v>29</v>
      </c>
      <c r="C94" s="8" t="s">
        <v>6</v>
      </c>
      <c r="D94" s="14">
        <v>1</v>
      </c>
      <c r="E94" s="6"/>
      <c r="F94" s="5" t="s">
        <v>151</v>
      </c>
      <c r="G94">
        <v>2</v>
      </c>
      <c r="I94" s="6"/>
      <c r="J94" s="6"/>
    </row>
    <row r="95" spans="1:10" x14ac:dyDescent="0.2">
      <c r="A95" s="10" t="s">
        <v>94</v>
      </c>
      <c r="B95" s="10" t="s">
        <v>29</v>
      </c>
      <c r="C95" s="10" t="s">
        <v>6</v>
      </c>
      <c r="D95" s="15">
        <v>2</v>
      </c>
      <c r="E95" s="6"/>
      <c r="F95" s="5" t="s">
        <v>155</v>
      </c>
      <c r="G95">
        <v>4</v>
      </c>
      <c r="I95" s="6"/>
      <c r="J95" s="6"/>
    </row>
    <row r="96" spans="1:10" x14ac:dyDescent="0.2">
      <c r="A96" s="8" t="s">
        <v>95</v>
      </c>
      <c r="B96" s="8" t="s">
        <v>29</v>
      </c>
      <c r="C96" s="8" t="s">
        <v>6</v>
      </c>
      <c r="D96" s="14">
        <v>2</v>
      </c>
      <c r="E96" s="6"/>
      <c r="F96" s="5" t="s">
        <v>126</v>
      </c>
      <c r="G96">
        <v>1</v>
      </c>
      <c r="I96" s="6"/>
      <c r="J96" s="6"/>
    </row>
    <row r="97" spans="1:10" x14ac:dyDescent="0.2">
      <c r="A97" s="10" t="s">
        <v>95</v>
      </c>
      <c r="B97" s="10" t="s">
        <v>29</v>
      </c>
      <c r="C97" s="10" t="s">
        <v>6</v>
      </c>
      <c r="D97" s="15">
        <v>1</v>
      </c>
      <c r="E97" s="6"/>
      <c r="F97" s="5" t="s">
        <v>33</v>
      </c>
      <c r="G97">
        <v>5</v>
      </c>
      <c r="I97" s="6"/>
      <c r="J97" s="6"/>
    </row>
    <row r="98" spans="1:10" x14ac:dyDescent="0.2">
      <c r="A98" s="8" t="s">
        <v>96</v>
      </c>
      <c r="B98" s="8" t="s">
        <v>29</v>
      </c>
      <c r="C98" s="8" t="s">
        <v>6</v>
      </c>
      <c r="D98" s="14">
        <v>2</v>
      </c>
      <c r="E98" s="6"/>
      <c r="F98" s="5" t="s">
        <v>116</v>
      </c>
      <c r="G98">
        <v>2</v>
      </c>
      <c r="I98" s="6"/>
      <c r="J98" s="6"/>
    </row>
    <row r="99" spans="1:10" x14ac:dyDescent="0.2">
      <c r="A99" s="10" t="s">
        <v>96</v>
      </c>
      <c r="B99" s="10" t="s">
        <v>97</v>
      </c>
      <c r="C99" s="10" t="s">
        <v>6</v>
      </c>
      <c r="D99" s="15">
        <v>1</v>
      </c>
      <c r="E99" s="6"/>
      <c r="F99" s="5" t="s">
        <v>167</v>
      </c>
      <c r="G99">
        <v>1</v>
      </c>
      <c r="I99" s="6"/>
      <c r="J99" s="6"/>
    </row>
    <row r="100" spans="1:10" x14ac:dyDescent="0.2">
      <c r="A100" s="8" t="s">
        <v>98</v>
      </c>
      <c r="B100" s="8" t="s">
        <v>29</v>
      </c>
      <c r="C100" s="8" t="s">
        <v>6</v>
      </c>
      <c r="D100" s="14">
        <v>1</v>
      </c>
      <c r="E100" s="6"/>
      <c r="F100" s="5" t="s">
        <v>160</v>
      </c>
      <c r="G100">
        <v>1</v>
      </c>
      <c r="I100" s="6"/>
      <c r="J100" s="6"/>
    </row>
    <row r="101" spans="1:10" x14ac:dyDescent="0.2">
      <c r="A101" s="10" t="s">
        <v>99</v>
      </c>
      <c r="B101" s="10" t="s">
        <v>29</v>
      </c>
      <c r="C101" s="10" t="s">
        <v>6</v>
      </c>
      <c r="D101" s="15">
        <v>1</v>
      </c>
      <c r="E101" s="6"/>
      <c r="F101" s="5" t="s">
        <v>103</v>
      </c>
      <c r="G101">
        <v>6</v>
      </c>
      <c r="I101" s="6"/>
      <c r="J101" s="6"/>
    </row>
    <row r="102" spans="1:10" x14ac:dyDescent="0.2">
      <c r="A102" s="8" t="s">
        <v>100</v>
      </c>
      <c r="B102" s="8" t="s">
        <v>29</v>
      </c>
      <c r="C102" s="8" t="s">
        <v>6</v>
      </c>
      <c r="D102" s="14">
        <v>1</v>
      </c>
      <c r="E102" s="6"/>
      <c r="F102" s="5" t="s">
        <v>131</v>
      </c>
      <c r="G102">
        <v>2</v>
      </c>
      <c r="I102" s="6"/>
      <c r="J102" s="6"/>
    </row>
    <row r="103" spans="1:10" x14ac:dyDescent="0.2">
      <c r="A103" s="10" t="s">
        <v>101</v>
      </c>
      <c r="B103" s="10" t="s">
        <v>29</v>
      </c>
      <c r="C103" s="10" t="s">
        <v>6</v>
      </c>
      <c r="D103" s="15">
        <v>1</v>
      </c>
      <c r="E103" s="6"/>
      <c r="F103" s="5" t="s">
        <v>69</v>
      </c>
      <c r="G103">
        <v>7</v>
      </c>
      <c r="I103" s="6"/>
      <c r="J103" s="6"/>
    </row>
    <row r="104" spans="1:10" x14ac:dyDescent="0.2">
      <c r="A104" s="8" t="s">
        <v>102</v>
      </c>
      <c r="B104" s="8" t="s">
        <v>29</v>
      </c>
      <c r="C104" s="8" t="s">
        <v>6</v>
      </c>
      <c r="D104" s="14">
        <v>1</v>
      </c>
      <c r="E104" s="6"/>
      <c r="F104" s="5" t="s">
        <v>40</v>
      </c>
      <c r="G104">
        <v>6</v>
      </c>
      <c r="I104" s="6"/>
      <c r="J104" s="6"/>
    </row>
    <row r="105" spans="1:10" x14ac:dyDescent="0.2">
      <c r="A105" s="10" t="s">
        <v>86</v>
      </c>
      <c r="B105" s="10" t="s">
        <v>31</v>
      </c>
      <c r="C105" s="10" t="s">
        <v>5</v>
      </c>
      <c r="D105" s="15">
        <v>1</v>
      </c>
      <c r="E105" s="6"/>
      <c r="F105" s="5" t="s">
        <v>149</v>
      </c>
      <c r="G105">
        <v>1</v>
      </c>
      <c r="I105" s="6"/>
      <c r="J105" s="6"/>
    </row>
    <row r="106" spans="1:10" x14ac:dyDescent="0.2">
      <c r="A106" s="8" t="s">
        <v>103</v>
      </c>
      <c r="B106" s="8" t="s">
        <v>29</v>
      </c>
      <c r="C106" s="8" t="s">
        <v>6</v>
      </c>
      <c r="D106" s="14">
        <v>2</v>
      </c>
      <c r="E106" s="6"/>
      <c r="F106" s="5" t="s">
        <v>110</v>
      </c>
      <c r="G106">
        <v>3</v>
      </c>
      <c r="I106" s="6"/>
      <c r="J106" s="6"/>
    </row>
    <row r="107" spans="1:10" x14ac:dyDescent="0.2">
      <c r="A107" s="10" t="s">
        <v>104</v>
      </c>
      <c r="B107" s="10" t="s">
        <v>29</v>
      </c>
      <c r="C107" s="10" t="s">
        <v>6</v>
      </c>
      <c r="D107" s="15">
        <v>1</v>
      </c>
      <c r="E107" s="6"/>
      <c r="F107" s="5" t="s">
        <v>82</v>
      </c>
      <c r="G107">
        <v>3</v>
      </c>
      <c r="I107" s="6"/>
      <c r="J107" s="6"/>
    </row>
    <row r="108" spans="1:10" x14ac:dyDescent="0.2">
      <c r="A108" s="8" t="s">
        <v>104</v>
      </c>
      <c r="B108" s="8" t="s">
        <v>29</v>
      </c>
      <c r="C108" s="8" t="s">
        <v>6</v>
      </c>
      <c r="D108" s="14">
        <v>1</v>
      </c>
      <c r="E108" s="6"/>
      <c r="F108" s="5" t="s">
        <v>161</v>
      </c>
      <c r="G108">
        <v>4</v>
      </c>
      <c r="I108" s="6"/>
      <c r="J108" s="6"/>
    </row>
    <row r="109" spans="1:10" x14ac:dyDescent="0.2">
      <c r="A109" s="10" t="s">
        <v>105</v>
      </c>
      <c r="B109" s="10" t="s">
        <v>29</v>
      </c>
      <c r="C109" s="10" t="s">
        <v>6</v>
      </c>
      <c r="D109" s="15">
        <v>6</v>
      </c>
      <c r="E109" s="6"/>
      <c r="F109" s="5" t="s">
        <v>137</v>
      </c>
      <c r="G109">
        <v>3</v>
      </c>
      <c r="I109" s="6"/>
      <c r="J109" s="6"/>
    </row>
    <row r="110" spans="1:10" x14ac:dyDescent="0.2">
      <c r="A110" s="8" t="s">
        <v>106</v>
      </c>
      <c r="B110" s="8" t="s">
        <v>29</v>
      </c>
      <c r="C110" s="8" t="s">
        <v>6</v>
      </c>
      <c r="D110" s="14">
        <v>2</v>
      </c>
      <c r="E110" s="6"/>
      <c r="F110" s="5" t="s">
        <v>200</v>
      </c>
      <c r="G110">
        <v>2</v>
      </c>
      <c r="I110" s="6"/>
      <c r="J110" s="6"/>
    </row>
    <row r="111" spans="1:10" x14ac:dyDescent="0.2">
      <c r="A111" s="10" t="s">
        <v>107</v>
      </c>
      <c r="B111" s="10" t="s">
        <v>29</v>
      </c>
      <c r="C111" s="10" t="s">
        <v>6</v>
      </c>
      <c r="D111" s="15">
        <v>2</v>
      </c>
      <c r="E111" s="6"/>
      <c r="F111" s="5" t="s">
        <v>65</v>
      </c>
      <c r="G111">
        <v>1</v>
      </c>
      <c r="I111" s="6"/>
      <c r="J111" s="6"/>
    </row>
    <row r="112" spans="1:10" x14ac:dyDescent="0.2">
      <c r="A112" s="8" t="s">
        <v>108</v>
      </c>
      <c r="B112" s="8" t="s">
        <v>31</v>
      </c>
      <c r="C112" s="8" t="s">
        <v>5</v>
      </c>
      <c r="D112" s="14">
        <v>1</v>
      </c>
      <c r="E112" s="6"/>
      <c r="F112" s="5" t="s">
        <v>133</v>
      </c>
      <c r="G112">
        <v>2</v>
      </c>
      <c r="I112" s="6"/>
      <c r="J112" s="6"/>
    </row>
    <row r="113" spans="1:10" x14ac:dyDescent="0.2">
      <c r="A113" s="10" t="s">
        <v>109</v>
      </c>
      <c r="B113" s="10" t="s">
        <v>31</v>
      </c>
      <c r="C113" s="10" t="s">
        <v>5</v>
      </c>
      <c r="D113" s="15">
        <v>1</v>
      </c>
      <c r="E113" s="6"/>
      <c r="F113" s="5" t="s">
        <v>157</v>
      </c>
      <c r="G113">
        <v>2</v>
      </c>
      <c r="I113" s="6"/>
      <c r="J113" s="6"/>
    </row>
    <row r="114" spans="1:10" x14ac:dyDescent="0.2">
      <c r="A114" s="8" t="s">
        <v>110</v>
      </c>
      <c r="B114" s="8" t="s">
        <v>29</v>
      </c>
      <c r="C114" s="8" t="s">
        <v>6</v>
      </c>
      <c r="D114" s="14">
        <v>2</v>
      </c>
      <c r="E114" s="6"/>
      <c r="F114" s="5" t="s">
        <v>91</v>
      </c>
      <c r="G114">
        <v>1</v>
      </c>
      <c r="I114" s="6"/>
      <c r="J114" s="6"/>
    </row>
    <row r="115" spans="1:10" x14ac:dyDescent="0.2">
      <c r="A115" s="10" t="s">
        <v>110</v>
      </c>
      <c r="B115" s="10" t="s">
        <v>29</v>
      </c>
      <c r="C115" s="10" t="s">
        <v>6</v>
      </c>
      <c r="D115" s="15">
        <v>1</v>
      </c>
      <c r="E115" s="6"/>
      <c r="F115" s="5" t="s">
        <v>62</v>
      </c>
      <c r="G115">
        <v>5</v>
      </c>
      <c r="I115" s="6"/>
      <c r="J115" s="6"/>
    </row>
    <row r="116" spans="1:10" x14ac:dyDescent="0.2">
      <c r="A116" s="8" t="s">
        <v>111</v>
      </c>
      <c r="B116" s="8" t="s">
        <v>29</v>
      </c>
      <c r="C116" s="8" t="s">
        <v>6</v>
      </c>
      <c r="D116" s="14">
        <v>2</v>
      </c>
      <c r="E116" s="6"/>
      <c r="F116" s="5" t="s">
        <v>171</v>
      </c>
      <c r="G116">
        <v>1</v>
      </c>
      <c r="I116" s="6"/>
      <c r="J116" s="6"/>
    </row>
    <row r="117" spans="1:10" x14ac:dyDescent="0.2">
      <c r="A117" s="10" t="s">
        <v>112</v>
      </c>
      <c r="B117" s="10" t="s">
        <v>31</v>
      </c>
      <c r="C117" s="10" t="s">
        <v>5</v>
      </c>
      <c r="D117" s="15">
        <v>2</v>
      </c>
      <c r="E117" s="6"/>
      <c r="F117" s="5" t="s">
        <v>178</v>
      </c>
      <c r="G117">
        <v>2</v>
      </c>
      <c r="I117" s="6"/>
      <c r="J117" s="6"/>
    </row>
    <row r="118" spans="1:10" x14ac:dyDescent="0.2">
      <c r="A118" s="8" t="s">
        <v>113</v>
      </c>
      <c r="B118" s="8" t="s">
        <v>29</v>
      </c>
      <c r="C118" s="8" t="s">
        <v>6</v>
      </c>
      <c r="D118" s="14">
        <v>1</v>
      </c>
      <c r="E118" s="6"/>
      <c r="F118" s="5" t="s">
        <v>132</v>
      </c>
      <c r="G118">
        <v>1</v>
      </c>
      <c r="I118" s="6"/>
      <c r="J118" s="6"/>
    </row>
    <row r="119" spans="1:10" x14ac:dyDescent="0.2">
      <c r="A119" s="10" t="s">
        <v>113</v>
      </c>
      <c r="B119" s="10" t="s">
        <v>29</v>
      </c>
      <c r="C119" s="10" t="s">
        <v>6</v>
      </c>
      <c r="D119" s="15">
        <v>1</v>
      </c>
      <c r="E119" s="6"/>
      <c r="F119" s="5" t="s">
        <v>191</v>
      </c>
      <c r="G119">
        <v>1</v>
      </c>
      <c r="I119" s="6"/>
      <c r="J119" s="6"/>
    </row>
    <row r="120" spans="1:10" x14ac:dyDescent="0.2">
      <c r="A120" s="8" t="s">
        <v>114</v>
      </c>
      <c r="B120" s="8" t="s">
        <v>29</v>
      </c>
      <c r="C120" s="8" t="s">
        <v>6</v>
      </c>
      <c r="D120" s="14">
        <v>1</v>
      </c>
      <c r="E120" s="6"/>
      <c r="F120" s="5" t="s">
        <v>54</v>
      </c>
      <c r="G120">
        <v>5</v>
      </c>
      <c r="I120" s="6"/>
      <c r="J120" s="6"/>
    </row>
    <row r="121" spans="1:10" x14ac:dyDescent="0.2">
      <c r="A121" s="10" t="s">
        <v>115</v>
      </c>
      <c r="B121" s="10" t="s">
        <v>29</v>
      </c>
      <c r="C121" s="10" t="s">
        <v>6</v>
      </c>
      <c r="D121" s="15">
        <v>2</v>
      </c>
      <c r="E121" s="6"/>
      <c r="F121" s="5" t="s">
        <v>194</v>
      </c>
      <c r="G121">
        <v>2</v>
      </c>
      <c r="I121" s="6"/>
      <c r="J121" s="6"/>
    </row>
    <row r="122" spans="1:10" x14ac:dyDescent="0.2">
      <c r="A122" s="8" t="s">
        <v>116</v>
      </c>
      <c r="B122" s="8" t="s">
        <v>29</v>
      </c>
      <c r="C122" s="8" t="s">
        <v>6</v>
      </c>
      <c r="D122" s="14">
        <v>1</v>
      </c>
      <c r="E122" s="6"/>
      <c r="F122" s="5" t="s">
        <v>36</v>
      </c>
      <c r="G122">
        <v>1</v>
      </c>
      <c r="I122" s="6"/>
      <c r="J122" s="6"/>
    </row>
    <row r="123" spans="1:10" x14ac:dyDescent="0.2">
      <c r="A123" s="10" t="s">
        <v>116</v>
      </c>
      <c r="B123" s="10" t="s">
        <v>29</v>
      </c>
      <c r="C123" s="10" t="s">
        <v>6</v>
      </c>
      <c r="D123" s="15">
        <v>1</v>
      </c>
      <c r="E123" s="6"/>
      <c r="F123" s="5" t="s">
        <v>48</v>
      </c>
      <c r="G123">
        <v>1</v>
      </c>
      <c r="I123" s="6"/>
      <c r="J123" s="6"/>
    </row>
    <row r="124" spans="1:10" x14ac:dyDescent="0.2">
      <c r="A124" s="8" t="s">
        <v>117</v>
      </c>
      <c r="B124" s="8" t="s">
        <v>31</v>
      </c>
      <c r="C124" s="8" t="s">
        <v>5</v>
      </c>
      <c r="D124" s="14">
        <v>2</v>
      </c>
      <c r="E124" s="6"/>
      <c r="F124" s="5" t="s">
        <v>67</v>
      </c>
      <c r="G124">
        <v>2</v>
      </c>
      <c r="I124" s="6"/>
      <c r="J124" s="6"/>
    </row>
    <row r="125" spans="1:10" x14ac:dyDescent="0.2">
      <c r="A125" s="10" t="s">
        <v>118</v>
      </c>
      <c r="B125" s="10" t="s">
        <v>31</v>
      </c>
      <c r="C125" s="10" t="s">
        <v>7</v>
      </c>
      <c r="D125" s="15">
        <v>1</v>
      </c>
      <c r="E125" s="6"/>
      <c r="F125" s="5" t="s">
        <v>79</v>
      </c>
      <c r="G125">
        <v>7</v>
      </c>
      <c r="I125" s="6"/>
      <c r="J125" s="6"/>
    </row>
    <row r="126" spans="1:10" x14ac:dyDescent="0.2">
      <c r="A126" s="8" t="s">
        <v>119</v>
      </c>
      <c r="B126" s="8" t="s">
        <v>29</v>
      </c>
      <c r="C126" s="8" t="s">
        <v>6</v>
      </c>
      <c r="D126" s="14">
        <v>1</v>
      </c>
      <c r="E126" s="6"/>
      <c r="F126" s="5" t="s">
        <v>86</v>
      </c>
      <c r="G126">
        <v>3</v>
      </c>
      <c r="I126" s="6"/>
      <c r="J126" s="6"/>
    </row>
    <row r="127" spans="1:10" x14ac:dyDescent="0.2">
      <c r="A127" s="10" t="s">
        <v>120</v>
      </c>
      <c r="B127" s="10" t="s">
        <v>29</v>
      </c>
      <c r="C127" s="10" t="s">
        <v>6</v>
      </c>
      <c r="D127" s="15">
        <v>1</v>
      </c>
      <c r="E127" s="6"/>
      <c r="F127" s="5" t="s">
        <v>190</v>
      </c>
      <c r="G127">
        <v>2</v>
      </c>
      <c r="I127" s="6"/>
      <c r="J127" s="6"/>
    </row>
    <row r="128" spans="1:10" x14ac:dyDescent="0.2">
      <c r="A128" s="8" t="s">
        <v>121</v>
      </c>
      <c r="B128" s="8" t="s">
        <v>31</v>
      </c>
      <c r="C128" s="8" t="s">
        <v>5</v>
      </c>
      <c r="D128" s="14">
        <v>4</v>
      </c>
      <c r="E128" s="6"/>
      <c r="F128" s="5" t="s">
        <v>101</v>
      </c>
      <c r="G128">
        <v>1</v>
      </c>
      <c r="I128" s="6"/>
      <c r="J128" s="6"/>
    </row>
    <row r="129" spans="1:10" x14ac:dyDescent="0.2">
      <c r="A129" s="10" t="s">
        <v>121</v>
      </c>
      <c r="B129" s="10" t="s">
        <v>31</v>
      </c>
      <c r="C129" s="10" t="s">
        <v>5</v>
      </c>
      <c r="D129" s="15">
        <v>2</v>
      </c>
      <c r="E129" s="6"/>
      <c r="F129" s="5" t="s">
        <v>78</v>
      </c>
      <c r="G129">
        <v>3</v>
      </c>
      <c r="I129" s="6"/>
      <c r="J129" s="6"/>
    </row>
    <row r="130" spans="1:10" x14ac:dyDescent="0.2">
      <c r="A130" s="8" t="s">
        <v>121</v>
      </c>
      <c r="B130" s="8" t="s">
        <v>29</v>
      </c>
      <c r="C130" s="8" t="s">
        <v>5</v>
      </c>
      <c r="D130" s="14">
        <v>3</v>
      </c>
      <c r="E130" s="6"/>
      <c r="F130" s="5" t="s">
        <v>99</v>
      </c>
      <c r="G130">
        <v>1</v>
      </c>
      <c r="I130" s="6"/>
      <c r="J130" s="6"/>
    </row>
    <row r="131" spans="1:10" x14ac:dyDescent="0.2">
      <c r="A131" s="10" t="s">
        <v>122</v>
      </c>
      <c r="B131" s="10" t="s">
        <v>29</v>
      </c>
      <c r="C131" s="10" t="s">
        <v>6</v>
      </c>
      <c r="D131" s="15">
        <v>4</v>
      </c>
      <c r="E131" s="6"/>
      <c r="F131" s="5" t="s">
        <v>61</v>
      </c>
      <c r="G131">
        <v>4</v>
      </c>
      <c r="I131" s="6"/>
      <c r="J131" s="6"/>
    </row>
    <row r="132" spans="1:10" x14ac:dyDescent="0.2">
      <c r="A132" s="8" t="s">
        <v>123</v>
      </c>
      <c r="B132" s="8" t="s">
        <v>29</v>
      </c>
      <c r="C132" s="8" t="s">
        <v>6</v>
      </c>
      <c r="D132" s="14">
        <v>2</v>
      </c>
      <c r="E132" s="6"/>
      <c r="F132" s="5" t="s">
        <v>111</v>
      </c>
      <c r="G132">
        <v>2</v>
      </c>
      <c r="I132" s="6"/>
      <c r="J132" s="6"/>
    </row>
    <row r="133" spans="1:10" x14ac:dyDescent="0.2">
      <c r="A133" s="10" t="s">
        <v>124</v>
      </c>
      <c r="B133" s="10" t="s">
        <v>29</v>
      </c>
      <c r="C133" s="10" t="s">
        <v>6</v>
      </c>
      <c r="D133" s="15">
        <v>1</v>
      </c>
      <c r="E133" s="6"/>
      <c r="F133" s="5" t="s">
        <v>123</v>
      </c>
      <c r="G133">
        <v>2</v>
      </c>
      <c r="I133" s="6"/>
      <c r="J133" s="6"/>
    </row>
    <row r="134" spans="1:10" x14ac:dyDescent="0.2">
      <c r="A134" s="8" t="s">
        <v>125</v>
      </c>
      <c r="B134" s="8" t="s">
        <v>31</v>
      </c>
      <c r="C134" s="8" t="s">
        <v>5</v>
      </c>
      <c r="D134" s="14">
        <v>3</v>
      </c>
      <c r="E134" s="6"/>
      <c r="F134" s="5" t="s">
        <v>56</v>
      </c>
      <c r="G134">
        <v>1</v>
      </c>
      <c r="I134" s="6"/>
      <c r="J134" s="6"/>
    </row>
    <row r="135" spans="1:10" x14ac:dyDescent="0.2">
      <c r="A135" s="10" t="s">
        <v>125</v>
      </c>
      <c r="B135" s="10" t="s">
        <v>29</v>
      </c>
      <c r="C135" s="10" t="s">
        <v>5</v>
      </c>
      <c r="D135" s="15">
        <v>1</v>
      </c>
      <c r="E135" s="6"/>
      <c r="F135" s="5" t="s">
        <v>39</v>
      </c>
      <c r="G135">
        <v>2</v>
      </c>
      <c r="I135" s="6"/>
      <c r="J135" s="6"/>
    </row>
    <row r="136" spans="1:10" x14ac:dyDescent="0.2">
      <c r="A136" s="8" t="s">
        <v>126</v>
      </c>
      <c r="B136" s="8" t="s">
        <v>29</v>
      </c>
      <c r="C136" s="8" t="s">
        <v>7</v>
      </c>
      <c r="D136" s="14">
        <v>1</v>
      </c>
      <c r="E136" s="6"/>
      <c r="F136" s="5" t="s">
        <v>83</v>
      </c>
      <c r="G136">
        <v>2</v>
      </c>
      <c r="I136" s="6"/>
      <c r="J136" s="6"/>
    </row>
    <row r="137" spans="1:10" x14ac:dyDescent="0.2">
      <c r="A137" s="10" t="s">
        <v>69</v>
      </c>
      <c r="B137" s="10" t="s">
        <v>31</v>
      </c>
      <c r="C137" s="10" t="s">
        <v>5</v>
      </c>
      <c r="D137" s="15">
        <v>5</v>
      </c>
      <c r="E137" s="6"/>
      <c r="F137" s="5" t="s">
        <v>118</v>
      </c>
      <c r="G137">
        <v>1</v>
      </c>
      <c r="I137" s="6"/>
      <c r="J137" s="6"/>
    </row>
    <row r="138" spans="1:10" x14ac:dyDescent="0.2">
      <c r="A138" s="8" t="s">
        <v>112</v>
      </c>
      <c r="B138" s="8" t="s">
        <v>29</v>
      </c>
      <c r="C138" s="8" t="s">
        <v>6</v>
      </c>
      <c r="D138" s="14">
        <v>1</v>
      </c>
      <c r="E138" s="6"/>
      <c r="F138" s="5" t="s">
        <v>147</v>
      </c>
      <c r="G138">
        <v>5</v>
      </c>
      <c r="I138" s="6"/>
      <c r="J138" s="6"/>
    </row>
    <row r="139" spans="1:10" x14ac:dyDescent="0.2">
      <c r="A139" s="10" t="s">
        <v>127</v>
      </c>
      <c r="B139" s="10" t="s">
        <v>29</v>
      </c>
      <c r="C139" s="10" t="s">
        <v>5</v>
      </c>
      <c r="D139" s="15">
        <v>1</v>
      </c>
      <c r="E139" s="6"/>
      <c r="F139" s="5" t="s">
        <v>174</v>
      </c>
      <c r="G139">
        <v>10</v>
      </c>
      <c r="I139" s="6"/>
      <c r="J139" s="6"/>
    </row>
    <row r="140" spans="1:10" x14ac:dyDescent="0.2">
      <c r="A140" s="8" t="s">
        <v>128</v>
      </c>
      <c r="B140" s="8" t="s">
        <v>29</v>
      </c>
      <c r="C140" s="8" t="s">
        <v>6</v>
      </c>
      <c r="D140" s="14">
        <v>1</v>
      </c>
      <c r="E140" s="6"/>
      <c r="F140" s="5" t="s">
        <v>127</v>
      </c>
      <c r="G140">
        <v>1</v>
      </c>
      <c r="I140" s="6"/>
      <c r="J140" s="6"/>
    </row>
    <row r="141" spans="1:10" x14ac:dyDescent="0.2">
      <c r="A141" s="10" t="s">
        <v>128</v>
      </c>
      <c r="B141" s="10" t="s">
        <v>29</v>
      </c>
      <c r="C141" s="10" t="s">
        <v>6</v>
      </c>
      <c r="D141" s="15">
        <v>1</v>
      </c>
      <c r="E141" s="6"/>
      <c r="F141" s="5" t="s">
        <v>145</v>
      </c>
      <c r="G141">
        <v>3</v>
      </c>
      <c r="I141" s="6"/>
      <c r="J141" s="6"/>
    </row>
    <row r="142" spans="1:10" x14ac:dyDescent="0.2">
      <c r="A142" s="8" t="s">
        <v>129</v>
      </c>
      <c r="B142" s="8" t="s">
        <v>29</v>
      </c>
      <c r="C142" s="8" t="s">
        <v>6</v>
      </c>
      <c r="D142" s="14">
        <v>2</v>
      </c>
      <c r="E142" s="6"/>
      <c r="F142" s="5" t="s">
        <v>141</v>
      </c>
      <c r="G142">
        <v>2</v>
      </c>
      <c r="I142" s="6"/>
      <c r="J142" s="6"/>
    </row>
    <row r="143" spans="1:10" x14ac:dyDescent="0.2">
      <c r="A143" s="10" t="s">
        <v>130</v>
      </c>
      <c r="B143" s="10" t="s">
        <v>29</v>
      </c>
      <c r="C143" s="10" t="s">
        <v>6</v>
      </c>
      <c r="D143" s="15">
        <v>3</v>
      </c>
      <c r="E143" s="6"/>
      <c r="F143" s="5" t="s">
        <v>158</v>
      </c>
      <c r="G143">
        <v>4</v>
      </c>
      <c r="I143" s="6"/>
      <c r="J143" s="6"/>
    </row>
    <row r="144" spans="1:10" x14ac:dyDescent="0.2">
      <c r="A144" s="8" t="s">
        <v>131</v>
      </c>
      <c r="B144" s="8" t="s">
        <v>29</v>
      </c>
      <c r="C144" s="8" t="s">
        <v>6</v>
      </c>
      <c r="D144" s="14">
        <v>2</v>
      </c>
      <c r="E144" s="6"/>
      <c r="F144" s="5" t="s">
        <v>199</v>
      </c>
      <c r="G144">
        <v>2</v>
      </c>
      <c r="I144" s="6"/>
      <c r="J144" s="6"/>
    </row>
    <row r="145" spans="1:10" x14ac:dyDescent="0.2">
      <c r="A145" s="10" t="s">
        <v>132</v>
      </c>
      <c r="B145" s="10" t="s">
        <v>29</v>
      </c>
      <c r="C145" s="10" t="s">
        <v>6</v>
      </c>
      <c r="D145" s="15">
        <v>1</v>
      </c>
      <c r="E145" s="6"/>
      <c r="F145" s="5" t="s">
        <v>184</v>
      </c>
      <c r="G145">
        <v>1</v>
      </c>
      <c r="I145" s="6"/>
      <c r="J145" s="6"/>
    </row>
    <row r="146" spans="1:10" x14ac:dyDescent="0.2">
      <c r="A146" s="8" t="s">
        <v>133</v>
      </c>
      <c r="B146" s="8" t="s">
        <v>29</v>
      </c>
      <c r="C146" s="8" t="s">
        <v>6</v>
      </c>
      <c r="D146" s="14">
        <v>1</v>
      </c>
      <c r="E146" s="6"/>
      <c r="F146" s="5" t="s">
        <v>46</v>
      </c>
      <c r="G146">
        <v>3</v>
      </c>
      <c r="I146" s="6"/>
      <c r="J146" s="6"/>
    </row>
    <row r="147" spans="1:10" x14ac:dyDescent="0.2">
      <c r="A147" s="10" t="s">
        <v>133</v>
      </c>
      <c r="B147" s="10" t="s">
        <v>29</v>
      </c>
      <c r="C147" s="10" t="s">
        <v>6</v>
      </c>
      <c r="D147" s="15">
        <v>1</v>
      </c>
      <c r="E147" s="6"/>
      <c r="F147" s="5" t="s">
        <v>104</v>
      </c>
      <c r="G147">
        <v>2</v>
      </c>
      <c r="I147" s="6"/>
      <c r="J147" s="6"/>
    </row>
    <row r="148" spans="1:10" x14ac:dyDescent="0.2">
      <c r="A148" s="8" t="s">
        <v>134</v>
      </c>
      <c r="B148" s="8" t="s">
        <v>29</v>
      </c>
      <c r="C148" s="8" t="s">
        <v>6</v>
      </c>
      <c r="D148" s="14">
        <v>2</v>
      </c>
      <c r="E148" s="6"/>
      <c r="F148" s="5" t="s">
        <v>96</v>
      </c>
      <c r="G148">
        <v>3</v>
      </c>
      <c r="I148" s="6"/>
      <c r="J148" s="6"/>
    </row>
    <row r="149" spans="1:10" x14ac:dyDescent="0.2">
      <c r="A149" s="10" t="s">
        <v>135</v>
      </c>
      <c r="B149" s="10" t="s">
        <v>29</v>
      </c>
      <c r="C149" s="10" t="s">
        <v>6</v>
      </c>
      <c r="D149" s="15">
        <v>2</v>
      </c>
      <c r="E149" s="6"/>
      <c r="F149" s="5" t="s">
        <v>75</v>
      </c>
      <c r="G149">
        <v>3</v>
      </c>
      <c r="I149" s="6"/>
      <c r="J149" s="6"/>
    </row>
    <row r="150" spans="1:10" x14ac:dyDescent="0.2">
      <c r="A150" s="8" t="s">
        <v>71</v>
      </c>
      <c r="B150" s="8" t="s">
        <v>31</v>
      </c>
      <c r="C150" s="8" t="s">
        <v>5</v>
      </c>
      <c r="D150" s="14">
        <v>1</v>
      </c>
      <c r="E150" s="6"/>
      <c r="F150" s="5" t="s">
        <v>55</v>
      </c>
      <c r="G150">
        <v>1</v>
      </c>
      <c r="I150" s="6"/>
      <c r="J150" s="6"/>
    </row>
    <row r="151" spans="1:10" x14ac:dyDescent="0.2">
      <c r="A151" s="10" t="s">
        <v>71</v>
      </c>
      <c r="B151" s="10" t="s">
        <v>29</v>
      </c>
      <c r="C151" s="10" t="s">
        <v>5</v>
      </c>
      <c r="D151" s="15">
        <v>1</v>
      </c>
      <c r="E151" s="6"/>
      <c r="F151" s="5" t="s">
        <v>37</v>
      </c>
      <c r="G151">
        <v>3</v>
      </c>
      <c r="I151" s="6"/>
      <c r="J151" s="6"/>
    </row>
    <row r="152" spans="1:10" x14ac:dyDescent="0.2">
      <c r="A152" s="8" t="s">
        <v>136</v>
      </c>
      <c r="B152" s="8" t="s">
        <v>29</v>
      </c>
      <c r="C152" s="8" t="s">
        <v>6</v>
      </c>
      <c r="D152" s="14">
        <v>1</v>
      </c>
      <c r="E152" s="6"/>
      <c r="F152" s="5" t="s">
        <v>71</v>
      </c>
      <c r="G152">
        <v>3</v>
      </c>
      <c r="I152" s="6"/>
      <c r="J152" s="6"/>
    </row>
    <row r="153" spans="1:10" x14ac:dyDescent="0.2">
      <c r="A153" s="10" t="s">
        <v>103</v>
      </c>
      <c r="B153" s="10" t="s">
        <v>29</v>
      </c>
      <c r="C153" s="10" t="s">
        <v>5</v>
      </c>
      <c r="D153" s="15">
        <v>2</v>
      </c>
      <c r="E153" s="6"/>
      <c r="F153" s="5" t="s">
        <v>81</v>
      </c>
      <c r="G153">
        <v>3</v>
      </c>
      <c r="I153" s="6"/>
      <c r="J153" s="6"/>
    </row>
    <row r="154" spans="1:10" x14ac:dyDescent="0.2">
      <c r="A154" s="8" t="s">
        <v>103</v>
      </c>
      <c r="B154" s="8" t="s">
        <v>29</v>
      </c>
      <c r="C154" s="8" t="s">
        <v>5</v>
      </c>
      <c r="D154" s="14">
        <v>2</v>
      </c>
      <c r="E154" s="6"/>
      <c r="F154" s="5" t="s">
        <v>30</v>
      </c>
      <c r="G154">
        <v>5</v>
      </c>
      <c r="I154" s="6"/>
      <c r="J154" s="6"/>
    </row>
    <row r="155" spans="1:10" x14ac:dyDescent="0.2">
      <c r="A155" s="10" t="s">
        <v>59</v>
      </c>
      <c r="B155" s="10" t="s">
        <v>29</v>
      </c>
      <c r="C155" s="10" t="s">
        <v>6</v>
      </c>
      <c r="D155" s="15">
        <v>1</v>
      </c>
      <c r="E155" s="6"/>
      <c r="F155" s="5" t="s">
        <v>64</v>
      </c>
      <c r="G155">
        <v>1</v>
      </c>
      <c r="I155" s="6"/>
      <c r="J155" s="6"/>
    </row>
    <row r="156" spans="1:10" x14ac:dyDescent="0.2">
      <c r="A156" s="8" t="s">
        <v>137</v>
      </c>
      <c r="B156" s="8" t="s">
        <v>29</v>
      </c>
      <c r="C156" s="8" t="s">
        <v>7</v>
      </c>
      <c r="D156" s="14">
        <v>1</v>
      </c>
      <c r="E156" s="6"/>
      <c r="F156" s="5" t="s">
        <v>179</v>
      </c>
      <c r="G156">
        <v>3</v>
      </c>
      <c r="I156" s="6"/>
      <c r="J156" s="6"/>
    </row>
    <row r="157" spans="1:10" x14ac:dyDescent="0.2">
      <c r="A157" s="10" t="s">
        <v>138</v>
      </c>
      <c r="B157" s="10" t="s">
        <v>29</v>
      </c>
      <c r="C157" s="10" t="s">
        <v>6</v>
      </c>
      <c r="D157" s="15">
        <v>2</v>
      </c>
      <c r="E157" s="6"/>
      <c r="F157" s="5" t="s">
        <v>136</v>
      </c>
      <c r="G157">
        <v>1</v>
      </c>
      <c r="I157" s="6"/>
      <c r="J157" s="6"/>
    </row>
    <row r="158" spans="1:10" x14ac:dyDescent="0.2">
      <c r="A158" s="8" t="s">
        <v>139</v>
      </c>
      <c r="B158" s="8" t="s">
        <v>29</v>
      </c>
      <c r="C158" s="8" t="s">
        <v>6</v>
      </c>
      <c r="D158" s="14">
        <v>1</v>
      </c>
      <c r="E158" s="6"/>
      <c r="F158" s="5" t="s">
        <v>166</v>
      </c>
      <c r="G158">
        <v>2</v>
      </c>
      <c r="I158" s="6"/>
      <c r="J158" s="6"/>
    </row>
    <row r="159" spans="1:10" x14ac:dyDescent="0.2">
      <c r="A159" s="10" t="s">
        <v>140</v>
      </c>
      <c r="B159" s="10" t="s">
        <v>29</v>
      </c>
      <c r="C159" s="10" t="s">
        <v>6</v>
      </c>
      <c r="D159" s="15">
        <v>2</v>
      </c>
      <c r="E159" s="6"/>
      <c r="F159" s="5" t="s">
        <v>129</v>
      </c>
      <c r="G159">
        <v>2</v>
      </c>
      <c r="I159" s="6"/>
      <c r="J159" s="6"/>
    </row>
    <row r="160" spans="1:10" x14ac:dyDescent="0.2">
      <c r="A160" s="8" t="s">
        <v>141</v>
      </c>
      <c r="B160" s="8" t="s">
        <v>29</v>
      </c>
      <c r="C160" s="8" t="s">
        <v>6</v>
      </c>
      <c r="D160" s="14">
        <v>1</v>
      </c>
      <c r="E160" s="6"/>
      <c r="F160" s="5" t="s">
        <v>193</v>
      </c>
      <c r="G160">
        <v>2</v>
      </c>
      <c r="I160" s="6"/>
      <c r="J160" s="6"/>
    </row>
    <row r="161" spans="1:10" x14ac:dyDescent="0.2">
      <c r="A161" s="10" t="s">
        <v>141</v>
      </c>
      <c r="B161" s="10" t="s">
        <v>29</v>
      </c>
      <c r="C161" s="10" t="s">
        <v>6</v>
      </c>
      <c r="D161" s="15">
        <v>1</v>
      </c>
      <c r="E161" s="6"/>
      <c r="F161" s="5" t="s">
        <v>153</v>
      </c>
      <c r="G161">
        <v>4</v>
      </c>
      <c r="I161" s="6"/>
      <c r="J161" s="6"/>
    </row>
    <row r="162" spans="1:10" x14ac:dyDescent="0.2">
      <c r="A162" s="8" t="s">
        <v>142</v>
      </c>
      <c r="B162" s="8" t="s">
        <v>29</v>
      </c>
      <c r="C162" s="8" t="s">
        <v>6</v>
      </c>
      <c r="D162" s="14">
        <v>2</v>
      </c>
      <c r="E162" s="6"/>
      <c r="F162" s="5" t="s">
        <v>180</v>
      </c>
      <c r="G162">
        <v>1</v>
      </c>
      <c r="I162" s="6"/>
      <c r="J162" s="6"/>
    </row>
    <row r="163" spans="1:10" x14ac:dyDescent="0.2">
      <c r="A163" s="10" t="s">
        <v>85</v>
      </c>
      <c r="B163" s="10" t="s">
        <v>29</v>
      </c>
      <c r="C163" s="10" t="s">
        <v>6</v>
      </c>
      <c r="D163" s="15">
        <v>2</v>
      </c>
      <c r="E163" s="6"/>
      <c r="F163" s="5" t="s">
        <v>156</v>
      </c>
      <c r="G163">
        <v>4</v>
      </c>
      <c r="I163" s="6"/>
      <c r="J163" s="6"/>
    </row>
    <row r="164" spans="1:10" x14ac:dyDescent="0.2">
      <c r="A164" s="8" t="s">
        <v>85</v>
      </c>
      <c r="B164" s="8" t="s">
        <v>29</v>
      </c>
      <c r="C164" s="8" t="s">
        <v>6</v>
      </c>
      <c r="D164" s="14">
        <v>2</v>
      </c>
      <c r="E164" s="6"/>
      <c r="F164" s="5" t="s">
        <v>169</v>
      </c>
      <c r="G164">
        <v>3</v>
      </c>
      <c r="I164" s="6"/>
      <c r="J164" s="6"/>
    </row>
    <row r="165" spans="1:10" x14ac:dyDescent="0.2">
      <c r="A165" s="10" t="s">
        <v>143</v>
      </c>
      <c r="B165" s="10" t="s">
        <v>29</v>
      </c>
      <c r="C165" s="10" t="s">
        <v>6</v>
      </c>
      <c r="D165" s="15">
        <v>3</v>
      </c>
      <c r="E165" s="6"/>
      <c r="F165" s="5" t="s">
        <v>106</v>
      </c>
      <c r="G165">
        <v>2</v>
      </c>
      <c r="I165" s="6"/>
      <c r="J165" s="6"/>
    </row>
    <row r="166" spans="1:10" x14ac:dyDescent="0.2">
      <c r="A166" s="8" t="s">
        <v>143</v>
      </c>
      <c r="B166" s="8" t="s">
        <v>29</v>
      </c>
      <c r="C166" s="8" t="s">
        <v>6</v>
      </c>
      <c r="D166" s="14">
        <v>3</v>
      </c>
      <c r="E166" s="6"/>
      <c r="F166" s="5" t="s">
        <v>45</v>
      </c>
      <c r="G166">
        <v>4</v>
      </c>
      <c r="I166" s="6"/>
      <c r="J166" s="6"/>
    </row>
    <row r="167" spans="1:10" x14ac:dyDescent="0.2">
      <c r="A167" s="10" t="s">
        <v>144</v>
      </c>
      <c r="B167" s="10" t="s">
        <v>29</v>
      </c>
      <c r="C167" s="10" t="s">
        <v>6</v>
      </c>
      <c r="D167" s="15">
        <v>1</v>
      </c>
      <c r="E167" s="6"/>
      <c r="F167" s="5" t="s">
        <v>77</v>
      </c>
      <c r="G167">
        <v>1</v>
      </c>
      <c r="I167" s="6"/>
      <c r="J167" s="6"/>
    </row>
    <row r="168" spans="1:10" x14ac:dyDescent="0.2">
      <c r="A168" s="8" t="s">
        <v>145</v>
      </c>
      <c r="B168" s="8" t="s">
        <v>29</v>
      </c>
      <c r="C168" s="8" t="s">
        <v>6</v>
      </c>
      <c r="D168" s="14">
        <v>3</v>
      </c>
      <c r="E168" s="6"/>
      <c r="F168" s="5" t="s">
        <v>90</v>
      </c>
      <c r="G168">
        <v>2</v>
      </c>
      <c r="I168" s="6"/>
      <c r="J168" s="6"/>
    </row>
    <row r="169" spans="1:10" x14ac:dyDescent="0.2">
      <c r="A169" s="10" t="s">
        <v>146</v>
      </c>
      <c r="B169" s="10" t="s">
        <v>29</v>
      </c>
      <c r="C169" s="10" t="s">
        <v>6</v>
      </c>
      <c r="D169" s="15">
        <v>2</v>
      </c>
      <c r="E169" s="6"/>
      <c r="F169" s="5" t="s">
        <v>76</v>
      </c>
      <c r="G169">
        <v>5</v>
      </c>
      <c r="I169" s="6"/>
      <c r="J169" s="6"/>
    </row>
    <row r="170" spans="1:10" x14ac:dyDescent="0.2">
      <c r="A170" s="8" t="s">
        <v>147</v>
      </c>
      <c r="B170" s="8" t="s">
        <v>31</v>
      </c>
      <c r="C170" s="8" t="s">
        <v>5</v>
      </c>
      <c r="D170" s="14">
        <v>4</v>
      </c>
      <c r="E170" s="6"/>
      <c r="F170" s="5" t="s">
        <v>107</v>
      </c>
      <c r="G170">
        <v>2</v>
      </c>
      <c r="I170" s="6"/>
      <c r="J170" s="6"/>
    </row>
    <row r="171" spans="1:10" x14ac:dyDescent="0.2">
      <c r="A171" s="10" t="s">
        <v>148</v>
      </c>
      <c r="B171" s="10" t="s">
        <v>31</v>
      </c>
      <c r="C171" s="10" t="s">
        <v>5</v>
      </c>
      <c r="D171" s="15">
        <v>3</v>
      </c>
      <c r="E171" s="6"/>
      <c r="F171" s="5" t="s">
        <v>44</v>
      </c>
      <c r="G171">
        <v>1</v>
      </c>
      <c r="I171" s="6"/>
      <c r="J171" s="6"/>
    </row>
    <row r="172" spans="1:10" x14ac:dyDescent="0.2">
      <c r="A172" s="8" t="s">
        <v>93</v>
      </c>
      <c r="B172" s="8" t="s">
        <v>31</v>
      </c>
      <c r="C172" s="8" t="s">
        <v>5</v>
      </c>
      <c r="D172" s="14">
        <v>2</v>
      </c>
      <c r="E172" s="6"/>
      <c r="F172" s="5" t="s">
        <v>70</v>
      </c>
      <c r="G172">
        <v>4</v>
      </c>
      <c r="I172" s="6"/>
      <c r="J172" s="6"/>
    </row>
    <row r="173" spans="1:10" x14ac:dyDescent="0.2">
      <c r="A173" s="10" t="s">
        <v>149</v>
      </c>
      <c r="B173" s="10" t="s">
        <v>29</v>
      </c>
      <c r="C173" s="10" t="s">
        <v>7</v>
      </c>
      <c r="D173" s="15">
        <v>1</v>
      </c>
      <c r="E173" s="6"/>
      <c r="F173" s="5" t="s">
        <v>34</v>
      </c>
      <c r="G173">
        <v>1</v>
      </c>
      <c r="I173" s="6"/>
      <c r="J173" s="6"/>
    </row>
    <row r="174" spans="1:10" x14ac:dyDescent="0.2">
      <c r="A174" s="8" t="s">
        <v>150</v>
      </c>
      <c r="B174" s="8" t="s">
        <v>29</v>
      </c>
      <c r="C174" s="8" t="s">
        <v>6</v>
      </c>
      <c r="D174" s="14">
        <v>3</v>
      </c>
      <c r="E174" s="6"/>
      <c r="F174" s="5" t="s">
        <v>115</v>
      </c>
      <c r="G174">
        <v>2</v>
      </c>
      <c r="I174" s="6"/>
      <c r="J174" s="6"/>
    </row>
    <row r="175" spans="1:10" x14ac:dyDescent="0.2">
      <c r="A175" s="10" t="s">
        <v>150</v>
      </c>
      <c r="B175" s="10" t="s">
        <v>29</v>
      </c>
      <c r="C175" s="10" t="s">
        <v>6</v>
      </c>
      <c r="D175" s="15">
        <v>1</v>
      </c>
      <c r="E175" s="6"/>
      <c r="F175" s="5" t="s">
        <v>94</v>
      </c>
      <c r="G175">
        <v>3</v>
      </c>
      <c r="I175" s="6"/>
      <c r="J175" s="6"/>
    </row>
    <row r="176" spans="1:10" x14ac:dyDescent="0.2">
      <c r="A176" s="8" t="s">
        <v>151</v>
      </c>
      <c r="B176" s="8" t="s">
        <v>29</v>
      </c>
      <c r="C176" s="8" t="s">
        <v>6</v>
      </c>
      <c r="D176" s="14">
        <v>2</v>
      </c>
      <c r="E176" s="6"/>
      <c r="F176" s="5" t="s">
        <v>102</v>
      </c>
      <c r="G176">
        <v>1</v>
      </c>
      <c r="I176" s="6"/>
      <c r="J176" s="6"/>
    </row>
    <row r="177" spans="1:10" x14ac:dyDescent="0.2">
      <c r="A177" s="10" t="s">
        <v>152</v>
      </c>
      <c r="B177" s="10" t="s">
        <v>31</v>
      </c>
      <c r="C177" s="10" t="s">
        <v>5</v>
      </c>
      <c r="D177" s="15">
        <v>2</v>
      </c>
      <c r="E177" s="6"/>
      <c r="F177" s="5" t="s">
        <v>120</v>
      </c>
      <c r="G177">
        <v>1</v>
      </c>
      <c r="I177" s="6"/>
      <c r="J177" s="6"/>
    </row>
    <row r="178" spans="1:10" x14ac:dyDescent="0.2">
      <c r="A178" s="8" t="s">
        <v>152</v>
      </c>
      <c r="B178" s="8" t="s">
        <v>31</v>
      </c>
      <c r="C178" s="8" t="s">
        <v>5</v>
      </c>
      <c r="D178" s="14">
        <v>1</v>
      </c>
      <c r="E178" s="6"/>
      <c r="F178" s="5" t="s">
        <v>105</v>
      </c>
      <c r="G178">
        <v>6</v>
      </c>
      <c r="I178" s="6"/>
      <c r="J178" s="6"/>
    </row>
    <row r="179" spans="1:10" x14ac:dyDescent="0.2">
      <c r="A179" s="10" t="s">
        <v>152</v>
      </c>
      <c r="B179" s="10" t="s">
        <v>29</v>
      </c>
      <c r="C179" s="10" t="s">
        <v>5</v>
      </c>
      <c r="D179" s="15">
        <v>1</v>
      </c>
      <c r="E179" s="6"/>
      <c r="F179" s="5" t="s">
        <v>87</v>
      </c>
      <c r="G179">
        <v>3</v>
      </c>
      <c r="I179" s="6"/>
      <c r="J179" s="6"/>
    </row>
    <row r="180" spans="1:10" x14ac:dyDescent="0.2">
      <c r="A180" s="8" t="s">
        <v>153</v>
      </c>
      <c r="B180" s="8" t="s">
        <v>29</v>
      </c>
      <c r="C180" s="8" t="s">
        <v>5</v>
      </c>
      <c r="D180" s="14">
        <v>1</v>
      </c>
      <c r="E180" s="6"/>
      <c r="F180" s="5" t="s">
        <v>68</v>
      </c>
      <c r="G180">
        <v>3</v>
      </c>
      <c r="I180" s="6"/>
      <c r="J180" s="6"/>
    </row>
    <row r="181" spans="1:10" x14ac:dyDescent="0.2">
      <c r="A181" s="10" t="s">
        <v>154</v>
      </c>
      <c r="B181" s="10" t="s">
        <v>29</v>
      </c>
      <c r="C181" s="10" t="s">
        <v>6</v>
      </c>
      <c r="D181" s="15">
        <v>1</v>
      </c>
      <c r="E181" s="6"/>
      <c r="F181" s="5" t="s">
        <v>198</v>
      </c>
      <c r="G181">
        <v>3</v>
      </c>
      <c r="I181" s="6"/>
      <c r="J181" s="6"/>
    </row>
    <row r="182" spans="1:10" x14ac:dyDescent="0.2">
      <c r="A182" s="8" t="s">
        <v>155</v>
      </c>
      <c r="B182" s="8" t="s">
        <v>29</v>
      </c>
      <c r="C182" s="8" t="s">
        <v>6</v>
      </c>
      <c r="D182" s="14">
        <v>3</v>
      </c>
      <c r="E182" s="6"/>
      <c r="F182" s="5" t="s">
        <v>163</v>
      </c>
      <c r="G182">
        <v>8</v>
      </c>
      <c r="I182" s="6"/>
      <c r="J182" s="6"/>
    </row>
    <row r="183" spans="1:10" x14ac:dyDescent="0.2">
      <c r="A183" s="10" t="s">
        <v>155</v>
      </c>
      <c r="B183" s="10" t="s">
        <v>29</v>
      </c>
      <c r="C183" s="10" t="s">
        <v>6</v>
      </c>
      <c r="D183" s="15">
        <v>1</v>
      </c>
      <c r="E183" s="6"/>
      <c r="F183" s="5" t="s">
        <v>143</v>
      </c>
      <c r="G183">
        <v>6</v>
      </c>
      <c r="I183" s="6"/>
      <c r="J183" s="6"/>
    </row>
    <row r="184" spans="1:10" x14ac:dyDescent="0.2">
      <c r="A184" s="8" t="s">
        <v>156</v>
      </c>
      <c r="B184" s="8" t="s">
        <v>29</v>
      </c>
      <c r="C184" s="8" t="s">
        <v>6</v>
      </c>
      <c r="D184" s="14">
        <v>4</v>
      </c>
      <c r="E184" s="6"/>
      <c r="F184" s="5" t="s">
        <v>175</v>
      </c>
      <c r="G184">
        <v>7</v>
      </c>
      <c r="I184" s="6"/>
      <c r="J184" s="6"/>
    </row>
    <row r="185" spans="1:10" x14ac:dyDescent="0.2">
      <c r="A185" s="10" t="s">
        <v>137</v>
      </c>
      <c r="B185" s="10" t="s">
        <v>29</v>
      </c>
      <c r="C185" s="10" t="s">
        <v>5</v>
      </c>
      <c r="D185" s="15">
        <v>2</v>
      </c>
      <c r="E185" s="6"/>
      <c r="F185" s="5" t="s">
        <v>196</v>
      </c>
      <c r="G185">
        <v>1</v>
      </c>
      <c r="I185" s="6"/>
      <c r="J185" s="6"/>
    </row>
    <row r="186" spans="1:10" x14ac:dyDescent="0.2">
      <c r="A186" s="8" t="s">
        <v>157</v>
      </c>
      <c r="B186" s="8" t="s">
        <v>29</v>
      </c>
      <c r="C186" s="8" t="s">
        <v>6</v>
      </c>
      <c r="D186" s="14">
        <v>2</v>
      </c>
      <c r="E186" s="6"/>
      <c r="F186" s="5" t="s">
        <v>108</v>
      </c>
      <c r="G186">
        <v>1</v>
      </c>
      <c r="I186" s="6"/>
      <c r="J186" s="6"/>
    </row>
    <row r="187" spans="1:10" x14ac:dyDescent="0.2">
      <c r="A187" s="10" t="s">
        <v>158</v>
      </c>
      <c r="B187" s="10" t="s">
        <v>29</v>
      </c>
      <c r="C187" s="10" t="s">
        <v>6</v>
      </c>
      <c r="D187" s="15">
        <v>4</v>
      </c>
      <c r="E187" s="6"/>
      <c r="F187" s="5" t="s">
        <v>42</v>
      </c>
      <c r="G187">
        <v>1</v>
      </c>
      <c r="I187" s="6"/>
      <c r="J187" s="6"/>
    </row>
    <row r="188" spans="1:10" x14ac:dyDescent="0.2">
      <c r="A188" s="8" t="s">
        <v>159</v>
      </c>
      <c r="B188" s="8" t="s">
        <v>29</v>
      </c>
      <c r="C188" s="8" t="s">
        <v>6</v>
      </c>
      <c r="D188" s="14">
        <v>2</v>
      </c>
      <c r="E188" s="6"/>
      <c r="F188" s="5" t="s">
        <v>124</v>
      </c>
      <c r="G188">
        <v>1</v>
      </c>
      <c r="I188" s="6"/>
      <c r="J188" s="6"/>
    </row>
    <row r="189" spans="1:10" x14ac:dyDescent="0.2">
      <c r="A189" s="10" t="s">
        <v>160</v>
      </c>
      <c r="B189" s="10" t="s">
        <v>29</v>
      </c>
      <c r="C189" s="10" t="s">
        <v>6</v>
      </c>
      <c r="D189" s="15">
        <v>1</v>
      </c>
      <c r="E189" s="6"/>
      <c r="F189" s="5" t="s">
        <v>93</v>
      </c>
      <c r="G189">
        <v>5</v>
      </c>
      <c r="I189" s="6"/>
      <c r="J189" s="6"/>
    </row>
    <row r="190" spans="1:10" x14ac:dyDescent="0.2">
      <c r="A190" s="8" t="s">
        <v>33</v>
      </c>
      <c r="B190" s="8" t="s">
        <v>31</v>
      </c>
      <c r="C190" s="8" t="s">
        <v>5</v>
      </c>
      <c r="D190" s="14">
        <v>3</v>
      </c>
      <c r="E190" s="6"/>
      <c r="F190" s="5" t="s">
        <v>74</v>
      </c>
      <c r="G190">
        <v>2</v>
      </c>
      <c r="I190" s="6"/>
      <c r="J190" s="6"/>
    </row>
    <row r="191" spans="1:10" x14ac:dyDescent="0.2">
      <c r="A191" s="10" t="s">
        <v>161</v>
      </c>
      <c r="B191" s="10" t="s">
        <v>29</v>
      </c>
      <c r="C191" s="10" t="s">
        <v>6</v>
      </c>
      <c r="D191" s="15">
        <v>1</v>
      </c>
      <c r="E191" s="6"/>
      <c r="F191" s="5" t="s">
        <v>53</v>
      </c>
      <c r="G191">
        <v>2</v>
      </c>
      <c r="I191" s="6"/>
      <c r="J191" s="6"/>
    </row>
    <row r="192" spans="1:10" x14ac:dyDescent="0.2">
      <c r="A192" s="8" t="s">
        <v>161</v>
      </c>
      <c r="B192" s="8" t="s">
        <v>29</v>
      </c>
      <c r="C192" s="8" t="s">
        <v>6</v>
      </c>
      <c r="D192" s="14">
        <v>3</v>
      </c>
      <c r="E192" s="6"/>
      <c r="F192" s="5" t="s">
        <v>28</v>
      </c>
      <c r="G192">
        <v>1</v>
      </c>
      <c r="I192" s="6"/>
      <c r="J192" s="6"/>
    </row>
    <row r="193" spans="1:10" x14ac:dyDescent="0.2">
      <c r="A193" s="10" t="s">
        <v>162</v>
      </c>
      <c r="B193" s="10" t="s">
        <v>29</v>
      </c>
      <c r="C193" s="10" t="s">
        <v>6</v>
      </c>
      <c r="D193" s="15">
        <v>2</v>
      </c>
      <c r="E193" s="6"/>
      <c r="F193" s="5" t="s">
        <v>1</v>
      </c>
      <c r="G193">
        <v>447</v>
      </c>
      <c r="H193" s="6"/>
      <c r="I193" s="6"/>
      <c r="J193" s="6"/>
    </row>
    <row r="194" spans="1:10" x14ac:dyDescent="0.2">
      <c r="A194" s="8" t="s">
        <v>162</v>
      </c>
      <c r="B194" s="8" t="s">
        <v>29</v>
      </c>
      <c r="C194" s="8" t="s">
        <v>6</v>
      </c>
      <c r="D194" s="14">
        <v>1</v>
      </c>
      <c r="E194" s="6"/>
      <c r="F194" s="6"/>
      <c r="G194" s="6"/>
      <c r="H194" s="6"/>
      <c r="I194" s="6"/>
      <c r="J194" s="6"/>
    </row>
    <row r="195" spans="1:10" x14ac:dyDescent="0.2">
      <c r="A195" s="10" t="s">
        <v>163</v>
      </c>
      <c r="B195" s="10" t="s">
        <v>29</v>
      </c>
      <c r="C195" s="10" t="s">
        <v>6</v>
      </c>
      <c r="D195" s="15">
        <v>7</v>
      </c>
      <c r="E195" s="6"/>
      <c r="F195" s="6"/>
      <c r="G195" s="6"/>
      <c r="H195" s="6"/>
      <c r="I195" s="6"/>
      <c r="J195" s="6"/>
    </row>
    <row r="196" spans="1:10" x14ac:dyDescent="0.2">
      <c r="A196" s="8" t="s">
        <v>163</v>
      </c>
      <c r="B196" s="8" t="s">
        <v>29</v>
      </c>
      <c r="C196" s="8" t="s">
        <v>6</v>
      </c>
      <c r="D196" s="14">
        <v>1</v>
      </c>
      <c r="E196" s="6"/>
      <c r="F196" s="6"/>
      <c r="G196" s="6"/>
      <c r="H196" s="6"/>
      <c r="I196" s="6"/>
      <c r="J196" s="6"/>
    </row>
    <row r="197" spans="1:10" x14ac:dyDescent="0.2">
      <c r="A197" s="10" t="s">
        <v>164</v>
      </c>
      <c r="B197" s="10" t="s">
        <v>29</v>
      </c>
      <c r="C197" s="10" t="s">
        <v>6</v>
      </c>
      <c r="D197" s="15">
        <v>1</v>
      </c>
      <c r="E197" s="6"/>
      <c r="F197" s="6"/>
      <c r="G197" s="6"/>
      <c r="H197" s="6"/>
      <c r="I197" s="6"/>
      <c r="J197" s="6"/>
    </row>
    <row r="198" spans="1:10" x14ac:dyDescent="0.2">
      <c r="A198" s="8" t="s">
        <v>165</v>
      </c>
      <c r="B198" s="8" t="s">
        <v>29</v>
      </c>
      <c r="C198" s="8" t="s">
        <v>6</v>
      </c>
      <c r="D198" s="14">
        <v>1</v>
      </c>
      <c r="E198" s="6"/>
      <c r="F198" s="6"/>
      <c r="G198" s="6"/>
      <c r="H198" s="6"/>
      <c r="I198" s="6"/>
      <c r="J198" s="6"/>
    </row>
    <row r="199" spans="1:10" x14ac:dyDescent="0.2">
      <c r="A199" s="10" t="s">
        <v>147</v>
      </c>
      <c r="B199" s="10" t="s">
        <v>29</v>
      </c>
      <c r="C199" s="10" t="s">
        <v>6</v>
      </c>
      <c r="D199" s="15">
        <v>1</v>
      </c>
      <c r="E199" s="6"/>
      <c r="F199" s="6"/>
      <c r="G199" s="6"/>
      <c r="H199" s="6"/>
      <c r="I199" s="6"/>
      <c r="J199" s="6"/>
    </row>
    <row r="200" spans="1:10" x14ac:dyDescent="0.2">
      <c r="A200" s="8" t="s">
        <v>166</v>
      </c>
      <c r="B200" s="8" t="s">
        <v>29</v>
      </c>
      <c r="C200" s="8" t="s">
        <v>7</v>
      </c>
      <c r="D200" s="14">
        <v>1</v>
      </c>
      <c r="E200" s="6"/>
      <c r="F200" s="6"/>
      <c r="G200" s="6"/>
      <c r="H200" s="6"/>
      <c r="I200" s="6"/>
      <c r="J200" s="6"/>
    </row>
    <row r="201" spans="1:10" x14ac:dyDescent="0.2">
      <c r="A201" s="10" t="s">
        <v>73</v>
      </c>
      <c r="B201" s="10" t="s">
        <v>29</v>
      </c>
      <c r="C201" s="10" t="s">
        <v>5</v>
      </c>
      <c r="D201" s="15">
        <v>1</v>
      </c>
      <c r="E201" s="6"/>
      <c r="F201" s="6"/>
      <c r="G201" s="6"/>
      <c r="H201" s="6"/>
      <c r="I201" s="6"/>
      <c r="J201" s="6"/>
    </row>
    <row r="202" spans="1:10" x14ac:dyDescent="0.2">
      <c r="A202" s="8" t="s">
        <v>167</v>
      </c>
      <c r="B202" s="8" t="s">
        <v>31</v>
      </c>
      <c r="C202" s="8" t="s">
        <v>5</v>
      </c>
      <c r="D202" s="14">
        <v>1</v>
      </c>
      <c r="E202" s="6"/>
      <c r="F202" s="6"/>
      <c r="G202" s="6"/>
      <c r="H202" s="6"/>
      <c r="I202" s="6"/>
      <c r="J202" s="6"/>
    </row>
    <row r="203" spans="1:10" x14ac:dyDescent="0.2">
      <c r="A203" s="10" t="s">
        <v>40</v>
      </c>
      <c r="B203" s="10" t="s">
        <v>29</v>
      </c>
      <c r="C203" s="10" t="s">
        <v>5</v>
      </c>
      <c r="D203" s="15">
        <v>1</v>
      </c>
      <c r="E203" s="6"/>
      <c r="F203" s="6"/>
      <c r="G203" s="6"/>
      <c r="H203" s="6"/>
      <c r="I203" s="6"/>
      <c r="J203" s="6"/>
    </row>
    <row r="204" spans="1:10" x14ac:dyDescent="0.2">
      <c r="A204" s="8" t="s">
        <v>168</v>
      </c>
      <c r="B204" s="8" t="s">
        <v>29</v>
      </c>
      <c r="C204" s="8" t="s">
        <v>6</v>
      </c>
      <c r="D204" s="14">
        <v>1</v>
      </c>
      <c r="E204" s="6"/>
      <c r="F204" s="6"/>
      <c r="G204" s="6"/>
      <c r="H204" s="6"/>
      <c r="I204" s="6"/>
      <c r="J204" s="6"/>
    </row>
    <row r="205" spans="1:10" x14ac:dyDescent="0.2">
      <c r="A205" s="10" t="s">
        <v>169</v>
      </c>
      <c r="B205" s="10" t="s">
        <v>31</v>
      </c>
      <c r="C205" s="10" t="s">
        <v>5</v>
      </c>
      <c r="D205" s="15">
        <v>3</v>
      </c>
      <c r="E205" s="6"/>
      <c r="F205" s="6"/>
      <c r="G205" s="6"/>
      <c r="H205" s="6"/>
      <c r="I205" s="6"/>
      <c r="J205" s="6"/>
    </row>
    <row r="206" spans="1:10" x14ac:dyDescent="0.2">
      <c r="A206" s="8" t="s">
        <v>166</v>
      </c>
      <c r="B206" s="8" t="s">
        <v>29</v>
      </c>
      <c r="C206" s="8" t="s">
        <v>6</v>
      </c>
      <c r="D206" s="14">
        <v>1</v>
      </c>
      <c r="E206" s="6"/>
      <c r="F206" s="6"/>
      <c r="G206" s="6"/>
      <c r="H206" s="6"/>
      <c r="I206" s="6"/>
      <c r="J206" s="6"/>
    </row>
    <row r="207" spans="1:10" x14ac:dyDescent="0.2">
      <c r="A207" s="10" t="s">
        <v>170</v>
      </c>
      <c r="B207" s="10" t="s">
        <v>29</v>
      </c>
      <c r="C207" s="10" t="s">
        <v>6</v>
      </c>
      <c r="D207" s="15">
        <v>1</v>
      </c>
      <c r="E207" s="6"/>
      <c r="F207" s="6"/>
      <c r="G207" s="6"/>
      <c r="H207" s="6"/>
      <c r="I207" s="6"/>
      <c r="J207" s="6"/>
    </row>
    <row r="208" spans="1:10" x14ac:dyDescent="0.2">
      <c r="A208" s="8" t="s">
        <v>170</v>
      </c>
      <c r="B208" s="8" t="s">
        <v>29</v>
      </c>
      <c r="C208" s="8" t="s">
        <v>6</v>
      </c>
      <c r="D208" s="14">
        <v>3</v>
      </c>
      <c r="E208" s="6"/>
      <c r="F208" s="6"/>
      <c r="G208" s="6"/>
      <c r="H208" s="6"/>
      <c r="I208" s="6"/>
      <c r="J208" s="6"/>
    </row>
    <row r="209" spans="1:10" x14ac:dyDescent="0.2">
      <c r="A209" s="10" t="s">
        <v>171</v>
      </c>
      <c r="B209" s="10" t="s">
        <v>29</v>
      </c>
      <c r="C209" s="10" t="s">
        <v>6</v>
      </c>
      <c r="D209" s="15">
        <v>1</v>
      </c>
      <c r="E209" s="6"/>
      <c r="F209" s="6"/>
      <c r="G209" s="6"/>
      <c r="H209" s="6"/>
      <c r="I209" s="6"/>
      <c r="J209" s="6"/>
    </row>
    <row r="210" spans="1:10" x14ac:dyDescent="0.2">
      <c r="A210" s="8" t="s">
        <v>172</v>
      </c>
      <c r="B210" s="8" t="s">
        <v>29</v>
      </c>
      <c r="C210" s="8" t="s">
        <v>6</v>
      </c>
      <c r="D210" s="14">
        <v>1</v>
      </c>
      <c r="E210" s="6"/>
      <c r="F210" s="6"/>
      <c r="G210" s="6"/>
      <c r="H210" s="6"/>
      <c r="I210" s="6"/>
      <c r="J210" s="6"/>
    </row>
    <row r="211" spans="1:10" x14ac:dyDescent="0.2">
      <c r="A211" s="10" t="s">
        <v>172</v>
      </c>
      <c r="B211" s="10" t="s">
        <v>29</v>
      </c>
      <c r="C211" s="10" t="s">
        <v>6</v>
      </c>
      <c r="D211" s="15">
        <v>3</v>
      </c>
      <c r="E211" s="6"/>
      <c r="F211" s="6"/>
      <c r="G211" s="6"/>
      <c r="H211" s="6"/>
      <c r="I211" s="6"/>
      <c r="J211" s="6"/>
    </row>
    <row r="212" spans="1:10" x14ac:dyDescent="0.2">
      <c r="A212" s="8" t="s">
        <v>173</v>
      </c>
      <c r="B212" s="8" t="s">
        <v>29</v>
      </c>
      <c r="C212" s="8" t="s">
        <v>6</v>
      </c>
      <c r="D212" s="14">
        <v>1</v>
      </c>
      <c r="E212" s="6"/>
      <c r="F212" s="6"/>
      <c r="G212" s="6"/>
      <c r="H212" s="6"/>
      <c r="I212" s="6"/>
      <c r="J212" s="6"/>
    </row>
    <row r="213" spans="1:10" x14ac:dyDescent="0.2">
      <c r="A213" s="10" t="s">
        <v>87</v>
      </c>
      <c r="B213" s="10" t="s">
        <v>31</v>
      </c>
      <c r="C213" s="10" t="s">
        <v>5</v>
      </c>
      <c r="D213" s="15">
        <v>2</v>
      </c>
      <c r="E213" s="6"/>
      <c r="F213" s="6"/>
      <c r="G213" s="6"/>
      <c r="H213" s="6"/>
      <c r="I213" s="6"/>
      <c r="J213" s="6"/>
    </row>
    <row r="214" spans="1:10" x14ac:dyDescent="0.2">
      <c r="A214" s="8" t="s">
        <v>174</v>
      </c>
      <c r="B214" s="8" t="s">
        <v>29</v>
      </c>
      <c r="C214" s="8" t="s">
        <v>6</v>
      </c>
      <c r="D214" s="14">
        <v>4</v>
      </c>
      <c r="E214" s="6"/>
      <c r="F214" s="6"/>
      <c r="G214" s="6"/>
      <c r="H214" s="6"/>
      <c r="I214" s="6"/>
      <c r="J214" s="6"/>
    </row>
    <row r="215" spans="1:10" x14ac:dyDescent="0.2">
      <c r="A215" s="10" t="s">
        <v>174</v>
      </c>
      <c r="B215" s="10" t="s">
        <v>29</v>
      </c>
      <c r="C215" s="10" t="s">
        <v>6</v>
      </c>
      <c r="D215" s="15">
        <v>5</v>
      </c>
      <c r="E215" s="6"/>
      <c r="F215" s="6"/>
      <c r="G215" s="6"/>
      <c r="H215" s="6"/>
      <c r="I215" s="6"/>
      <c r="J215" s="6"/>
    </row>
    <row r="216" spans="1:10" x14ac:dyDescent="0.2">
      <c r="A216" s="8" t="s">
        <v>175</v>
      </c>
      <c r="B216" s="8" t="s">
        <v>29</v>
      </c>
      <c r="C216" s="8" t="s">
        <v>6</v>
      </c>
      <c r="D216" s="14">
        <v>6</v>
      </c>
      <c r="E216" s="6"/>
      <c r="F216" s="6"/>
      <c r="G216" s="6"/>
      <c r="H216" s="6"/>
      <c r="I216" s="6"/>
      <c r="J216" s="6"/>
    </row>
    <row r="217" spans="1:10" x14ac:dyDescent="0.2">
      <c r="A217" s="10" t="s">
        <v>175</v>
      </c>
      <c r="B217" s="10" t="s">
        <v>29</v>
      </c>
      <c r="C217" s="10" t="s">
        <v>6</v>
      </c>
      <c r="D217" s="15">
        <v>1</v>
      </c>
      <c r="E217" s="6"/>
      <c r="F217" s="6"/>
      <c r="G217" s="6"/>
      <c r="H217" s="6"/>
      <c r="I217" s="6"/>
      <c r="J217" s="6"/>
    </row>
    <row r="218" spans="1:10" x14ac:dyDescent="0.2">
      <c r="A218" s="8" t="s">
        <v>176</v>
      </c>
      <c r="B218" s="8" t="s">
        <v>31</v>
      </c>
      <c r="C218" s="8" t="s">
        <v>5</v>
      </c>
      <c r="D218" s="14">
        <v>5</v>
      </c>
      <c r="E218" s="6"/>
      <c r="F218" s="6"/>
      <c r="G218" s="6"/>
      <c r="H218" s="6"/>
      <c r="I218" s="6"/>
      <c r="J218" s="6"/>
    </row>
    <row r="219" spans="1:10" x14ac:dyDescent="0.2">
      <c r="A219" s="10" t="s">
        <v>177</v>
      </c>
      <c r="B219" s="10" t="s">
        <v>29</v>
      </c>
      <c r="C219" s="10" t="s">
        <v>6</v>
      </c>
      <c r="D219" s="15">
        <v>2</v>
      </c>
      <c r="E219" s="6"/>
      <c r="F219" s="6"/>
      <c r="G219" s="6"/>
      <c r="H219" s="6"/>
      <c r="I219" s="6"/>
      <c r="J219" s="6"/>
    </row>
    <row r="220" spans="1:10" x14ac:dyDescent="0.2">
      <c r="A220" s="8" t="s">
        <v>178</v>
      </c>
      <c r="B220" s="8" t="s">
        <v>29</v>
      </c>
      <c r="C220" s="8" t="s">
        <v>6</v>
      </c>
      <c r="D220" s="14">
        <v>1</v>
      </c>
      <c r="E220" s="6"/>
      <c r="F220" s="6"/>
      <c r="G220" s="6"/>
      <c r="H220" s="6"/>
      <c r="I220" s="6"/>
      <c r="J220" s="6"/>
    </row>
    <row r="221" spans="1:10" x14ac:dyDescent="0.2">
      <c r="A221" s="10" t="s">
        <v>178</v>
      </c>
      <c r="B221" s="10" t="s">
        <v>29</v>
      </c>
      <c r="C221" s="10" t="s">
        <v>6</v>
      </c>
      <c r="D221" s="15">
        <v>1</v>
      </c>
      <c r="E221" s="6"/>
      <c r="F221" s="6"/>
      <c r="G221" s="6"/>
      <c r="H221" s="6"/>
      <c r="I221" s="6"/>
      <c r="J221" s="6"/>
    </row>
    <row r="222" spans="1:10" x14ac:dyDescent="0.2">
      <c r="A222" s="8" t="s">
        <v>179</v>
      </c>
      <c r="B222" s="8" t="s">
        <v>29</v>
      </c>
      <c r="C222" s="8" t="s">
        <v>6</v>
      </c>
      <c r="D222" s="14">
        <v>3</v>
      </c>
      <c r="E222" s="6"/>
      <c r="F222" s="6"/>
      <c r="G222" s="6"/>
      <c r="H222" s="6"/>
      <c r="I222" s="6"/>
      <c r="J222" s="6"/>
    </row>
    <row r="223" spans="1:10" x14ac:dyDescent="0.2">
      <c r="A223" s="10" t="s">
        <v>180</v>
      </c>
      <c r="B223" s="10" t="s">
        <v>29</v>
      </c>
      <c r="C223" s="10" t="s">
        <v>6</v>
      </c>
      <c r="D223" s="15">
        <v>1</v>
      </c>
      <c r="E223" s="6"/>
      <c r="F223" s="6"/>
      <c r="G223" s="6"/>
      <c r="H223" s="6"/>
      <c r="I223" s="6"/>
      <c r="J223" s="6"/>
    </row>
    <row r="224" spans="1:10" x14ac:dyDescent="0.2">
      <c r="A224" s="8" t="s">
        <v>181</v>
      </c>
      <c r="B224" s="8" t="s">
        <v>29</v>
      </c>
      <c r="C224" s="8" t="s">
        <v>6</v>
      </c>
      <c r="D224" s="14">
        <v>2</v>
      </c>
      <c r="E224" s="6"/>
      <c r="F224" s="6"/>
      <c r="G224" s="6"/>
      <c r="H224" s="6"/>
      <c r="I224" s="6"/>
      <c r="J224" s="6"/>
    </row>
    <row r="225" spans="1:10" x14ac:dyDescent="0.2">
      <c r="A225" s="10" t="s">
        <v>135</v>
      </c>
      <c r="B225" s="10" t="s">
        <v>31</v>
      </c>
      <c r="C225" s="10" t="s">
        <v>5</v>
      </c>
      <c r="D225" s="15">
        <v>2</v>
      </c>
      <c r="E225" s="6"/>
      <c r="F225" s="6"/>
      <c r="G225" s="6"/>
      <c r="H225" s="6"/>
      <c r="I225" s="6"/>
      <c r="J225" s="6"/>
    </row>
    <row r="226" spans="1:10" x14ac:dyDescent="0.2">
      <c r="A226" s="8" t="s">
        <v>135</v>
      </c>
      <c r="B226" s="8" t="s">
        <v>29</v>
      </c>
      <c r="C226" s="8" t="s">
        <v>5</v>
      </c>
      <c r="D226" s="14">
        <v>1</v>
      </c>
      <c r="E226" s="6"/>
      <c r="F226" s="6"/>
      <c r="G226" s="6"/>
      <c r="H226" s="6"/>
      <c r="I226" s="6"/>
      <c r="J226" s="6"/>
    </row>
    <row r="227" spans="1:10" x14ac:dyDescent="0.2">
      <c r="A227" s="10" t="s">
        <v>182</v>
      </c>
      <c r="B227" s="10" t="s">
        <v>29</v>
      </c>
      <c r="C227" s="10" t="s">
        <v>6</v>
      </c>
      <c r="D227" s="15">
        <v>1</v>
      </c>
      <c r="E227" s="6"/>
      <c r="F227" s="6"/>
      <c r="G227" s="6"/>
      <c r="H227" s="6"/>
      <c r="I227" s="6"/>
      <c r="J227" s="6"/>
    </row>
    <row r="228" spans="1:10" x14ac:dyDescent="0.2">
      <c r="A228" s="8" t="s">
        <v>183</v>
      </c>
      <c r="B228" s="8" t="s">
        <v>97</v>
      </c>
      <c r="C228" s="8" t="s">
        <v>6</v>
      </c>
      <c r="D228" s="14">
        <v>1</v>
      </c>
      <c r="E228" s="6"/>
      <c r="F228" s="6"/>
      <c r="G228" s="6"/>
      <c r="H228" s="6"/>
      <c r="I228" s="6"/>
      <c r="J228" s="6"/>
    </row>
    <row r="229" spans="1:10" x14ac:dyDescent="0.2">
      <c r="A229" s="10" t="s">
        <v>183</v>
      </c>
      <c r="B229" s="10" t="s">
        <v>29</v>
      </c>
      <c r="C229" s="10" t="s">
        <v>6</v>
      </c>
      <c r="D229" s="15">
        <v>2</v>
      </c>
      <c r="E229" s="6"/>
      <c r="F229" s="6"/>
      <c r="G229" s="6"/>
      <c r="H229" s="6"/>
      <c r="I229" s="6"/>
      <c r="J229" s="6"/>
    </row>
    <row r="230" spans="1:10" x14ac:dyDescent="0.2">
      <c r="A230" s="8" t="s">
        <v>183</v>
      </c>
      <c r="B230" s="8" t="s">
        <v>29</v>
      </c>
      <c r="C230" s="8" t="s">
        <v>6</v>
      </c>
      <c r="D230" s="14">
        <v>1</v>
      </c>
      <c r="E230" s="6"/>
      <c r="F230" s="6"/>
      <c r="G230" s="6"/>
      <c r="H230" s="6"/>
      <c r="I230" s="6"/>
      <c r="J230" s="6"/>
    </row>
    <row r="231" spans="1:10" x14ac:dyDescent="0.2">
      <c r="A231" s="10" t="s">
        <v>184</v>
      </c>
      <c r="B231" s="10" t="s">
        <v>29</v>
      </c>
      <c r="C231" s="10" t="s">
        <v>6</v>
      </c>
      <c r="D231" s="15">
        <v>1</v>
      </c>
      <c r="E231" s="6"/>
      <c r="F231" s="6"/>
      <c r="G231" s="6"/>
      <c r="H231" s="6"/>
      <c r="I231" s="6"/>
      <c r="J231" s="6"/>
    </row>
    <row r="232" spans="1:10" x14ac:dyDescent="0.2">
      <c r="A232" s="8" t="s">
        <v>185</v>
      </c>
      <c r="B232" s="8" t="s">
        <v>31</v>
      </c>
      <c r="C232" s="8" t="s">
        <v>5</v>
      </c>
      <c r="D232" s="14">
        <v>1</v>
      </c>
      <c r="E232" s="6"/>
      <c r="F232" s="6"/>
      <c r="G232" s="6"/>
      <c r="H232" s="6"/>
      <c r="I232" s="6"/>
      <c r="J232" s="6"/>
    </row>
    <row r="233" spans="1:10" x14ac:dyDescent="0.2">
      <c r="A233" s="10" t="s">
        <v>186</v>
      </c>
      <c r="B233" s="10" t="s">
        <v>29</v>
      </c>
      <c r="C233" s="10" t="s">
        <v>6</v>
      </c>
      <c r="D233" s="15">
        <v>4</v>
      </c>
      <c r="E233" s="6"/>
      <c r="F233" s="6"/>
      <c r="G233" s="6"/>
      <c r="H233" s="6"/>
      <c r="I233" s="6"/>
      <c r="J233" s="6"/>
    </row>
    <row r="234" spans="1:10" x14ac:dyDescent="0.2">
      <c r="A234" s="8" t="s">
        <v>187</v>
      </c>
      <c r="B234" s="8" t="s">
        <v>29</v>
      </c>
      <c r="C234" s="8" t="s">
        <v>6</v>
      </c>
      <c r="D234" s="14">
        <v>1</v>
      </c>
      <c r="E234" s="6"/>
      <c r="F234" s="6"/>
      <c r="G234" s="6"/>
      <c r="H234" s="6"/>
      <c r="I234" s="6"/>
      <c r="J234" s="6"/>
    </row>
    <row r="235" spans="1:10" x14ac:dyDescent="0.2">
      <c r="A235" s="10" t="s">
        <v>188</v>
      </c>
      <c r="B235" s="10" t="s">
        <v>29</v>
      </c>
      <c r="C235" s="10" t="s">
        <v>6</v>
      </c>
      <c r="D235" s="15">
        <v>2</v>
      </c>
      <c r="E235" s="6"/>
      <c r="F235" s="6"/>
      <c r="G235" s="6"/>
      <c r="H235" s="6"/>
      <c r="I235" s="6"/>
      <c r="J235" s="6"/>
    </row>
    <row r="236" spans="1:10" x14ac:dyDescent="0.2">
      <c r="A236" s="8" t="s">
        <v>189</v>
      </c>
      <c r="B236" s="8" t="s">
        <v>29</v>
      </c>
      <c r="C236" s="8" t="s">
        <v>6</v>
      </c>
      <c r="D236" s="14">
        <v>1</v>
      </c>
      <c r="E236" s="6"/>
      <c r="F236" s="6"/>
      <c r="G236" s="6"/>
      <c r="H236" s="6"/>
      <c r="I236" s="6"/>
      <c r="J236" s="6"/>
    </row>
    <row r="237" spans="1:10" x14ac:dyDescent="0.2">
      <c r="A237" s="10" t="s">
        <v>190</v>
      </c>
      <c r="B237" s="10" t="s">
        <v>31</v>
      </c>
      <c r="C237" s="10" t="s">
        <v>5</v>
      </c>
      <c r="D237" s="15">
        <v>2</v>
      </c>
      <c r="E237" s="6"/>
      <c r="F237" s="6"/>
      <c r="G237" s="6"/>
      <c r="H237" s="6"/>
      <c r="I237" s="6"/>
      <c r="J237" s="6"/>
    </row>
    <row r="238" spans="1:10" x14ac:dyDescent="0.2">
      <c r="A238" s="8" t="s">
        <v>153</v>
      </c>
      <c r="B238" s="8" t="s">
        <v>29</v>
      </c>
      <c r="C238" s="8" t="s">
        <v>6</v>
      </c>
      <c r="D238" s="14">
        <v>3</v>
      </c>
      <c r="E238" s="6"/>
      <c r="F238" s="6"/>
      <c r="G238" s="6"/>
      <c r="H238" s="6"/>
      <c r="I238" s="6"/>
      <c r="J238" s="6"/>
    </row>
    <row r="239" spans="1:10" x14ac:dyDescent="0.2">
      <c r="A239" s="10" t="s">
        <v>191</v>
      </c>
      <c r="B239" s="10" t="s">
        <v>29</v>
      </c>
      <c r="C239" s="10" t="s">
        <v>6</v>
      </c>
      <c r="D239" s="15">
        <v>1</v>
      </c>
      <c r="E239" s="6"/>
      <c r="F239" s="6"/>
      <c r="G239" s="6"/>
      <c r="H239" s="6"/>
      <c r="I239" s="6"/>
      <c r="J239" s="6"/>
    </row>
    <row r="240" spans="1:10" x14ac:dyDescent="0.2">
      <c r="A240" s="8" t="s">
        <v>192</v>
      </c>
      <c r="B240" s="8" t="s">
        <v>29</v>
      </c>
      <c r="C240" s="8" t="s">
        <v>7</v>
      </c>
      <c r="D240" s="14">
        <v>2</v>
      </c>
      <c r="E240" s="6"/>
      <c r="F240" s="6"/>
      <c r="G240" s="6"/>
      <c r="H240" s="6"/>
      <c r="I240" s="6"/>
      <c r="J240" s="6"/>
    </row>
    <row r="241" spans="1:10" x14ac:dyDescent="0.2">
      <c r="A241" s="10" t="s">
        <v>125</v>
      </c>
      <c r="B241" s="10" t="s">
        <v>29</v>
      </c>
      <c r="C241" s="10" t="s">
        <v>6</v>
      </c>
      <c r="D241" s="15">
        <v>1</v>
      </c>
      <c r="E241" s="6"/>
      <c r="F241" s="6"/>
      <c r="G241" s="6"/>
      <c r="H241" s="6"/>
      <c r="I241" s="6"/>
      <c r="J241" s="6"/>
    </row>
    <row r="242" spans="1:10" x14ac:dyDescent="0.2">
      <c r="A242" s="8" t="s">
        <v>54</v>
      </c>
      <c r="B242" s="8" t="s">
        <v>29</v>
      </c>
      <c r="C242" s="8" t="s">
        <v>6</v>
      </c>
      <c r="D242" s="14">
        <v>4</v>
      </c>
      <c r="E242" s="6"/>
      <c r="F242" s="6"/>
      <c r="G242" s="6"/>
      <c r="H242" s="6"/>
      <c r="I242" s="6"/>
      <c r="J242" s="6"/>
    </row>
    <row r="243" spans="1:10" x14ac:dyDescent="0.2">
      <c r="A243" s="10" t="s">
        <v>193</v>
      </c>
      <c r="B243" s="10" t="s">
        <v>29</v>
      </c>
      <c r="C243" s="10" t="s">
        <v>6</v>
      </c>
      <c r="D243" s="15">
        <v>2</v>
      </c>
      <c r="E243" s="6"/>
      <c r="F243" s="6"/>
      <c r="G243" s="6"/>
      <c r="H243" s="6"/>
      <c r="I243" s="6"/>
      <c r="J243" s="6"/>
    </row>
    <row r="244" spans="1:10" x14ac:dyDescent="0.2">
      <c r="A244" s="8" t="s">
        <v>194</v>
      </c>
      <c r="B244" s="8" t="s">
        <v>31</v>
      </c>
      <c r="C244" s="8" t="s">
        <v>5</v>
      </c>
      <c r="D244" s="14">
        <v>2</v>
      </c>
      <c r="E244" s="6"/>
      <c r="F244" s="6"/>
      <c r="G244" s="6"/>
      <c r="H244" s="6"/>
      <c r="I244" s="6"/>
      <c r="J244" s="6"/>
    </row>
    <row r="245" spans="1:10" x14ac:dyDescent="0.2">
      <c r="A245" s="10" t="s">
        <v>195</v>
      </c>
      <c r="B245" s="10" t="s">
        <v>31</v>
      </c>
      <c r="C245" s="10" t="s">
        <v>5</v>
      </c>
      <c r="D245" s="15">
        <v>1</v>
      </c>
      <c r="E245" s="6"/>
      <c r="F245" s="6"/>
      <c r="G245" s="6"/>
      <c r="H245" s="6"/>
      <c r="I245" s="6"/>
      <c r="J245" s="6"/>
    </row>
    <row r="246" spans="1:10" x14ac:dyDescent="0.2">
      <c r="A246" s="8" t="s">
        <v>117</v>
      </c>
      <c r="B246" s="8" t="s">
        <v>29</v>
      </c>
      <c r="C246" s="8" t="s">
        <v>6</v>
      </c>
      <c r="D246" s="14">
        <v>1</v>
      </c>
      <c r="E246" s="6"/>
      <c r="F246" s="6"/>
      <c r="G246" s="6"/>
      <c r="H246" s="6"/>
      <c r="I246" s="6"/>
      <c r="J246" s="6"/>
    </row>
    <row r="247" spans="1:10" x14ac:dyDescent="0.2">
      <c r="A247" s="10" t="s">
        <v>196</v>
      </c>
      <c r="B247" s="10" t="s">
        <v>29</v>
      </c>
      <c r="C247" s="10" t="s">
        <v>6</v>
      </c>
      <c r="D247" s="15">
        <v>1</v>
      </c>
      <c r="E247" s="6"/>
      <c r="F247" s="6"/>
      <c r="G247" s="6"/>
      <c r="H247" s="6"/>
      <c r="I247" s="6"/>
      <c r="J247" s="6"/>
    </row>
    <row r="248" spans="1:10" x14ac:dyDescent="0.2">
      <c r="A248" s="8" t="s">
        <v>174</v>
      </c>
      <c r="B248" s="8" t="s">
        <v>29</v>
      </c>
      <c r="C248" s="8" t="s">
        <v>5</v>
      </c>
      <c r="D248" s="14">
        <v>1</v>
      </c>
      <c r="E248" s="6"/>
      <c r="F248" s="6"/>
      <c r="G248" s="6"/>
      <c r="H248" s="6"/>
      <c r="I248" s="6"/>
      <c r="J248" s="6"/>
    </row>
    <row r="249" spans="1:10" x14ac:dyDescent="0.2">
      <c r="A249" s="10" t="s">
        <v>197</v>
      </c>
      <c r="B249" s="10" t="s">
        <v>29</v>
      </c>
      <c r="C249" s="10" t="s">
        <v>6</v>
      </c>
      <c r="D249" s="15">
        <v>1</v>
      </c>
      <c r="E249" s="6"/>
      <c r="F249" s="6"/>
      <c r="G249" s="6"/>
      <c r="H249" s="6"/>
      <c r="I249" s="6"/>
      <c r="J249" s="6"/>
    </row>
    <row r="250" spans="1:10" x14ac:dyDescent="0.2">
      <c r="A250" s="8" t="s">
        <v>198</v>
      </c>
      <c r="B250" s="8" t="s">
        <v>29</v>
      </c>
      <c r="C250" s="8" t="s">
        <v>6</v>
      </c>
      <c r="D250" s="14">
        <v>1</v>
      </c>
      <c r="E250" s="6"/>
      <c r="F250" s="6"/>
      <c r="G250" s="6"/>
      <c r="H250" s="6"/>
      <c r="I250" s="6"/>
      <c r="J250" s="6"/>
    </row>
    <row r="251" spans="1:10" x14ac:dyDescent="0.2">
      <c r="A251" s="10" t="s">
        <v>198</v>
      </c>
      <c r="B251" s="10" t="s">
        <v>29</v>
      </c>
      <c r="C251" s="10" t="s">
        <v>6</v>
      </c>
      <c r="D251" s="15">
        <v>2</v>
      </c>
      <c r="E251" s="6"/>
      <c r="F251" s="6"/>
      <c r="G251" s="6"/>
      <c r="H251" s="6"/>
      <c r="I251" s="6"/>
      <c r="J251" s="6"/>
    </row>
    <row r="252" spans="1:10" x14ac:dyDescent="0.2">
      <c r="A252" s="8" t="s">
        <v>199</v>
      </c>
      <c r="B252" s="8" t="s">
        <v>29</v>
      </c>
      <c r="C252" s="8" t="s">
        <v>6</v>
      </c>
      <c r="D252" s="14">
        <v>2</v>
      </c>
      <c r="E252" s="6"/>
      <c r="F252" s="6"/>
      <c r="G252" s="6"/>
      <c r="H252" s="6"/>
      <c r="I252" s="6"/>
      <c r="J252" s="6"/>
    </row>
    <row r="253" spans="1:10" x14ac:dyDescent="0.2">
      <c r="A253" s="10" t="s">
        <v>200</v>
      </c>
      <c r="B253" s="10" t="s">
        <v>29</v>
      </c>
      <c r="C253" s="10" t="s">
        <v>6</v>
      </c>
      <c r="D253" s="15">
        <v>2</v>
      </c>
      <c r="E253" s="6"/>
      <c r="F253" s="6"/>
      <c r="G253" s="6"/>
      <c r="H253" s="6"/>
      <c r="I253" s="6"/>
      <c r="J253" s="6"/>
    </row>
    <row r="254" spans="1:10" x14ac:dyDescent="0.2">
      <c r="A254" s="18" t="s">
        <v>201</v>
      </c>
      <c r="B254" s="18" t="s">
        <v>29</v>
      </c>
      <c r="C254" s="18" t="s">
        <v>6</v>
      </c>
      <c r="D254" s="19">
        <v>1</v>
      </c>
      <c r="E254" s="6"/>
      <c r="F254" s="6"/>
      <c r="G254" s="6"/>
      <c r="H254" s="6"/>
      <c r="I254" s="6"/>
      <c r="J254" s="6"/>
    </row>
  </sheetData>
  <pageMargins left="0.511811024" right="0.511811024" top="0.78740157499999996" bottom="0.78740157499999996" header="0.31496062000000002" footer="0.31496062000000002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21CF-64F3-6E4C-97A1-9210EED7704D}">
  <dimension ref="A1:L193"/>
  <sheetViews>
    <sheetView topLeftCell="C1" zoomScale="150" workbookViewId="0">
      <selection activeCell="J12" sqref="J12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6640625" customWidth="1"/>
    <col min="6" max="6" width="17.5" bestFit="1" customWidth="1"/>
    <col min="7" max="7" width="17.1640625" bestFit="1" customWidth="1"/>
    <col min="8" max="8" width="20.1640625" customWidth="1"/>
    <col min="9" max="9" width="9.1640625" customWidth="1"/>
    <col min="10" max="10" width="16.33203125" customWidth="1"/>
    <col min="11" max="11" width="15.5" customWidth="1"/>
  </cols>
  <sheetData>
    <row r="1" spans="1:10" x14ac:dyDescent="0.2">
      <c r="A1" s="22" t="s">
        <v>2</v>
      </c>
      <c r="B1" s="22" t="s">
        <v>0</v>
      </c>
      <c r="C1" s="22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 s="22" t="s">
        <v>28</v>
      </c>
      <c r="B2" s="22" t="s">
        <v>29</v>
      </c>
      <c r="C2" s="2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 s="22" t="s">
        <v>32</v>
      </c>
      <c r="B3" s="22" t="s">
        <v>29</v>
      </c>
      <c r="C3" s="22" t="s">
        <v>6</v>
      </c>
      <c r="D3">
        <v>1</v>
      </c>
      <c r="F3" s="5" t="s">
        <v>29</v>
      </c>
      <c r="G3">
        <v>7</v>
      </c>
      <c r="H3">
        <v>285</v>
      </c>
      <c r="I3">
        <v>17</v>
      </c>
      <c r="J3">
        <v>309</v>
      </c>
    </row>
    <row r="4" spans="1:10" x14ac:dyDescent="0.2">
      <c r="A4" s="22" t="s">
        <v>32</v>
      </c>
      <c r="B4" s="22" t="s">
        <v>29</v>
      </c>
      <c r="C4" s="22" t="s">
        <v>6</v>
      </c>
      <c r="D4">
        <v>1</v>
      </c>
      <c r="F4" s="5" t="s">
        <v>31</v>
      </c>
      <c r="I4">
        <v>20</v>
      </c>
      <c r="J4">
        <v>20</v>
      </c>
    </row>
    <row r="5" spans="1:10" x14ac:dyDescent="0.2">
      <c r="A5" s="22" t="s">
        <v>33</v>
      </c>
      <c r="B5" s="22" t="s">
        <v>29</v>
      </c>
      <c r="C5" s="22" t="s">
        <v>6</v>
      </c>
      <c r="D5">
        <v>1</v>
      </c>
      <c r="F5" s="5" t="s">
        <v>1</v>
      </c>
      <c r="G5">
        <v>7</v>
      </c>
      <c r="H5">
        <v>285</v>
      </c>
      <c r="I5">
        <v>37</v>
      </c>
      <c r="J5">
        <v>329</v>
      </c>
    </row>
    <row r="6" spans="1:10" x14ac:dyDescent="0.2">
      <c r="A6" s="22" t="s">
        <v>33</v>
      </c>
      <c r="B6" s="22" t="s">
        <v>29</v>
      </c>
      <c r="C6" s="22" t="s">
        <v>6</v>
      </c>
      <c r="D6">
        <v>1</v>
      </c>
    </row>
    <row r="7" spans="1:10" x14ac:dyDescent="0.2">
      <c r="A7" s="22" t="s">
        <v>34</v>
      </c>
      <c r="B7" s="22" t="s">
        <v>29</v>
      </c>
      <c r="C7" s="22" t="s">
        <v>6</v>
      </c>
      <c r="D7">
        <v>1</v>
      </c>
      <c r="F7" s="4" t="s">
        <v>9</v>
      </c>
      <c r="G7" t="s">
        <v>11</v>
      </c>
    </row>
    <row r="8" spans="1:10" x14ac:dyDescent="0.2">
      <c r="A8" s="22" t="s">
        <v>35</v>
      </c>
      <c r="B8" s="22" t="s">
        <v>29</v>
      </c>
      <c r="C8" s="22" t="s">
        <v>6</v>
      </c>
      <c r="D8">
        <v>3</v>
      </c>
      <c r="F8" s="5" t="s">
        <v>82</v>
      </c>
      <c r="G8">
        <v>12</v>
      </c>
      <c r="H8">
        <v>1</v>
      </c>
      <c r="I8">
        <f>COUNTIF($G$8:$G$144,$H8)</f>
        <v>49</v>
      </c>
      <c r="J8">
        <f>I8*H8</f>
        <v>49</v>
      </c>
    </row>
    <row r="9" spans="1:10" x14ac:dyDescent="0.2">
      <c r="A9" s="22" t="s">
        <v>37</v>
      </c>
      <c r="B9" s="22" t="s">
        <v>29</v>
      </c>
      <c r="C9" s="22" t="s">
        <v>6</v>
      </c>
      <c r="D9">
        <v>2</v>
      </c>
      <c r="F9" s="5" t="s">
        <v>76</v>
      </c>
      <c r="G9">
        <v>8</v>
      </c>
      <c r="H9">
        <v>2</v>
      </c>
      <c r="I9">
        <f t="shared" ref="I9:I26" si="0">COUNTIF($G$8:$G$144,$H9)</f>
        <v>43</v>
      </c>
      <c r="J9">
        <f t="shared" ref="J9:J26" si="1">I9*H9</f>
        <v>86</v>
      </c>
    </row>
    <row r="10" spans="1:10" x14ac:dyDescent="0.2">
      <c r="A10" s="22" t="s">
        <v>38</v>
      </c>
      <c r="B10" s="22" t="s">
        <v>29</v>
      </c>
      <c r="C10" s="22" t="s">
        <v>6</v>
      </c>
      <c r="D10">
        <v>1</v>
      </c>
      <c r="F10" s="5" t="s">
        <v>163</v>
      </c>
      <c r="G10">
        <v>8</v>
      </c>
      <c r="H10">
        <v>3</v>
      </c>
      <c r="I10">
        <f t="shared" si="0"/>
        <v>16</v>
      </c>
      <c r="J10">
        <f t="shared" si="1"/>
        <v>48</v>
      </c>
    </row>
    <row r="11" spans="1:10" x14ac:dyDescent="0.2">
      <c r="A11" s="22" t="s">
        <v>38</v>
      </c>
      <c r="B11" s="22" t="s">
        <v>29</v>
      </c>
      <c r="C11" s="22" t="s">
        <v>6</v>
      </c>
      <c r="D11">
        <v>1</v>
      </c>
      <c r="F11" s="5" t="s">
        <v>174</v>
      </c>
      <c r="G11">
        <v>7</v>
      </c>
      <c r="H11">
        <v>4</v>
      </c>
      <c r="I11">
        <f t="shared" si="0"/>
        <v>17</v>
      </c>
      <c r="J11">
        <f t="shared" si="1"/>
        <v>68</v>
      </c>
    </row>
    <row r="12" spans="1:10" x14ac:dyDescent="0.2">
      <c r="A12" s="22" t="s">
        <v>39</v>
      </c>
      <c r="B12" s="22" t="s">
        <v>29</v>
      </c>
      <c r="C12" s="22" t="s">
        <v>6</v>
      </c>
      <c r="D12">
        <v>1</v>
      </c>
      <c r="F12" s="5" t="s">
        <v>105</v>
      </c>
      <c r="G12">
        <v>6</v>
      </c>
      <c r="H12">
        <v>5</v>
      </c>
      <c r="I12">
        <f t="shared" si="0"/>
        <v>5</v>
      </c>
      <c r="J12">
        <f t="shared" si="1"/>
        <v>25</v>
      </c>
    </row>
    <row r="13" spans="1:10" x14ac:dyDescent="0.2">
      <c r="A13" s="22" t="s">
        <v>39</v>
      </c>
      <c r="B13" s="22" t="s">
        <v>29</v>
      </c>
      <c r="C13" s="22" t="s">
        <v>6</v>
      </c>
      <c r="D13">
        <v>1</v>
      </c>
      <c r="F13" s="5" t="s">
        <v>32</v>
      </c>
      <c r="G13">
        <v>6</v>
      </c>
      <c r="H13">
        <v>6</v>
      </c>
      <c r="I13">
        <f t="shared" si="0"/>
        <v>3</v>
      </c>
      <c r="J13">
        <f t="shared" si="1"/>
        <v>18</v>
      </c>
    </row>
    <row r="14" spans="1:10" x14ac:dyDescent="0.2">
      <c r="A14" s="22" t="s">
        <v>41</v>
      </c>
      <c r="B14" s="22" t="s">
        <v>29</v>
      </c>
      <c r="C14" s="22" t="s">
        <v>6</v>
      </c>
      <c r="D14">
        <v>2</v>
      </c>
      <c r="F14" s="5" t="s">
        <v>59</v>
      </c>
      <c r="G14">
        <v>6</v>
      </c>
      <c r="H14">
        <v>7</v>
      </c>
      <c r="I14">
        <f t="shared" si="0"/>
        <v>1</v>
      </c>
      <c r="J14">
        <f t="shared" si="1"/>
        <v>7</v>
      </c>
    </row>
    <row r="15" spans="1:10" x14ac:dyDescent="0.2">
      <c r="A15" s="22" t="s">
        <v>42</v>
      </c>
      <c r="B15" s="22" t="s">
        <v>29</v>
      </c>
      <c r="C15" s="22" t="s">
        <v>6</v>
      </c>
      <c r="D15">
        <v>1</v>
      </c>
      <c r="F15" s="5" t="s">
        <v>70</v>
      </c>
      <c r="G15">
        <v>5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 s="22" t="s">
        <v>44</v>
      </c>
      <c r="B16" s="22" t="s">
        <v>29</v>
      </c>
      <c r="C16" s="22" t="s">
        <v>6</v>
      </c>
      <c r="D16">
        <v>1</v>
      </c>
      <c r="F16" s="5" t="s">
        <v>92</v>
      </c>
      <c r="G16">
        <v>5</v>
      </c>
      <c r="H16">
        <v>9</v>
      </c>
      <c r="I16">
        <f t="shared" si="0"/>
        <v>0</v>
      </c>
      <c r="J16">
        <f t="shared" si="1"/>
        <v>0</v>
      </c>
    </row>
    <row r="17" spans="1:12" x14ac:dyDescent="0.2">
      <c r="A17" s="22" t="s">
        <v>45</v>
      </c>
      <c r="B17" s="22" t="s">
        <v>29</v>
      </c>
      <c r="C17" s="22" t="s">
        <v>6</v>
      </c>
      <c r="D17">
        <v>3</v>
      </c>
      <c r="F17" s="5" t="s">
        <v>81</v>
      </c>
      <c r="G17">
        <v>5</v>
      </c>
      <c r="H17">
        <v>10</v>
      </c>
      <c r="I17">
        <f t="shared" si="0"/>
        <v>0</v>
      </c>
      <c r="J17">
        <f t="shared" si="1"/>
        <v>0</v>
      </c>
    </row>
    <row r="18" spans="1:12" x14ac:dyDescent="0.2">
      <c r="A18" s="22" t="s">
        <v>45</v>
      </c>
      <c r="B18" s="22" t="s">
        <v>29</v>
      </c>
      <c r="C18" s="22" t="s">
        <v>6</v>
      </c>
      <c r="D18">
        <v>1</v>
      </c>
      <c r="F18" s="5" t="s">
        <v>175</v>
      </c>
      <c r="G18">
        <v>5</v>
      </c>
      <c r="H18">
        <v>11</v>
      </c>
      <c r="I18">
        <f t="shared" si="0"/>
        <v>0</v>
      </c>
      <c r="J18">
        <f t="shared" si="1"/>
        <v>0</v>
      </c>
    </row>
    <row r="19" spans="1:12" x14ac:dyDescent="0.2">
      <c r="A19" s="22" t="s">
        <v>46</v>
      </c>
      <c r="B19" s="22" t="s">
        <v>29</v>
      </c>
      <c r="C19" s="22" t="s">
        <v>6</v>
      </c>
      <c r="D19">
        <v>1</v>
      </c>
      <c r="F19" s="5" t="s">
        <v>155</v>
      </c>
      <c r="G19">
        <v>5</v>
      </c>
      <c r="H19">
        <v>12</v>
      </c>
      <c r="I19">
        <f t="shared" si="0"/>
        <v>1</v>
      </c>
      <c r="J19">
        <f t="shared" si="1"/>
        <v>12</v>
      </c>
    </row>
    <row r="20" spans="1:12" x14ac:dyDescent="0.2">
      <c r="A20" s="22" t="s">
        <v>48</v>
      </c>
      <c r="B20" s="22" t="s">
        <v>29</v>
      </c>
      <c r="C20" s="22" t="s">
        <v>6</v>
      </c>
      <c r="D20">
        <v>1</v>
      </c>
      <c r="F20" s="5" t="s">
        <v>150</v>
      </c>
      <c r="G20">
        <v>4</v>
      </c>
      <c r="H20">
        <v>13</v>
      </c>
      <c r="I20">
        <f t="shared" si="0"/>
        <v>0</v>
      </c>
      <c r="J20">
        <f t="shared" si="1"/>
        <v>0</v>
      </c>
    </row>
    <row r="21" spans="1:12" x14ac:dyDescent="0.2">
      <c r="A21" s="22" t="s">
        <v>76</v>
      </c>
      <c r="B21" s="22" t="s">
        <v>31</v>
      </c>
      <c r="C21" s="22" t="s">
        <v>5</v>
      </c>
      <c r="D21">
        <v>4</v>
      </c>
      <c r="F21" s="5" t="s">
        <v>156</v>
      </c>
      <c r="G21">
        <v>4</v>
      </c>
      <c r="H21">
        <v>14</v>
      </c>
      <c r="I21">
        <f t="shared" si="0"/>
        <v>0</v>
      </c>
      <c r="J21">
        <f t="shared" si="1"/>
        <v>0</v>
      </c>
    </row>
    <row r="22" spans="1:12" x14ac:dyDescent="0.2">
      <c r="A22" s="22" t="s">
        <v>49</v>
      </c>
      <c r="B22" s="22" t="s">
        <v>29</v>
      </c>
      <c r="C22" s="22" t="s">
        <v>6</v>
      </c>
      <c r="D22">
        <v>2</v>
      </c>
      <c r="F22" s="5" t="s">
        <v>158</v>
      </c>
      <c r="G22">
        <v>4</v>
      </c>
      <c r="H22">
        <v>15</v>
      </c>
      <c r="I22">
        <f t="shared" si="0"/>
        <v>0</v>
      </c>
      <c r="J22">
        <f t="shared" si="1"/>
        <v>0</v>
      </c>
    </row>
    <row r="23" spans="1:12" x14ac:dyDescent="0.2">
      <c r="A23" s="22" t="s">
        <v>50</v>
      </c>
      <c r="B23" s="22" t="s">
        <v>29</v>
      </c>
      <c r="C23" s="22" t="s">
        <v>6</v>
      </c>
      <c r="D23">
        <v>1</v>
      </c>
      <c r="F23" s="5" t="s">
        <v>142</v>
      </c>
      <c r="G23">
        <v>4</v>
      </c>
      <c r="H23">
        <v>16</v>
      </c>
      <c r="I23">
        <f t="shared" si="0"/>
        <v>0</v>
      </c>
      <c r="J23">
        <f t="shared" si="1"/>
        <v>0</v>
      </c>
    </row>
    <row r="24" spans="1:12" x14ac:dyDescent="0.2">
      <c r="A24" s="22" t="s">
        <v>51</v>
      </c>
      <c r="B24" s="22" t="s">
        <v>29</v>
      </c>
      <c r="C24" s="22" t="s">
        <v>6</v>
      </c>
      <c r="D24">
        <v>1</v>
      </c>
      <c r="F24" s="5" t="s">
        <v>186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2" x14ac:dyDescent="0.2">
      <c r="A25" s="22" t="s">
        <v>52</v>
      </c>
      <c r="B25" s="22" t="s">
        <v>29</v>
      </c>
      <c r="C25" s="22" t="s">
        <v>6</v>
      </c>
      <c r="D25">
        <v>1</v>
      </c>
      <c r="F25" s="5" t="s">
        <v>57</v>
      </c>
      <c r="G25">
        <v>4</v>
      </c>
      <c r="H25">
        <v>18</v>
      </c>
      <c r="I25">
        <f t="shared" si="0"/>
        <v>0</v>
      </c>
      <c r="J25">
        <f t="shared" si="1"/>
        <v>0</v>
      </c>
    </row>
    <row r="26" spans="1:12" x14ac:dyDescent="0.2">
      <c r="A26" s="22" t="s">
        <v>52</v>
      </c>
      <c r="B26" s="22" t="s">
        <v>29</v>
      </c>
      <c r="C26" s="22" t="s">
        <v>6</v>
      </c>
      <c r="D26">
        <v>2</v>
      </c>
      <c r="F26" s="5" t="s">
        <v>122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2" x14ac:dyDescent="0.2">
      <c r="A27" s="22" t="s">
        <v>55</v>
      </c>
      <c r="B27" s="22" t="s">
        <v>29</v>
      </c>
      <c r="C27" s="22" t="s">
        <v>6</v>
      </c>
      <c r="D27">
        <v>1</v>
      </c>
      <c r="F27" s="5" t="s">
        <v>170</v>
      </c>
      <c r="G27">
        <v>4</v>
      </c>
      <c r="I27" s="6"/>
      <c r="J27">
        <f>SUM(J8:J26)/SUM(I8:I26)</f>
        <v>2.4014598540145986</v>
      </c>
    </row>
    <row r="28" spans="1:12" x14ac:dyDescent="0.2">
      <c r="A28" s="22" t="s">
        <v>56</v>
      </c>
      <c r="B28" s="22" t="s">
        <v>29</v>
      </c>
      <c r="C28" s="22" t="s">
        <v>6</v>
      </c>
      <c r="D28">
        <v>1</v>
      </c>
      <c r="F28" s="5" t="s">
        <v>146</v>
      </c>
      <c r="G28">
        <v>4</v>
      </c>
      <c r="I28" s="6"/>
      <c r="J28" s="6"/>
    </row>
    <row r="29" spans="1:12" x14ac:dyDescent="0.2">
      <c r="A29" s="22" t="s">
        <v>57</v>
      </c>
      <c r="B29" s="22" t="s">
        <v>29</v>
      </c>
      <c r="C29" s="22" t="s">
        <v>6</v>
      </c>
      <c r="D29">
        <v>1</v>
      </c>
      <c r="F29" s="5" t="s">
        <v>54</v>
      </c>
      <c r="G29">
        <v>4</v>
      </c>
      <c r="I29" s="6" t="s">
        <v>206</v>
      </c>
      <c r="J29" s="6" t="s">
        <v>207</v>
      </c>
      <c r="K29" t="s">
        <v>208</v>
      </c>
    </row>
    <row r="30" spans="1:12" x14ac:dyDescent="0.2">
      <c r="A30" s="22" t="s">
        <v>57</v>
      </c>
      <c r="B30" s="22" t="s">
        <v>29</v>
      </c>
      <c r="C30" s="22" t="s">
        <v>6</v>
      </c>
      <c r="D30">
        <v>3</v>
      </c>
      <c r="F30" s="5" t="s">
        <v>45</v>
      </c>
      <c r="G30">
        <v>4</v>
      </c>
      <c r="H30" t="s">
        <v>203</v>
      </c>
      <c r="I30" s="6">
        <v>235</v>
      </c>
      <c r="J30" s="6">
        <v>171</v>
      </c>
      <c r="K30">
        <f>SUM(I8:I26)</f>
        <v>137</v>
      </c>
      <c r="L30" s="21"/>
    </row>
    <row r="31" spans="1:12" x14ac:dyDescent="0.2">
      <c r="A31" s="22" t="s">
        <v>58</v>
      </c>
      <c r="B31" s="22" t="s">
        <v>29</v>
      </c>
      <c r="C31" s="22" t="s">
        <v>6</v>
      </c>
      <c r="D31">
        <v>1</v>
      </c>
      <c r="F31" s="5" t="s">
        <v>79</v>
      </c>
      <c r="G31">
        <v>4</v>
      </c>
      <c r="J31" s="21">
        <f>1-(J30/I30)</f>
        <v>0.27234042553191484</v>
      </c>
      <c r="K31" s="21">
        <f>1-(K30/J30)</f>
        <v>0.19883040935672514</v>
      </c>
      <c r="L31" s="23"/>
    </row>
    <row r="32" spans="1:12" x14ac:dyDescent="0.2">
      <c r="A32" s="22" t="s">
        <v>59</v>
      </c>
      <c r="B32" s="22" t="s">
        <v>29</v>
      </c>
      <c r="C32" s="22" t="s">
        <v>5</v>
      </c>
      <c r="D32">
        <v>2</v>
      </c>
      <c r="F32" s="5" t="s">
        <v>140</v>
      </c>
      <c r="G32">
        <v>4</v>
      </c>
      <c r="H32" t="s">
        <v>204</v>
      </c>
      <c r="I32" s="6">
        <v>764</v>
      </c>
      <c r="J32" s="6">
        <v>447</v>
      </c>
      <c r="K32">
        <f>SUM(J8:J26)</f>
        <v>329</v>
      </c>
      <c r="L32" s="21"/>
    </row>
    <row r="33" spans="1:12" x14ac:dyDescent="0.2">
      <c r="A33" s="22" t="s">
        <v>59</v>
      </c>
      <c r="B33" s="22" t="s">
        <v>29</v>
      </c>
      <c r="C33" s="22" t="s">
        <v>5</v>
      </c>
      <c r="D33">
        <v>2</v>
      </c>
      <c r="F33" s="5" t="s">
        <v>86</v>
      </c>
      <c r="G33">
        <v>4</v>
      </c>
      <c r="J33" s="21">
        <f>1-(J32/I32)</f>
        <v>0.41492146596858637</v>
      </c>
      <c r="K33" s="21">
        <f>1-(K32/J32)</f>
        <v>0.26398210290827739</v>
      </c>
      <c r="L33" s="23"/>
    </row>
    <row r="34" spans="1:12" x14ac:dyDescent="0.2">
      <c r="A34" s="22" t="s">
        <v>59</v>
      </c>
      <c r="B34" s="22" t="s">
        <v>29</v>
      </c>
      <c r="C34" s="22" t="s">
        <v>5</v>
      </c>
      <c r="D34">
        <v>1</v>
      </c>
      <c r="F34" s="5" t="s">
        <v>52</v>
      </c>
      <c r="G34">
        <v>4</v>
      </c>
      <c r="H34" t="s">
        <v>205</v>
      </c>
      <c r="I34" s="6">
        <v>3.25</v>
      </c>
      <c r="J34" s="6">
        <v>2.61</v>
      </c>
      <c r="K34">
        <v>2.4</v>
      </c>
      <c r="L34" s="21"/>
    </row>
    <row r="35" spans="1:12" x14ac:dyDescent="0.2">
      <c r="A35" s="22" t="s">
        <v>60</v>
      </c>
      <c r="B35" s="22" t="s">
        <v>29</v>
      </c>
      <c r="C35" s="22" t="s">
        <v>6</v>
      </c>
      <c r="D35">
        <v>1</v>
      </c>
      <c r="F35" s="5" t="s">
        <v>61</v>
      </c>
      <c r="G35">
        <v>4</v>
      </c>
      <c r="J35" s="21">
        <f>1-(J34/I34)</f>
        <v>0.19692307692307698</v>
      </c>
      <c r="K35" s="21">
        <f>1-(K34/J34)</f>
        <v>8.0459770114942541E-2</v>
      </c>
      <c r="L35" s="23"/>
    </row>
    <row r="36" spans="1:12" x14ac:dyDescent="0.2">
      <c r="A36" s="22" t="s">
        <v>61</v>
      </c>
      <c r="B36" s="22" t="s">
        <v>29</v>
      </c>
      <c r="C36" s="22" t="s">
        <v>6</v>
      </c>
      <c r="D36">
        <v>4</v>
      </c>
      <c r="F36" s="5" t="s">
        <v>103</v>
      </c>
      <c r="G36">
        <v>4</v>
      </c>
    </row>
    <row r="37" spans="1:12" x14ac:dyDescent="0.2">
      <c r="A37" s="22" t="s">
        <v>62</v>
      </c>
      <c r="B37" s="22" t="s">
        <v>29</v>
      </c>
      <c r="C37" s="22" t="s">
        <v>5</v>
      </c>
      <c r="D37">
        <v>1</v>
      </c>
      <c r="F37" s="5" t="s">
        <v>102</v>
      </c>
      <c r="G37">
        <v>3</v>
      </c>
    </row>
    <row r="38" spans="1:12" x14ac:dyDescent="0.2">
      <c r="A38" s="22" t="s">
        <v>63</v>
      </c>
      <c r="B38" s="22" t="s">
        <v>29</v>
      </c>
      <c r="C38" s="22" t="s">
        <v>6</v>
      </c>
      <c r="D38">
        <v>1</v>
      </c>
      <c r="F38" s="5" t="s">
        <v>130</v>
      </c>
      <c r="G38">
        <v>3</v>
      </c>
    </row>
    <row r="39" spans="1:12" x14ac:dyDescent="0.2">
      <c r="A39" s="22" t="s">
        <v>64</v>
      </c>
      <c r="B39" s="22" t="s">
        <v>29</v>
      </c>
      <c r="C39" s="22" t="s">
        <v>6</v>
      </c>
      <c r="D39">
        <v>1</v>
      </c>
      <c r="F39" s="5" t="s">
        <v>145</v>
      </c>
      <c r="G39">
        <v>3</v>
      </c>
    </row>
    <row r="40" spans="1:12" x14ac:dyDescent="0.2">
      <c r="A40" s="22" t="s">
        <v>40</v>
      </c>
      <c r="B40" s="22" t="s">
        <v>29</v>
      </c>
      <c r="C40" s="22" t="s">
        <v>6</v>
      </c>
      <c r="D40">
        <v>1</v>
      </c>
      <c r="F40" s="5" t="s">
        <v>66</v>
      </c>
      <c r="G40">
        <v>3</v>
      </c>
    </row>
    <row r="41" spans="1:12" x14ac:dyDescent="0.2">
      <c r="A41" s="22" t="s">
        <v>40</v>
      </c>
      <c r="B41" s="22" t="s">
        <v>29</v>
      </c>
      <c r="C41" s="22" t="s">
        <v>6</v>
      </c>
      <c r="D41">
        <v>1</v>
      </c>
      <c r="F41" s="5" t="s">
        <v>135</v>
      </c>
      <c r="G41">
        <v>3</v>
      </c>
    </row>
    <row r="42" spans="1:12" x14ac:dyDescent="0.2">
      <c r="A42" s="22" t="s">
        <v>65</v>
      </c>
      <c r="B42" s="22" t="s">
        <v>29</v>
      </c>
      <c r="C42" s="22" t="s">
        <v>7</v>
      </c>
      <c r="D42">
        <v>1</v>
      </c>
      <c r="F42" s="5" t="s">
        <v>35</v>
      </c>
      <c r="G42">
        <v>3</v>
      </c>
    </row>
    <row r="43" spans="1:12" x14ac:dyDescent="0.2">
      <c r="A43" s="22" t="s">
        <v>66</v>
      </c>
      <c r="B43" s="22" t="s">
        <v>29</v>
      </c>
      <c r="C43" s="22" t="s">
        <v>6</v>
      </c>
      <c r="D43">
        <v>3</v>
      </c>
      <c r="F43" s="5" t="s">
        <v>85</v>
      </c>
      <c r="G43">
        <v>3</v>
      </c>
    </row>
    <row r="44" spans="1:12" x14ac:dyDescent="0.2">
      <c r="A44" s="22" t="s">
        <v>67</v>
      </c>
      <c r="B44" s="22" t="s">
        <v>29</v>
      </c>
      <c r="C44" s="22" t="s">
        <v>6</v>
      </c>
      <c r="D44">
        <v>1</v>
      </c>
      <c r="F44" s="5" t="s">
        <v>143</v>
      </c>
      <c r="G44">
        <v>3</v>
      </c>
    </row>
    <row r="45" spans="1:12" x14ac:dyDescent="0.2">
      <c r="A45" s="22" t="s">
        <v>69</v>
      </c>
      <c r="B45" s="22" t="s">
        <v>29</v>
      </c>
      <c r="C45" s="22" t="s">
        <v>6</v>
      </c>
      <c r="D45">
        <v>2</v>
      </c>
      <c r="F45" s="5" t="s">
        <v>96</v>
      </c>
      <c r="G45">
        <v>3</v>
      </c>
    </row>
    <row r="46" spans="1:12" x14ac:dyDescent="0.2">
      <c r="A46" s="22" t="s">
        <v>69</v>
      </c>
      <c r="B46" s="22" t="s">
        <v>29</v>
      </c>
      <c r="C46" s="22" t="s">
        <v>6</v>
      </c>
      <c r="D46">
        <v>1</v>
      </c>
      <c r="F46" s="5" t="s">
        <v>69</v>
      </c>
      <c r="G46">
        <v>3</v>
      </c>
    </row>
    <row r="47" spans="1:12" x14ac:dyDescent="0.2">
      <c r="A47" s="22" t="s">
        <v>70</v>
      </c>
      <c r="B47" s="22" t="s">
        <v>29</v>
      </c>
      <c r="C47" s="22" t="s">
        <v>6</v>
      </c>
      <c r="D47">
        <v>4</v>
      </c>
      <c r="F47" s="5" t="s">
        <v>179</v>
      </c>
      <c r="G47">
        <v>3</v>
      </c>
    </row>
    <row r="48" spans="1:12" x14ac:dyDescent="0.2">
      <c r="A48" s="22" t="s">
        <v>70</v>
      </c>
      <c r="B48" s="22" t="s">
        <v>29</v>
      </c>
      <c r="C48" s="22" t="s">
        <v>6</v>
      </c>
      <c r="D48">
        <v>1</v>
      </c>
      <c r="F48" s="5" t="s">
        <v>110</v>
      </c>
      <c r="G48">
        <v>3</v>
      </c>
    </row>
    <row r="49" spans="1:7" x14ac:dyDescent="0.2">
      <c r="A49" s="22" t="s">
        <v>71</v>
      </c>
      <c r="B49" s="22" t="s">
        <v>29</v>
      </c>
      <c r="C49" s="22" t="s">
        <v>6</v>
      </c>
      <c r="D49">
        <v>1</v>
      </c>
      <c r="F49" s="5" t="s">
        <v>94</v>
      </c>
      <c r="G49">
        <v>3</v>
      </c>
    </row>
    <row r="50" spans="1:7" x14ac:dyDescent="0.2">
      <c r="A50" s="22" t="s">
        <v>72</v>
      </c>
      <c r="B50" s="22" t="s">
        <v>29</v>
      </c>
      <c r="C50" s="22" t="s">
        <v>5</v>
      </c>
      <c r="D50">
        <v>1</v>
      </c>
      <c r="F50" s="5" t="s">
        <v>157</v>
      </c>
      <c r="G50">
        <v>3</v>
      </c>
    </row>
    <row r="51" spans="1:7" x14ac:dyDescent="0.2">
      <c r="A51" s="22" t="s">
        <v>73</v>
      </c>
      <c r="B51" s="22" t="s">
        <v>29</v>
      </c>
      <c r="C51" s="22" t="s">
        <v>6</v>
      </c>
      <c r="D51">
        <v>1</v>
      </c>
      <c r="F51" s="5" t="s">
        <v>48</v>
      </c>
      <c r="G51">
        <v>3</v>
      </c>
    </row>
    <row r="52" spans="1:7" x14ac:dyDescent="0.2">
      <c r="A52" s="22" t="s">
        <v>74</v>
      </c>
      <c r="B52" s="22" t="s">
        <v>29</v>
      </c>
      <c r="C52" s="22" t="s">
        <v>6</v>
      </c>
      <c r="D52">
        <v>1</v>
      </c>
      <c r="F52" s="5" t="s">
        <v>125</v>
      </c>
      <c r="G52">
        <v>3</v>
      </c>
    </row>
    <row r="53" spans="1:7" x14ac:dyDescent="0.2">
      <c r="A53" s="22" t="s">
        <v>75</v>
      </c>
      <c r="B53" s="22" t="s">
        <v>29</v>
      </c>
      <c r="C53" s="22" t="s">
        <v>6</v>
      </c>
      <c r="D53">
        <v>2</v>
      </c>
      <c r="F53" s="5" t="s">
        <v>181</v>
      </c>
      <c r="G53">
        <v>2</v>
      </c>
    </row>
    <row r="54" spans="1:7" x14ac:dyDescent="0.2">
      <c r="A54" s="22" t="s">
        <v>76</v>
      </c>
      <c r="B54" s="22" t="s">
        <v>29</v>
      </c>
      <c r="C54" s="22" t="s">
        <v>6</v>
      </c>
      <c r="D54">
        <v>2</v>
      </c>
      <c r="F54" s="5" t="s">
        <v>75</v>
      </c>
      <c r="G54">
        <v>2</v>
      </c>
    </row>
    <row r="55" spans="1:7" x14ac:dyDescent="0.2">
      <c r="A55" s="22" t="s">
        <v>76</v>
      </c>
      <c r="B55" s="22" t="s">
        <v>29</v>
      </c>
      <c r="C55" s="22" t="s">
        <v>6</v>
      </c>
      <c r="D55">
        <v>2</v>
      </c>
      <c r="F55" s="5" t="s">
        <v>95</v>
      </c>
      <c r="G55">
        <v>2</v>
      </c>
    </row>
    <row r="56" spans="1:7" x14ac:dyDescent="0.2">
      <c r="A56" s="22" t="s">
        <v>77</v>
      </c>
      <c r="B56" s="22" t="s">
        <v>29</v>
      </c>
      <c r="C56" s="22" t="s">
        <v>6</v>
      </c>
      <c r="D56">
        <v>1</v>
      </c>
      <c r="F56" s="5" t="s">
        <v>149</v>
      </c>
      <c r="G56">
        <v>2</v>
      </c>
    </row>
    <row r="57" spans="1:7" x14ac:dyDescent="0.2">
      <c r="A57" s="22" t="s">
        <v>79</v>
      </c>
      <c r="B57" s="22" t="s">
        <v>29</v>
      </c>
      <c r="C57" s="22" t="s">
        <v>6</v>
      </c>
      <c r="D57">
        <v>2</v>
      </c>
      <c r="F57" s="5" t="s">
        <v>116</v>
      </c>
      <c r="G57">
        <v>2</v>
      </c>
    </row>
    <row r="58" spans="1:7" x14ac:dyDescent="0.2">
      <c r="A58" s="22" t="s">
        <v>79</v>
      </c>
      <c r="B58" s="22" t="s">
        <v>29</v>
      </c>
      <c r="C58" s="22" t="s">
        <v>6</v>
      </c>
      <c r="D58">
        <v>2</v>
      </c>
      <c r="F58" s="5" t="s">
        <v>128</v>
      </c>
      <c r="G58">
        <v>2</v>
      </c>
    </row>
    <row r="59" spans="1:7" x14ac:dyDescent="0.2">
      <c r="A59" s="22" t="s">
        <v>81</v>
      </c>
      <c r="B59" s="22" t="s">
        <v>29</v>
      </c>
      <c r="C59" s="22" t="s">
        <v>6</v>
      </c>
      <c r="D59">
        <v>1</v>
      </c>
      <c r="F59" s="5" t="s">
        <v>172</v>
      </c>
      <c r="G59">
        <v>2</v>
      </c>
    </row>
    <row r="60" spans="1:7" x14ac:dyDescent="0.2">
      <c r="A60" s="22" t="s">
        <v>81</v>
      </c>
      <c r="B60" s="22" t="s">
        <v>29</v>
      </c>
      <c r="C60" s="22" t="s">
        <v>6</v>
      </c>
      <c r="D60">
        <v>4</v>
      </c>
      <c r="F60" s="5" t="s">
        <v>133</v>
      </c>
      <c r="G60">
        <v>2</v>
      </c>
    </row>
    <row r="61" spans="1:7" x14ac:dyDescent="0.2">
      <c r="A61" s="22" t="s">
        <v>82</v>
      </c>
      <c r="B61" s="22" t="s">
        <v>29</v>
      </c>
      <c r="C61" s="22" t="s">
        <v>6</v>
      </c>
      <c r="D61">
        <v>3</v>
      </c>
      <c r="F61" s="5" t="s">
        <v>104</v>
      </c>
      <c r="G61">
        <v>2</v>
      </c>
    </row>
    <row r="62" spans="1:7" x14ac:dyDescent="0.2">
      <c r="A62" s="22" t="s">
        <v>82</v>
      </c>
      <c r="B62" s="22" t="s">
        <v>29</v>
      </c>
      <c r="C62" s="22" t="s">
        <v>6</v>
      </c>
      <c r="D62">
        <v>5</v>
      </c>
      <c r="F62" s="5" t="s">
        <v>98</v>
      </c>
      <c r="G62">
        <v>2</v>
      </c>
    </row>
    <row r="63" spans="1:7" x14ac:dyDescent="0.2">
      <c r="A63" s="22" t="s">
        <v>84</v>
      </c>
      <c r="B63" s="22" t="s">
        <v>29</v>
      </c>
      <c r="C63" s="22" t="s">
        <v>7</v>
      </c>
      <c r="D63">
        <v>2</v>
      </c>
      <c r="F63" s="5" t="s">
        <v>71</v>
      </c>
      <c r="G63">
        <v>2</v>
      </c>
    </row>
    <row r="64" spans="1:7" x14ac:dyDescent="0.2">
      <c r="A64" s="22" t="s">
        <v>86</v>
      </c>
      <c r="B64" s="22" t="s">
        <v>29</v>
      </c>
      <c r="C64" s="22" t="s">
        <v>6</v>
      </c>
      <c r="D64">
        <v>3</v>
      </c>
      <c r="F64" s="5" t="s">
        <v>132</v>
      </c>
      <c r="G64">
        <v>2</v>
      </c>
    </row>
    <row r="65" spans="1:7" x14ac:dyDescent="0.2">
      <c r="A65" s="22" t="s">
        <v>86</v>
      </c>
      <c r="B65" s="22" t="s">
        <v>29</v>
      </c>
      <c r="C65" s="22" t="s">
        <v>6</v>
      </c>
      <c r="D65">
        <v>1</v>
      </c>
      <c r="F65" s="5" t="s">
        <v>106</v>
      </c>
      <c r="G65">
        <v>2</v>
      </c>
    </row>
    <row r="66" spans="1:7" x14ac:dyDescent="0.2">
      <c r="A66" s="22" t="s">
        <v>87</v>
      </c>
      <c r="B66" s="22" t="s">
        <v>29</v>
      </c>
      <c r="C66" s="22" t="s">
        <v>6</v>
      </c>
      <c r="D66">
        <v>1</v>
      </c>
      <c r="F66" s="5" t="s">
        <v>177</v>
      </c>
      <c r="G66">
        <v>2</v>
      </c>
    </row>
    <row r="67" spans="1:7" x14ac:dyDescent="0.2">
      <c r="A67" s="22" t="s">
        <v>88</v>
      </c>
      <c r="B67" s="22" t="s">
        <v>29</v>
      </c>
      <c r="C67" s="22" t="s">
        <v>6</v>
      </c>
      <c r="D67">
        <v>1</v>
      </c>
      <c r="F67" s="5" t="s">
        <v>113</v>
      </c>
      <c r="G67">
        <v>2</v>
      </c>
    </row>
    <row r="68" spans="1:7" x14ac:dyDescent="0.2">
      <c r="A68" s="22" t="s">
        <v>88</v>
      </c>
      <c r="B68" s="22" t="s">
        <v>29</v>
      </c>
      <c r="C68" s="22" t="s">
        <v>6</v>
      </c>
      <c r="D68">
        <v>1</v>
      </c>
      <c r="F68" s="5" t="s">
        <v>194</v>
      </c>
      <c r="G68">
        <v>2</v>
      </c>
    </row>
    <row r="69" spans="1:7" x14ac:dyDescent="0.2">
      <c r="A69" s="22" t="s">
        <v>89</v>
      </c>
      <c r="B69" s="22" t="s">
        <v>29</v>
      </c>
      <c r="C69" s="22" t="s">
        <v>6</v>
      </c>
      <c r="D69">
        <v>1</v>
      </c>
      <c r="F69" s="5" t="s">
        <v>38</v>
      </c>
      <c r="G69">
        <v>2</v>
      </c>
    </row>
    <row r="70" spans="1:7" x14ac:dyDescent="0.2">
      <c r="A70" s="22" t="s">
        <v>90</v>
      </c>
      <c r="B70" s="22" t="s">
        <v>29</v>
      </c>
      <c r="C70" s="22" t="s">
        <v>6</v>
      </c>
      <c r="D70">
        <v>1</v>
      </c>
      <c r="F70" s="5" t="s">
        <v>88</v>
      </c>
      <c r="G70">
        <v>2</v>
      </c>
    </row>
    <row r="71" spans="1:7" x14ac:dyDescent="0.2">
      <c r="A71" s="22" t="s">
        <v>92</v>
      </c>
      <c r="B71" s="22" t="s">
        <v>29</v>
      </c>
      <c r="C71" s="22" t="s">
        <v>6</v>
      </c>
      <c r="D71">
        <v>5</v>
      </c>
      <c r="F71" s="5" t="s">
        <v>199</v>
      </c>
      <c r="G71">
        <v>2</v>
      </c>
    </row>
    <row r="72" spans="1:7" x14ac:dyDescent="0.2">
      <c r="A72" s="22" t="s">
        <v>93</v>
      </c>
      <c r="B72" s="22" t="s">
        <v>29</v>
      </c>
      <c r="C72" s="22" t="s">
        <v>6</v>
      </c>
      <c r="D72">
        <v>1</v>
      </c>
      <c r="F72" s="5" t="s">
        <v>84</v>
      </c>
      <c r="G72">
        <v>2</v>
      </c>
    </row>
    <row r="73" spans="1:7" x14ac:dyDescent="0.2">
      <c r="A73" s="22" t="s">
        <v>93</v>
      </c>
      <c r="B73" s="22" t="s">
        <v>29</v>
      </c>
      <c r="C73" s="22" t="s">
        <v>6</v>
      </c>
      <c r="D73">
        <v>1</v>
      </c>
      <c r="F73" s="5" t="s">
        <v>188</v>
      </c>
      <c r="G73">
        <v>2</v>
      </c>
    </row>
    <row r="74" spans="1:7" x14ac:dyDescent="0.2">
      <c r="A74" s="22" t="s">
        <v>94</v>
      </c>
      <c r="B74" s="22" t="s">
        <v>29</v>
      </c>
      <c r="C74" s="22" t="s">
        <v>6</v>
      </c>
      <c r="D74">
        <v>1</v>
      </c>
      <c r="F74" s="5" t="s">
        <v>198</v>
      </c>
      <c r="G74">
        <v>2</v>
      </c>
    </row>
    <row r="75" spans="1:7" x14ac:dyDescent="0.2">
      <c r="A75" s="22" t="s">
        <v>94</v>
      </c>
      <c r="B75" s="22" t="s">
        <v>29</v>
      </c>
      <c r="C75" s="22" t="s">
        <v>6</v>
      </c>
      <c r="D75">
        <v>2</v>
      </c>
      <c r="F75" s="5" t="s">
        <v>37</v>
      </c>
      <c r="G75">
        <v>2</v>
      </c>
    </row>
    <row r="76" spans="1:7" x14ac:dyDescent="0.2">
      <c r="A76" s="22" t="s">
        <v>82</v>
      </c>
      <c r="B76" s="22" t="s">
        <v>31</v>
      </c>
      <c r="C76" s="22" t="s">
        <v>5</v>
      </c>
      <c r="D76">
        <v>4</v>
      </c>
      <c r="F76" s="5" t="s">
        <v>192</v>
      </c>
      <c r="G76">
        <v>2</v>
      </c>
    </row>
    <row r="77" spans="1:7" x14ac:dyDescent="0.2">
      <c r="A77" s="22" t="s">
        <v>95</v>
      </c>
      <c r="B77" s="22" t="s">
        <v>29</v>
      </c>
      <c r="C77" s="22" t="s">
        <v>6</v>
      </c>
      <c r="D77">
        <v>2</v>
      </c>
      <c r="F77" s="5" t="s">
        <v>33</v>
      </c>
      <c r="G77">
        <v>2</v>
      </c>
    </row>
    <row r="78" spans="1:7" x14ac:dyDescent="0.2">
      <c r="A78" s="22" t="s">
        <v>96</v>
      </c>
      <c r="B78" s="22" t="s">
        <v>29</v>
      </c>
      <c r="C78" s="22" t="s">
        <v>6</v>
      </c>
      <c r="D78">
        <v>2</v>
      </c>
      <c r="F78" s="5" t="s">
        <v>138</v>
      </c>
      <c r="G78">
        <v>2</v>
      </c>
    </row>
    <row r="79" spans="1:7" x14ac:dyDescent="0.2">
      <c r="A79" s="22" t="s">
        <v>96</v>
      </c>
      <c r="B79" s="22" t="s">
        <v>29</v>
      </c>
      <c r="C79" s="22" t="s">
        <v>6</v>
      </c>
      <c r="D79">
        <v>1</v>
      </c>
      <c r="F79" s="5" t="s">
        <v>144</v>
      </c>
      <c r="G79">
        <v>2</v>
      </c>
    </row>
    <row r="80" spans="1:7" x14ac:dyDescent="0.2">
      <c r="A80" s="22" t="s">
        <v>98</v>
      </c>
      <c r="B80" s="22" t="s">
        <v>29</v>
      </c>
      <c r="C80" s="22" t="s">
        <v>6</v>
      </c>
      <c r="D80">
        <v>1</v>
      </c>
      <c r="F80" s="5" t="s">
        <v>111</v>
      </c>
      <c r="G80">
        <v>2</v>
      </c>
    </row>
    <row r="81" spans="1:7" x14ac:dyDescent="0.2">
      <c r="A81" s="22" t="s">
        <v>98</v>
      </c>
      <c r="B81" s="22" t="s">
        <v>29</v>
      </c>
      <c r="C81" s="22" t="s">
        <v>6</v>
      </c>
      <c r="D81">
        <v>1</v>
      </c>
      <c r="F81" s="5" t="s">
        <v>100</v>
      </c>
      <c r="G81">
        <v>2</v>
      </c>
    </row>
    <row r="82" spans="1:7" x14ac:dyDescent="0.2">
      <c r="A82" s="22" t="s">
        <v>99</v>
      </c>
      <c r="B82" s="22" t="s">
        <v>29</v>
      </c>
      <c r="C82" s="22" t="s">
        <v>6</v>
      </c>
      <c r="D82">
        <v>1</v>
      </c>
      <c r="F82" s="5" t="s">
        <v>123</v>
      </c>
      <c r="G82">
        <v>2</v>
      </c>
    </row>
    <row r="83" spans="1:7" x14ac:dyDescent="0.2">
      <c r="A83" s="22" t="s">
        <v>100</v>
      </c>
      <c r="B83" s="22" t="s">
        <v>29</v>
      </c>
      <c r="C83" s="22" t="s">
        <v>6</v>
      </c>
      <c r="D83">
        <v>2</v>
      </c>
      <c r="F83" s="5" t="s">
        <v>107</v>
      </c>
      <c r="G83">
        <v>2</v>
      </c>
    </row>
    <row r="84" spans="1:7" x14ac:dyDescent="0.2">
      <c r="A84" s="22" t="s">
        <v>101</v>
      </c>
      <c r="B84" s="22" t="s">
        <v>29</v>
      </c>
      <c r="C84" s="22" t="s">
        <v>6</v>
      </c>
      <c r="D84">
        <v>1</v>
      </c>
      <c r="F84" s="5" t="s">
        <v>39</v>
      </c>
      <c r="G84">
        <v>2</v>
      </c>
    </row>
    <row r="85" spans="1:7" x14ac:dyDescent="0.2">
      <c r="A85" s="22" t="s">
        <v>101</v>
      </c>
      <c r="B85" s="22" t="s">
        <v>29</v>
      </c>
      <c r="C85" s="22" t="s">
        <v>6</v>
      </c>
      <c r="D85">
        <v>1</v>
      </c>
      <c r="F85" s="5" t="s">
        <v>115</v>
      </c>
      <c r="G85">
        <v>2</v>
      </c>
    </row>
    <row r="86" spans="1:7" x14ac:dyDescent="0.2">
      <c r="A86" s="22" t="s">
        <v>102</v>
      </c>
      <c r="B86" s="22" t="s">
        <v>29</v>
      </c>
      <c r="C86" s="22" t="s">
        <v>6</v>
      </c>
      <c r="D86">
        <v>1</v>
      </c>
      <c r="F86" s="5" t="s">
        <v>41</v>
      </c>
      <c r="G86">
        <v>2</v>
      </c>
    </row>
    <row r="87" spans="1:7" x14ac:dyDescent="0.2">
      <c r="A87" s="22" t="s">
        <v>102</v>
      </c>
      <c r="B87" s="22" t="s">
        <v>29</v>
      </c>
      <c r="C87" s="22" t="s">
        <v>6</v>
      </c>
      <c r="D87">
        <v>2</v>
      </c>
      <c r="F87" s="5" t="s">
        <v>49</v>
      </c>
      <c r="G87">
        <v>2</v>
      </c>
    </row>
    <row r="88" spans="1:7" x14ac:dyDescent="0.2">
      <c r="A88" s="22" t="s">
        <v>142</v>
      </c>
      <c r="B88" s="22" t="s">
        <v>31</v>
      </c>
      <c r="C88" s="22" t="s">
        <v>5</v>
      </c>
      <c r="D88">
        <v>2</v>
      </c>
      <c r="F88" s="5" t="s">
        <v>173</v>
      </c>
      <c r="G88">
        <v>2</v>
      </c>
    </row>
    <row r="89" spans="1:7" x14ac:dyDescent="0.2">
      <c r="A89" s="22" t="s">
        <v>104</v>
      </c>
      <c r="B89" s="22" t="s">
        <v>29</v>
      </c>
      <c r="C89" s="22" t="s">
        <v>6</v>
      </c>
      <c r="D89">
        <v>1</v>
      </c>
      <c r="F89" s="5" t="s">
        <v>40</v>
      </c>
      <c r="G89">
        <v>2</v>
      </c>
    </row>
    <row r="90" spans="1:7" x14ac:dyDescent="0.2">
      <c r="A90" s="22" t="s">
        <v>104</v>
      </c>
      <c r="B90" s="22" t="s">
        <v>29</v>
      </c>
      <c r="C90" s="22" t="s">
        <v>6</v>
      </c>
      <c r="D90">
        <v>1</v>
      </c>
      <c r="F90" s="5" t="s">
        <v>141</v>
      </c>
      <c r="G90">
        <v>2</v>
      </c>
    </row>
    <row r="91" spans="1:7" x14ac:dyDescent="0.2">
      <c r="A91" s="22" t="s">
        <v>105</v>
      </c>
      <c r="B91" s="22" t="s">
        <v>29</v>
      </c>
      <c r="C91" s="22" t="s">
        <v>6</v>
      </c>
      <c r="D91">
        <v>6</v>
      </c>
      <c r="F91" s="5" t="s">
        <v>183</v>
      </c>
      <c r="G91">
        <v>2</v>
      </c>
    </row>
    <row r="92" spans="1:7" x14ac:dyDescent="0.2">
      <c r="A92" s="22" t="s">
        <v>106</v>
      </c>
      <c r="B92" s="22" t="s">
        <v>29</v>
      </c>
      <c r="C92" s="22" t="s">
        <v>6</v>
      </c>
      <c r="D92">
        <v>2</v>
      </c>
      <c r="F92" s="5" t="s">
        <v>101</v>
      </c>
      <c r="G92">
        <v>2</v>
      </c>
    </row>
    <row r="93" spans="1:7" x14ac:dyDescent="0.2">
      <c r="A93" s="22" t="s">
        <v>107</v>
      </c>
      <c r="B93" s="22" t="s">
        <v>29</v>
      </c>
      <c r="C93" s="22" t="s">
        <v>6</v>
      </c>
      <c r="D93">
        <v>2</v>
      </c>
      <c r="F93" s="5" t="s">
        <v>93</v>
      </c>
      <c r="G93">
        <v>2</v>
      </c>
    </row>
    <row r="94" spans="1:7" x14ac:dyDescent="0.2">
      <c r="A94" s="22" t="s">
        <v>48</v>
      </c>
      <c r="B94" s="22" t="s">
        <v>31</v>
      </c>
      <c r="C94" s="22" t="s">
        <v>5</v>
      </c>
      <c r="D94">
        <v>2</v>
      </c>
      <c r="F94" s="5" t="s">
        <v>131</v>
      </c>
      <c r="G94">
        <v>2</v>
      </c>
    </row>
    <row r="95" spans="1:7" x14ac:dyDescent="0.2">
      <c r="A95" s="22" t="s">
        <v>110</v>
      </c>
      <c r="B95" s="22" t="s">
        <v>29</v>
      </c>
      <c r="C95" s="22" t="s">
        <v>6</v>
      </c>
      <c r="D95">
        <v>1</v>
      </c>
      <c r="F95" s="5" t="s">
        <v>162</v>
      </c>
      <c r="G95">
        <v>2</v>
      </c>
    </row>
    <row r="96" spans="1:7" x14ac:dyDescent="0.2">
      <c r="A96" s="22" t="s">
        <v>110</v>
      </c>
      <c r="B96" s="22" t="s">
        <v>29</v>
      </c>
      <c r="C96" s="22" t="s">
        <v>6</v>
      </c>
      <c r="D96">
        <v>2</v>
      </c>
      <c r="F96" s="5" t="s">
        <v>44</v>
      </c>
      <c r="G96">
        <v>1</v>
      </c>
    </row>
    <row r="97" spans="1:7" x14ac:dyDescent="0.2">
      <c r="A97" s="22" t="s">
        <v>111</v>
      </c>
      <c r="B97" s="22" t="s">
        <v>29</v>
      </c>
      <c r="C97" s="22" t="s">
        <v>6</v>
      </c>
      <c r="D97">
        <v>2</v>
      </c>
      <c r="F97" s="5" t="s">
        <v>74</v>
      </c>
      <c r="G97">
        <v>1</v>
      </c>
    </row>
    <row r="98" spans="1:7" x14ac:dyDescent="0.2">
      <c r="A98" s="22" t="s">
        <v>113</v>
      </c>
      <c r="B98" s="22" t="s">
        <v>29</v>
      </c>
      <c r="C98" s="22" t="s">
        <v>6</v>
      </c>
      <c r="D98">
        <v>1</v>
      </c>
      <c r="F98" s="5" t="s">
        <v>51</v>
      </c>
      <c r="G98">
        <v>1</v>
      </c>
    </row>
    <row r="99" spans="1:7" x14ac:dyDescent="0.2">
      <c r="A99" s="22" t="s">
        <v>113</v>
      </c>
      <c r="B99" s="22" t="s">
        <v>29</v>
      </c>
      <c r="C99" s="22" t="s">
        <v>6</v>
      </c>
      <c r="D99">
        <v>1</v>
      </c>
      <c r="F99" s="5" t="s">
        <v>117</v>
      </c>
      <c r="G99">
        <v>1</v>
      </c>
    </row>
    <row r="100" spans="1:7" x14ac:dyDescent="0.2">
      <c r="A100" s="22" t="s">
        <v>114</v>
      </c>
      <c r="B100" s="22" t="s">
        <v>29</v>
      </c>
      <c r="C100" s="22" t="s">
        <v>6</v>
      </c>
      <c r="D100">
        <v>1</v>
      </c>
      <c r="F100" s="5" t="s">
        <v>77</v>
      </c>
      <c r="G100">
        <v>1</v>
      </c>
    </row>
    <row r="101" spans="1:7" x14ac:dyDescent="0.2">
      <c r="A101" s="22" t="s">
        <v>115</v>
      </c>
      <c r="B101" s="22" t="s">
        <v>29</v>
      </c>
      <c r="C101" s="22" t="s">
        <v>6</v>
      </c>
      <c r="D101">
        <v>2</v>
      </c>
      <c r="F101" s="5" t="s">
        <v>118</v>
      </c>
      <c r="G101">
        <v>1</v>
      </c>
    </row>
    <row r="102" spans="1:7" x14ac:dyDescent="0.2">
      <c r="A102" s="22" t="s">
        <v>116</v>
      </c>
      <c r="B102" s="22" t="s">
        <v>29</v>
      </c>
      <c r="C102" s="22" t="s">
        <v>6</v>
      </c>
      <c r="D102">
        <v>1</v>
      </c>
      <c r="F102" s="5" t="s">
        <v>67</v>
      </c>
      <c r="G102">
        <v>1</v>
      </c>
    </row>
    <row r="103" spans="1:7" x14ac:dyDescent="0.2">
      <c r="A103" s="22" t="s">
        <v>116</v>
      </c>
      <c r="B103" s="22" t="s">
        <v>29</v>
      </c>
      <c r="C103" s="22" t="s">
        <v>6</v>
      </c>
      <c r="D103">
        <v>1</v>
      </c>
      <c r="F103" s="5" t="s">
        <v>147</v>
      </c>
      <c r="G103">
        <v>1</v>
      </c>
    </row>
    <row r="104" spans="1:7" x14ac:dyDescent="0.2">
      <c r="A104" s="22" t="s">
        <v>52</v>
      </c>
      <c r="B104" s="22" t="s">
        <v>31</v>
      </c>
      <c r="C104" s="22" t="s">
        <v>5</v>
      </c>
      <c r="D104">
        <v>1</v>
      </c>
      <c r="F104" s="5" t="s">
        <v>196</v>
      </c>
      <c r="G104">
        <v>1</v>
      </c>
    </row>
    <row r="105" spans="1:7" x14ac:dyDescent="0.2">
      <c r="A105" s="22" t="s">
        <v>122</v>
      </c>
      <c r="B105" s="22" t="s">
        <v>29</v>
      </c>
      <c r="C105" s="22" t="s">
        <v>6</v>
      </c>
      <c r="D105">
        <v>4</v>
      </c>
      <c r="F105" s="5" t="s">
        <v>160</v>
      </c>
      <c r="G105">
        <v>1</v>
      </c>
    </row>
    <row r="106" spans="1:7" x14ac:dyDescent="0.2">
      <c r="A106" s="22" t="s">
        <v>123</v>
      </c>
      <c r="B106" s="22" t="s">
        <v>29</v>
      </c>
      <c r="C106" s="22" t="s">
        <v>6</v>
      </c>
      <c r="D106">
        <v>2</v>
      </c>
      <c r="F106" s="5" t="s">
        <v>62</v>
      </c>
      <c r="G106">
        <v>1</v>
      </c>
    </row>
    <row r="107" spans="1:7" x14ac:dyDescent="0.2">
      <c r="A107" s="22" t="s">
        <v>124</v>
      </c>
      <c r="B107" s="22" t="s">
        <v>29</v>
      </c>
      <c r="C107" s="22" t="s">
        <v>6</v>
      </c>
      <c r="D107">
        <v>1</v>
      </c>
      <c r="F107" s="5" t="s">
        <v>114</v>
      </c>
      <c r="G107">
        <v>1</v>
      </c>
    </row>
    <row r="108" spans="1:7" x14ac:dyDescent="0.2">
      <c r="A108" s="22" t="s">
        <v>125</v>
      </c>
      <c r="B108" s="22" t="s">
        <v>29</v>
      </c>
      <c r="C108" s="22" t="s">
        <v>5</v>
      </c>
      <c r="D108">
        <v>1</v>
      </c>
      <c r="F108" s="5" t="s">
        <v>89</v>
      </c>
      <c r="G108">
        <v>1</v>
      </c>
    </row>
    <row r="109" spans="1:7" x14ac:dyDescent="0.2">
      <c r="A109" s="22" t="s">
        <v>125</v>
      </c>
      <c r="B109" s="22" t="s">
        <v>29</v>
      </c>
      <c r="C109" s="22" t="s">
        <v>5</v>
      </c>
      <c r="D109">
        <v>1</v>
      </c>
      <c r="F109" s="5" t="s">
        <v>63</v>
      </c>
      <c r="G109">
        <v>1</v>
      </c>
    </row>
    <row r="110" spans="1:7" x14ac:dyDescent="0.2">
      <c r="A110" s="22" t="s">
        <v>126</v>
      </c>
      <c r="B110" s="22" t="s">
        <v>29</v>
      </c>
      <c r="C110" s="22" t="s">
        <v>7</v>
      </c>
      <c r="D110">
        <v>1</v>
      </c>
      <c r="F110" s="5" t="s">
        <v>34</v>
      </c>
      <c r="G110">
        <v>1</v>
      </c>
    </row>
    <row r="111" spans="1:7" x14ac:dyDescent="0.2">
      <c r="A111" s="22" t="s">
        <v>112</v>
      </c>
      <c r="B111" s="22" t="s">
        <v>29</v>
      </c>
      <c r="C111" s="22" t="s">
        <v>6</v>
      </c>
      <c r="D111">
        <v>1</v>
      </c>
      <c r="F111" s="5" t="s">
        <v>112</v>
      </c>
      <c r="G111">
        <v>1</v>
      </c>
    </row>
    <row r="112" spans="1:7" x14ac:dyDescent="0.2">
      <c r="A112" s="22" t="s">
        <v>128</v>
      </c>
      <c r="B112" s="22" t="s">
        <v>29</v>
      </c>
      <c r="C112" s="22" t="s">
        <v>6</v>
      </c>
      <c r="D112">
        <v>1</v>
      </c>
      <c r="F112" s="5" t="s">
        <v>197</v>
      </c>
      <c r="G112">
        <v>1</v>
      </c>
    </row>
    <row r="113" spans="1:7" x14ac:dyDescent="0.2">
      <c r="A113" s="22" t="s">
        <v>128</v>
      </c>
      <c r="B113" s="22" t="s">
        <v>29</v>
      </c>
      <c r="C113" s="22" t="s">
        <v>6</v>
      </c>
      <c r="D113">
        <v>1</v>
      </c>
      <c r="F113" s="5" t="s">
        <v>72</v>
      </c>
      <c r="G113">
        <v>1</v>
      </c>
    </row>
    <row r="114" spans="1:7" x14ac:dyDescent="0.2">
      <c r="A114" s="22" t="s">
        <v>129</v>
      </c>
      <c r="B114" s="22" t="s">
        <v>29</v>
      </c>
      <c r="C114" s="22" t="s">
        <v>6</v>
      </c>
      <c r="D114">
        <v>1</v>
      </c>
      <c r="F114" s="5" t="s">
        <v>58</v>
      </c>
      <c r="G114">
        <v>1</v>
      </c>
    </row>
    <row r="115" spans="1:7" x14ac:dyDescent="0.2">
      <c r="A115" s="22" t="s">
        <v>130</v>
      </c>
      <c r="B115" s="22" t="s">
        <v>29</v>
      </c>
      <c r="C115" s="22" t="s">
        <v>6</v>
      </c>
      <c r="D115">
        <v>1</v>
      </c>
      <c r="F115" s="5" t="s">
        <v>184</v>
      </c>
      <c r="G115">
        <v>1</v>
      </c>
    </row>
    <row r="116" spans="1:7" x14ac:dyDescent="0.2">
      <c r="A116" s="22" t="s">
        <v>130</v>
      </c>
      <c r="B116" s="22" t="s">
        <v>29</v>
      </c>
      <c r="C116" s="22" t="s">
        <v>6</v>
      </c>
      <c r="D116">
        <v>2</v>
      </c>
      <c r="F116" s="5" t="s">
        <v>124</v>
      </c>
      <c r="G116">
        <v>1</v>
      </c>
    </row>
    <row r="117" spans="1:7" x14ac:dyDescent="0.2">
      <c r="A117" s="22" t="s">
        <v>131</v>
      </c>
      <c r="B117" s="22" t="s">
        <v>29</v>
      </c>
      <c r="C117" s="22" t="s">
        <v>6</v>
      </c>
      <c r="D117">
        <v>2</v>
      </c>
      <c r="F117" s="5" t="s">
        <v>46</v>
      </c>
      <c r="G117">
        <v>1</v>
      </c>
    </row>
    <row r="118" spans="1:7" x14ac:dyDescent="0.2">
      <c r="A118" s="22" t="s">
        <v>132</v>
      </c>
      <c r="B118" s="22" t="s">
        <v>29</v>
      </c>
      <c r="C118" s="22" t="s">
        <v>6</v>
      </c>
      <c r="D118">
        <v>2</v>
      </c>
      <c r="F118" s="5" t="s">
        <v>56</v>
      </c>
      <c r="G118">
        <v>1</v>
      </c>
    </row>
    <row r="119" spans="1:7" x14ac:dyDescent="0.2">
      <c r="A119" s="22" t="s">
        <v>133</v>
      </c>
      <c r="B119" s="22" t="s">
        <v>29</v>
      </c>
      <c r="C119" s="22" t="s">
        <v>6</v>
      </c>
      <c r="D119">
        <v>1</v>
      </c>
      <c r="F119" s="5" t="s">
        <v>159</v>
      </c>
      <c r="G119">
        <v>1</v>
      </c>
    </row>
    <row r="120" spans="1:7" x14ac:dyDescent="0.2">
      <c r="A120" s="22" t="s">
        <v>133</v>
      </c>
      <c r="B120" s="22" t="s">
        <v>29</v>
      </c>
      <c r="C120" s="22" t="s">
        <v>6</v>
      </c>
      <c r="D120">
        <v>1</v>
      </c>
      <c r="F120" s="5" t="s">
        <v>178</v>
      </c>
      <c r="G120">
        <v>1</v>
      </c>
    </row>
    <row r="121" spans="1:7" x14ac:dyDescent="0.2">
      <c r="A121" s="22" t="s">
        <v>134</v>
      </c>
      <c r="B121" s="22" t="s">
        <v>29</v>
      </c>
      <c r="C121" s="22" t="s">
        <v>6</v>
      </c>
      <c r="D121">
        <v>1</v>
      </c>
      <c r="F121" s="5" t="s">
        <v>134</v>
      </c>
      <c r="G121">
        <v>1</v>
      </c>
    </row>
    <row r="122" spans="1:7" x14ac:dyDescent="0.2">
      <c r="A122" s="22" t="s">
        <v>135</v>
      </c>
      <c r="B122" s="22" t="s">
        <v>29</v>
      </c>
      <c r="C122" s="22" t="s">
        <v>6</v>
      </c>
      <c r="D122">
        <v>2</v>
      </c>
      <c r="F122" s="5" t="s">
        <v>90</v>
      </c>
      <c r="G122">
        <v>1</v>
      </c>
    </row>
    <row r="123" spans="1:7" x14ac:dyDescent="0.2">
      <c r="A123" s="22" t="s">
        <v>71</v>
      </c>
      <c r="B123" s="22" t="s">
        <v>29</v>
      </c>
      <c r="C123" s="22" t="s">
        <v>5</v>
      </c>
      <c r="D123">
        <v>1</v>
      </c>
      <c r="F123" s="5" t="s">
        <v>168</v>
      </c>
      <c r="G123">
        <v>1</v>
      </c>
    </row>
    <row r="124" spans="1:7" x14ac:dyDescent="0.2">
      <c r="A124" s="22" t="s">
        <v>103</v>
      </c>
      <c r="B124" s="22" t="s">
        <v>29</v>
      </c>
      <c r="C124" s="22" t="s">
        <v>5</v>
      </c>
      <c r="D124">
        <v>2</v>
      </c>
      <c r="F124" s="5" t="s">
        <v>73</v>
      </c>
      <c r="G124">
        <v>1</v>
      </c>
    </row>
    <row r="125" spans="1:7" x14ac:dyDescent="0.2">
      <c r="A125" s="22" t="s">
        <v>103</v>
      </c>
      <c r="B125" s="22" t="s">
        <v>29</v>
      </c>
      <c r="C125" s="22" t="s">
        <v>5</v>
      </c>
      <c r="D125">
        <v>2</v>
      </c>
      <c r="F125" s="5" t="s">
        <v>55</v>
      </c>
      <c r="G125">
        <v>1</v>
      </c>
    </row>
    <row r="126" spans="1:7" x14ac:dyDescent="0.2">
      <c r="A126" s="22" t="s">
        <v>32</v>
      </c>
      <c r="B126" s="22" t="s">
        <v>31</v>
      </c>
      <c r="C126" s="22" t="s">
        <v>5</v>
      </c>
      <c r="D126">
        <v>4</v>
      </c>
      <c r="F126" s="5" t="s">
        <v>182</v>
      </c>
      <c r="G126">
        <v>1</v>
      </c>
    </row>
    <row r="127" spans="1:7" x14ac:dyDescent="0.2">
      <c r="A127" s="22" t="s">
        <v>59</v>
      </c>
      <c r="B127" s="22" t="s">
        <v>29</v>
      </c>
      <c r="C127" s="22" t="s">
        <v>6</v>
      </c>
      <c r="D127">
        <v>1</v>
      </c>
      <c r="F127" s="5" t="s">
        <v>161</v>
      </c>
      <c r="G127">
        <v>1</v>
      </c>
    </row>
    <row r="128" spans="1:7" x14ac:dyDescent="0.2">
      <c r="A128" s="22" t="s">
        <v>138</v>
      </c>
      <c r="B128" s="22" t="s">
        <v>29</v>
      </c>
      <c r="C128" s="22" t="s">
        <v>6</v>
      </c>
      <c r="D128">
        <v>2</v>
      </c>
      <c r="F128" s="5" t="s">
        <v>60</v>
      </c>
      <c r="G128">
        <v>1</v>
      </c>
    </row>
    <row r="129" spans="1:7" x14ac:dyDescent="0.2">
      <c r="A129" s="22" t="s">
        <v>139</v>
      </c>
      <c r="B129" s="22" t="s">
        <v>29</v>
      </c>
      <c r="C129" s="22" t="s">
        <v>6</v>
      </c>
      <c r="D129">
        <v>1</v>
      </c>
      <c r="F129" s="5" t="s">
        <v>200</v>
      </c>
      <c r="G129">
        <v>1</v>
      </c>
    </row>
    <row r="130" spans="1:7" x14ac:dyDescent="0.2">
      <c r="A130" s="22" t="s">
        <v>140</v>
      </c>
      <c r="B130" s="22" t="s">
        <v>29</v>
      </c>
      <c r="C130" s="22" t="s">
        <v>6</v>
      </c>
      <c r="D130">
        <v>1</v>
      </c>
      <c r="F130" s="5" t="s">
        <v>154</v>
      </c>
      <c r="G130">
        <v>1</v>
      </c>
    </row>
    <row r="131" spans="1:7" x14ac:dyDescent="0.2">
      <c r="A131" s="22" t="s">
        <v>140</v>
      </c>
      <c r="B131" s="22" t="s">
        <v>29</v>
      </c>
      <c r="C131" s="22" t="s">
        <v>6</v>
      </c>
      <c r="D131">
        <v>3</v>
      </c>
      <c r="F131" s="5" t="s">
        <v>65</v>
      </c>
      <c r="G131">
        <v>1</v>
      </c>
    </row>
    <row r="132" spans="1:7" x14ac:dyDescent="0.2">
      <c r="A132" s="22" t="s">
        <v>141</v>
      </c>
      <c r="B132" s="22" t="s">
        <v>29</v>
      </c>
      <c r="C132" s="22" t="s">
        <v>6</v>
      </c>
      <c r="D132">
        <v>2</v>
      </c>
      <c r="F132" s="5" t="s">
        <v>87</v>
      </c>
      <c r="G132">
        <v>1</v>
      </c>
    </row>
    <row r="133" spans="1:7" x14ac:dyDescent="0.2">
      <c r="A133" s="22" t="s">
        <v>142</v>
      </c>
      <c r="B133" s="22" t="s">
        <v>29</v>
      </c>
      <c r="C133" s="22" t="s">
        <v>6</v>
      </c>
      <c r="D133">
        <v>2</v>
      </c>
      <c r="F133" s="5" t="s">
        <v>64</v>
      </c>
      <c r="G133">
        <v>1</v>
      </c>
    </row>
    <row r="134" spans="1:7" x14ac:dyDescent="0.2">
      <c r="A134" s="22" t="s">
        <v>149</v>
      </c>
      <c r="B134" s="22" t="s">
        <v>31</v>
      </c>
      <c r="C134" s="22" t="s">
        <v>5</v>
      </c>
      <c r="D134">
        <v>2</v>
      </c>
      <c r="F134" s="5" t="s">
        <v>99</v>
      </c>
      <c r="G134">
        <v>1</v>
      </c>
    </row>
    <row r="135" spans="1:7" x14ac:dyDescent="0.2">
      <c r="A135" s="22" t="s">
        <v>85</v>
      </c>
      <c r="B135" s="22" t="s">
        <v>29</v>
      </c>
      <c r="C135" s="22" t="s">
        <v>6</v>
      </c>
      <c r="D135">
        <v>2</v>
      </c>
      <c r="F135" s="5" t="s">
        <v>139</v>
      </c>
      <c r="G135">
        <v>1</v>
      </c>
    </row>
    <row r="136" spans="1:7" x14ac:dyDescent="0.2">
      <c r="A136" s="22" t="s">
        <v>85</v>
      </c>
      <c r="B136" s="22" t="s">
        <v>29</v>
      </c>
      <c r="C136" s="22" t="s">
        <v>6</v>
      </c>
      <c r="D136">
        <v>1</v>
      </c>
      <c r="F136" s="5" t="s">
        <v>126</v>
      </c>
      <c r="G136">
        <v>1</v>
      </c>
    </row>
    <row r="137" spans="1:7" x14ac:dyDescent="0.2">
      <c r="A137" s="22" t="s">
        <v>143</v>
      </c>
      <c r="B137" s="22" t="s">
        <v>29</v>
      </c>
      <c r="C137" s="22" t="s">
        <v>6</v>
      </c>
      <c r="D137">
        <v>3</v>
      </c>
      <c r="F137" s="5" t="s">
        <v>166</v>
      </c>
      <c r="G137">
        <v>1</v>
      </c>
    </row>
    <row r="138" spans="1:7" x14ac:dyDescent="0.2">
      <c r="A138" s="22" t="s">
        <v>144</v>
      </c>
      <c r="B138" s="22" t="s">
        <v>29</v>
      </c>
      <c r="C138" s="22" t="s">
        <v>6</v>
      </c>
      <c r="D138">
        <v>1</v>
      </c>
      <c r="F138" s="5" t="s">
        <v>42</v>
      </c>
      <c r="G138">
        <v>1</v>
      </c>
    </row>
    <row r="139" spans="1:7" x14ac:dyDescent="0.2">
      <c r="A139" s="22" t="s">
        <v>144</v>
      </c>
      <c r="B139" s="22" t="s">
        <v>29</v>
      </c>
      <c r="C139" s="22" t="s">
        <v>6</v>
      </c>
      <c r="D139">
        <v>1</v>
      </c>
      <c r="F139" s="5" t="s">
        <v>129</v>
      </c>
      <c r="G139">
        <v>1</v>
      </c>
    </row>
    <row r="140" spans="1:7" x14ac:dyDescent="0.2">
      <c r="A140" s="22" t="s">
        <v>118</v>
      </c>
      <c r="B140" s="22" t="s">
        <v>31</v>
      </c>
      <c r="C140" s="22" t="s">
        <v>5</v>
      </c>
      <c r="D140">
        <v>1</v>
      </c>
      <c r="F140" s="5" t="s">
        <v>164</v>
      </c>
      <c r="G140">
        <v>1</v>
      </c>
    </row>
    <row r="141" spans="1:7" x14ac:dyDescent="0.2">
      <c r="A141" s="22" t="s">
        <v>145</v>
      </c>
      <c r="B141" s="22" t="s">
        <v>29</v>
      </c>
      <c r="C141" s="22" t="s">
        <v>6</v>
      </c>
      <c r="D141">
        <v>3</v>
      </c>
      <c r="F141" s="5" t="s">
        <v>193</v>
      </c>
      <c r="G141">
        <v>1</v>
      </c>
    </row>
    <row r="142" spans="1:7" x14ac:dyDescent="0.2">
      <c r="A142" s="22" t="s">
        <v>146</v>
      </c>
      <c r="B142" s="22" t="s">
        <v>29</v>
      </c>
      <c r="C142" s="22" t="s">
        <v>6</v>
      </c>
      <c r="D142">
        <v>4</v>
      </c>
      <c r="F142" s="5" t="s">
        <v>28</v>
      </c>
      <c r="G142">
        <v>1</v>
      </c>
    </row>
    <row r="143" spans="1:7" x14ac:dyDescent="0.2">
      <c r="A143" s="22" t="s">
        <v>150</v>
      </c>
      <c r="B143" s="22" t="s">
        <v>29</v>
      </c>
      <c r="C143" s="22" t="s">
        <v>6</v>
      </c>
      <c r="D143">
        <v>3</v>
      </c>
      <c r="F143" s="5" t="s">
        <v>180</v>
      </c>
      <c r="G143">
        <v>1</v>
      </c>
    </row>
    <row r="144" spans="1:7" x14ac:dyDescent="0.2">
      <c r="A144" s="22" t="s">
        <v>150</v>
      </c>
      <c r="B144" s="22" t="s">
        <v>29</v>
      </c>
      <c r="C144" s="22" t="s">
        <v>6</v>
      </c>
      <c r="D144">
        <v>1</v>
      </c>
      <c r="F144" s="5" t="s">
        <v>50</v>
      </c>
      <c r="G144">
        <v>1</v>
      </c>
    </row>
    <row r="145" spans="1:7" x14ac:dyDescent="0.2">
      <c r="A145" s="22" t="s">
        <v>154</v>
      </c>
      <c r="B145" s="22" t="s">
        <v>29</v>
      </c>
      <c r="C145" s="22" t="s">
        <v>6</v>
      </c>
      <c r="D145">
        <v>1</v>
      </c>
      <c r="F145" s="5" t="s">
        <v>1</v>
      </c>
      <c r="G145">
        <v>329</v>
      </c>
    </row>
    <row r="146" spans="1:7" x14ac:dyDescent="0.2">
      <c r="A146" s="22" t="s">
        <v>155</v>
      </c>
      <c r="B146" s="22" t="s">
        <v>29</v>
      </c>
      <c r="C146" s="22" t="s">
        <v>6</v>
      </c>
      <c r="D146">
        <v>1</v>
      </c>
    </row>
    <row r="147" spans="1:7" x14ac:dyDescent="0.2">
      <c r="A147" s="22" t="s">
        <v>155</v>
      </c>
      <c r="B147" s="22" t="s">
        <v>29</v>
      </c>
      <c r="C147" s="22" t="s">
        <v>6</v>
      </c>
      <c r="D147">
        <v>4</v>
      </c>
    </row>
    <row r="148" spans="1:7" x14ac:dyDescent="0.2">
      <c r="A148" s="22" t="s">
        <v>156</v>
      </c>
      <c r="B148" s="22" t="s">
        <v>29</v>
      </c>
      <c r="C148" s="22" t="s">
        <v>6</v>
      </c>
      <c r="D148">
        <v>4</v>
      </c>
    </row>
    <row r="149" spans="1:7" x14ac:dyDescent="0.2">
      <c r="A149" s="22" t="s">
        <v>157</v>
      </c>
      <c r="B149" s="22" t="s">
        <v>29</v>
      </c>
      <c r="C149" s="22" t="s">
        <v>6</v>
      </c>
      <c r="D149">
        <v>3</v>
      </c>
    </row>
    <row r="150" spans="1:7" x14ac:dyDescent="0.2">
      <c r="A150" s="22" t="s">
        <v>158</v>
      </c>
      <c r="B150" s="22" t="s">
        <v>29</v>
      </c>
      <c r="C150" s="22" t="s">
        <v>6</v>
      </c>
      <c r="D150">
        <v>4</v>
      </c>
    </row>
    <row r="151" spans="1:7" x14ac:dyDescent="0.2">
      <c r="A151" s="22" t="s">
        <v>159</v>
      </c>
      <c r="B151" s="22" t="s">
        <v>29</v>
      </c>
      <c r="C151" s="22" t="s">
        <v>6</v>
      </c>
      <c r="D151">
        <v>1</v>
      </c>
    </row>
    <row r="152" spans="1:7" x14ac:dyDescent="0.2">
      <c r="A152" s="22" t="s">
        <v>160</v>
      </c>
      <c r="B152" s="22" t="s">
        <v>29</v>
      </c>
      <c r="C152" s="22" t="s">
        <v>6</v>
      </c>
      <c r="D152">
        <v>1</v>
      </c>
    </row>
    <row r="153" spans="1:7" x14ac:dyDescent="0.2">
      <c r="A153" s="22" t="s">
        <v>161</v>
      </c>
      <c r="B153" s="22" t="s">
        <v>29</v>
      </c>
      <c r="C153" s="22" t="s">
        <v>6</v>
      </c>
      <c r="D153">
        <v>1</v>
      </c>
    </row>
    <row r="154" spans="1:7" x14ac:dyDescent="0.2">
      <c r="A154" s="22" t="s">
        <v>162</v>
      </c>
      <c r="B154" s="22" t="s">
        <v>29</v>
      </c>
      <c r="C154" s="22" t="s">
        <v>6</v>
      </c>
      <c r="D154">
        <v>1</v>
      </c>
    </row>
    <row r="155" spans="1:7" x14ac:dyDescent="0.2">
      <c r="A155" s="22" t="s">
        <v>162</v>
      </c>
      <c r="B155" s="22" t="s">
        <v>29</v>
      </c>
      <c r="C155" s="22" t="s">
        <v>6</v>
      </c>
      <c r="D155">
        <v>1</v>
      </c>
    </row>
    <row r="156" spans="1:7" x14ac:dyDescent="0.2">
      <c r="A156" s="22" t="s">
        <v>163</v>
      </c>
      <c r="B156" s="22" t="s">
        <v>29</v>
      </c>
      <c r="C156" s="22" t="s">
        <v>6</v>
      </c>
      <c r="D156">
        <v>7</v>
      </c>
    </row>
    <row r="157" spans="1:7" x14ac:dyDescent="0.2">
      <c r="A157" s="22" t="s">
        <v>163</v>
      </c>
      <c r="B157" s="22" t="s">
        <v>29</v>
      </c>
      <c r="C157" s="22" t="s">
        <v>6</v>
      </c>
      <c r="D157">
        <v>1</v>
      </c>
    </row>
    <row r="158" spans="1:7" x14ac:dyDescent="0.2">
      <c r="A158" s="22" t="s">
        <v>164</v>
      </c>
      <c r="B158" s="22" t="s">
        <v>29</v>
      </c>
      <c r="C158" s="22" t="s">
        <v>6</v>
      </c>
      <c r="D158">
        <v>1</v>
      </c>
    </row>
    <row r="159" spans="1:7" x14ac:dyDescent="0.2">
      <c r="A159" s="22" t="s">
        <v>147</v>
      </c>
      <c r="B159" s="22" t="s">
        <v>29</v>
      </c>
      <c r="C159" s="22" t="s">
        <v>6</v>
      </c>
      <c r="D159">
        <v>1</v>
      </c>
    </row>
    <row r="160" spans="1:7" x14ac:dyDescent="0.2">
      <c r="A160" s="22" t="s">
        <v>168</v>
      </c>
      <c r="B160" s="22" t="s">
        <v>29</v>
      </c>
      <c r="C160" s="22" t="s">
        <v>6</v>
      </c>
      <c r="D160">
        <v>1</v>
      </c>
    </row>
    <row r="161" spans="1:4" x14ac:dyDescent="0.2">
      <c r="A161" s="22" t="s">
        <v>166</v>
      </c>
      <c r="B161" s="22" t="s">
        <v>29</v>
      </c>
      <c r="C161" s="22" t="s">
        <v>6</v>
      </c>
      <c r="D161">
        <v>1</v>
      </c>
    </row>
    <row r="162" spans="1:4" x14ac:dyDescent="0.2">
      <c r="A162" s="22" t="s">
        <v>170</v>
      </c>
      <c r="B162" s="22" t="s">
        <v>29</v>
      </c>
      <c r="C162" s="22" t="s">
        <v>6</v>
      </c>
      <c r="D162">
        <v>1</v>
      </c>
    </row>
    <row r="163" spans="1:4" x14ac:dyDescent="0.2">
      <c r="A163" s="22" t="s">
        <v>170</v>
      </c>
      <c r="B163" s="22" t="s">
        <v>29</v>
      </c>
      <c r="C163" s="22" t="s">
        <v>6</v>
      </c>
      <c r="D163">
        <v>3</v>
      </c>
    </row>
    <row r="164" spans="1:4" x14ac:dyDescent="0.2">
      <c r="A164" s="22" t="s">
        <v>172</v>
      </c>
      <c r="B164" s="22" t="s">
        <v>29</v>
      </c>
      <c r="C164" s="22" t="s">
        <v>6</v>
      </c>
      <c r="D164">
        <v>1</v>
      </c>
    </row>
    <row r="165" spans="1:4" x14ac:dyDescent="0.2">
      <c r="A165" s="22" t="s">
        <v>172</v>
      </c>
      <c r="B165" s="22" t="s">
        <v>29</v>
      </c>
      <c r="C165" s="22" t="s">
        <v>6</v>
      </c>
      <c r="D165">
        <v>1</v>
      </c>
    </row>
    <row r="166" spans="1:4" x14ac:dyDescent="0.2">
      <c r="A166" s="22" t="s">
        <v>173</v>
      </c>
      <c r="B166" s="22" t="s">
        <v>29</v>
      </c>
      <c r="C166" s="22" t="s">
        <v>6</v>
      </c>
      <c r="D166">
        <v>2</v>
      </c>
    </row>
    <row r="167" spans="1:4" x14ac:dyDescent="0.2">
      <c r="A167" s="22" t="s">
        <v>174</v>
      </c>
      <c r="B167" s="22" t="s">
        <v>29</v>
      </c>
      <c r="C167" s="22" t="s">
        <v>6</v>
      </c>
      <c r="D167">
        <v>3</v>
      </c>
    </row>
    <row r="168" spans="1:4" x14ac:dyDescent="0.2">
      <c r="A168" s="22" t="s">
        <v>174</v>
      </c>
      <c r="B168" s="22" t="s">
        <v>29</v>
      </c>
      <c r="C168" s="22" t="s">
        <v>6</v>
      </c>
      <c r="D168">
        <v>4</v>
      </c>
    </row>
    <row r="169" spans="1:4" x14ac:dyDescent="0.2">
      <c r="A169" s="22" t="s">
        <v>175</v>
      </c>
      <c r="B169" s="22" t="s">
        <v>29</v>
      </c>
      <c r="C169" s="22" t="s">
        <v>6</v>
      </c>
      <c r="D169">
        <v>4</v>
      </c>
    </row>
    <row r="170" spans="1:4" x14ac:dyDescent="0.2">
      <c r="A170" s="22" t="s">
        <v>177</v>
      </c>
      <c r="B170" s="22" t="s">
        <v>29</v>
      </c>
      <c r="C170" s="22" t="s">
        <v>6</v>
      </c>
      <c r="D170">
        <v>2</v>
      </c>
    </row>
    <row r="171" spans="1:4" x14ac:dyDescent="0.2">
      <c r="A171" s="22" t="s">
        <v>178</v>
      </c>
      <c r="B171" s="22" t="s">
        <v>29</v>
      </c>
      <c r="C171" s="22" t="s">
        <v>6</v>
      </c>
      <c r="D171">
        <v>1</v>
      </c>
    </row>
    <row r="172" spans="1:4" x14ac:dyDescent="0.2">
      <c r="A172" s="22" t="s">
        <v>179</v>
      </c>
      <c r="B172" s="22" t="s">
        <v>29</v>
      </c>
      <c r="C172" s="22" t="s">
        <v>6</v>
      </c>
      <c r="D172">
        <v>3</v>
      </c>
    </row>
    <row r="173" spans="1:4" x14ac:dyDescent="0.2">
      <c r="A173" s="22" t="s">
        <v>180</v>
      </c>
      <c r="B173" s="22" t="s">
        <v>29</v>
      </c>
      <c r="C173" s="22" t="s">
        <v>6</v>
      </c>
      <c r="D173">
        <v>1</v>
      </c>
    </row>
    <row r="174" spans="1:4" x14ac:dyDescent="0.2">
      <c r="A174" s="22" t="s">
        <v>181</v>
      </c>
      <c r="B174" s="22" t="s">
        <v>29</v>
      </c>
      <c r="C174" s="22" t="s">
        <v>6</v>
      </c>
      <c r="D174">
        <v>2</v>
      </c>
    </row>
    <row r="175" spans="1:4" x14ac:dyDescent="0.2">
      <c r="A175" s="22" t="s">
        <v>175</v>
      </c>
      <c r="B175" s="22" t="s">
        <v>29</v>
      </c>
      <c r="C175" s="22" t="s">
        <v>7</v>
      </c>
      <c r="D175">
        <v>1</v>
      </c>
    </row>
    <row r="176" spans="1:4" x14ac:dyDescent="0.2">
      <c r="A176" s="22" t="s">
        <v>135</v>
      </c>
      <c r="B176" s="22" t="s">
        <v>29</v>
      </c>
      <c r="C176" s="22" t="s">
        <v>5</v>
      </c>
      <c r="D176">
        <v>1</v>
      </c>
    </row>
    <row r="177" spans="1:4" x14ac:dyDescent="0.2">
      <c r="A177" s="22" t="s">
        <v>182</v>
      </c>
      <c r="B177" s="22" t="s">
        <v>29</v>
      </c>
      <c r="C177" s="22" t="s">
        <v>6</v>
      </c>
      <c r="D177">
        <v>1</v>
      </c>
    </row>
    <row r="178" spans="1:4" x14ac:dyDescent="0.2">
      <c r="A178" s="22" t="s">
        <v>183</v>
      </c>
      <c r="B178" s="22" t="s">
        <v>29</v>
      </c>
      <c r="C178" s="22" t="s">
        <v>6</v>
      </c>
      <c r="D178">
        <v>1</v>
      </c>
    </row>
    <row r="179" spans="1:4" x14ac:dyDescent="0.2">
      <c r="A179" s="22" t="s">
        <v>183</v>
      </c>
      <c r="B179" s="22" t="s">
        <v>29</v>
      </c>
      <c r="C179" s="22" t="s">
        <v>6</v>
      </c>
      <c r="D179">
        <v>1</v>
      </c>
    </row>
    <row r="180" spans="1:4" x14ac:dyDescent="0.2">
      <c r="A180" s="22" t="s">
        <v>184</v>
      </c>
      <c r="B180" s="22" t="s">
        <v>29</v>
      </c>
      <c r="C180" s="22" t="s">
        <v>6</v>
      </c>
      <c r="D180">
        <v>1</v>
      </c>
    </row>
    <row r="181" spans="1:4" x14ac:dyDescent="0.2">
      <c r="A181" s="22" t="s">
        <v>186</v>
      </c>
      <c r="B181" s="22" t="s">
        <v>29</v>
      </c>
      <c r="C181" s="22" t="s">
        <v>6</v>
      </c>
      <c r="D181">
        <v>4</v>
      </c>
    </row>
    <row r="182" spans="1:4" x14ac:dyDescent="0.2">
      <c r="A182" s="22" t="s">
        <v>188</v>
      </c>
      <c r="B182" s="22" t="s">
        <v>29</v>
      </c>
      <c r="C182" s="22" t="s">
        <v>6</v>
      </c>
      <c r="D182">
        <v>2</v>
      </c>
    </row>
    <row r="183" spans="1:4" x14ac:dyDescent="0.2">
      <c r="A183" s="22" t="s">
        <v>192</v>
      </c>
      <c r="B183" s="22" t="s">
        <v>29</v>
      </c>
      <c r="C183" s="22" t="s">
        <v>7</v>
      </c>
      <c r="D183">
        <v>2</v>
      </c>
    </row>
    <row r="184" spans="1:4" x14ac:dyDescent="0.2">
      <c r="A184" s="22" t="s">
        <v>125</v>
      </c>
      <c r="B184" s="22" t="s">
        <v>29</v>
      </c>
      <c r="C184" s="22" t="s">
        <v>6</v>
      </c>
      <c r="D184">
        <v>1</v>
      </c>
    </row>
    <row r="185" spans="1:4" x14ac:dyDescent="0.2">
      <c r="A185" s="22" t="s">
        <v>54</v>
      </c>
      <c r="B185" s="22" t="s">
        <v>29</v>
      </c>
      <c r="C185" s="22" t="s">
        <v>6</v>
      </c>
      <c r="D185">
        <v>4</v>
      </c>
    </row>
    <row r="186" spans="1:4" x14ac:dyDescent="0.2">
      <c r="A186" s="22" t="s">
        <v>193</v>
      </c>
      <c r="B186" s="22" t="s">
        <v>29</v>
      </c>
      <c r="C186" s="22" t="s">
        <v>6</v>
      </c>
      <c r="D186">
        <v>1</v>
      </c>
    </row>
    <row r="187" spans="1:4" x14ac:dyDescent="0.2">
      <c r="A187" s="22" t="s">
        <v>194</v>
      </c>
      <c r="B187" s="22" t="s">
        <v>29</v>
      </c>
      <c r="C187" s="22" t="s">
        <v>5</v>
      </c>
      <c r="D187">
        <v>2</v>
      </c>
    </row>
    <row r="188" spans="1:4" x14ac:dyDescent="0.2">
      <c r="A188" s="22" t="s">
        <v>117</v>
      </c>
      <c r="B188" s="22" t="s">
        <v>29</v>
      </c>
      <c r="C188" s="22" t="s">
        <v>6</v>
      </c>
      <c r="D188">
        <v>1</v>
      </c>
    </row>
    <row r="189" spans="1:4" x14ac:dyDescent="0.2">
      <c r="A189" s="22" t="s">
        <v>196</v>
      </c>
      <c r="B189" s="22" t="s">
        <v>29</v>
      </c>
      <c r="C189" s="22" t="s">
        <v>6</v>
      </c>
      <c r="D189">
        <v>1</v>
      </c>
    </row>
    <row r="190" spans="1:4" x14ac:dyDescent="0.2">
      <c r="A190" s="22" t="s">
        <v>197</v>
      </c>
      <c r="B190" s="22" t="s">
        <v>29</v>
      </c>
      <c r="C190" s="22" t="s">
        <v>6</v>
      </c>
      <c r="D190">
        <v>1</v>
      </c>
    </row>
    <row r="191" spans="1:4" x14ac:dyDescent="0.2">
      <c r="A191" s="22" t="s">
        <v>198</v>
      </c>
      <c r="B191" s="22" t="s">
        <v>29</v>
      </c>
      <c r="C191" s="22" t="s">
        <v>6</v>
      </c>
      <c r="D191">
        <v>2</v>
      </c>
    </row>
    <row r="192" spans="1:4" x14ac:dyDescent="0.2">
      <c r="A192" s="22" t="s">
        <v>199</v>
      </c>
      <c r="B192" s="22" t="s">
        <v>29</v>
      </c>
      <c r="C192" s="22" t="s">
        <v>6</v>
      </c>
      <c r="D192">
        <v>2</v>
      </c>
    </row>
    <row r="193" spans="1:4" x14ac:dyDescent="0.2">
      <c r="A193" s="22" t="s">
        <v>200</v>
      </c>
      <c r="B193" s="22" t="s">
        <v>29</v>
      </c>
      <c r="C193" s="22" t="s">
        <v>6</v>
      </c>
      <c r="D193">
        <v>1</v>
      </c>
    </row>
  </sheetData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B9B9-DB6C-FE4E-A937-5360B07D8111}">
  <dimension ref="A1:L173"/>
  <sheetViews>
    <sheetView workbookViewId="0">
      <selection activeCell="N35" sqref="N3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6640625" customWidth="1"/>
    <col min="6" max="6" width="17.5" bestFit="1" customWidth="1"/>
    <col min="7" max="7" width="17.1640625" bestFit="1" customWidth="1"/>
    <col min="8" max="8" width="14.6640625" bestFit="1" customWidth="1"/>
    <col min="9" max="9" width="8" customWidth="1"/>
    <col min="10" max="10" width="15.1640625" customWidth="1"/>
    <col min="11" max="11" width="15.83203125" bestFit="1" customWidth="1"/>
    <col min="12" max="12" width="15.5" bestFit="1" customWidth="1"/>
    <col min="13" max="13" width="3.83203125" bestFit="1" customWidth="1"/>
    <col min="14" max="14" width="6.83203125" bestFit="1" customWidth="1"/>
    <col min="15" max="15" width="9.6640625" bestFit="1" customWidth="1"/>
    <col min="16" max="16" width="6.83203125" bestFit="1" customWidth="1"/>
    <col min="17" max="17" width="9.6640625" bestFit="1" customWidth="1"/>
    <col min="18" max="18" width="3.83203125" bestFit="1" customWidth="1"/>
    <col min="19" max="19" width="6.83203125" bestFit="1" customWidth="1"/>
    <col min="20" max="20" width="9.6640625" bestFit="1" customWidth="1"/>
    <col min="21" max="21" width="6.83203125" bestFit="1" customWidth="1"/>
    <col min="22" max="22" width="9.6640625" bestFit="1" customWidth="1"/>
    <col min="23" max="23" width="6.83203125" bestFit="1" customWidth="1"/>
    <col min="24" max="24" width="9.6640625" bestFit="1" customWidth="1"/>
    <col min="25" max="25" width="6.83203125" bestFit="1" customWidth="1"/>
    <col min="26" max="26" width="10.33203125" bestFit="1" customWidth="1"/>
  </cols>
  <sheetData>
    <row r="1" spans="1:10" x14ac:dyDescent="0.2">
      <c r="A1" s="22" t="s">
        <v>2</v>
      </c>
      <c r="B1" s="22" t="s">
        <v>0</v>
      </c>
      <c r="C1" s="22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 s="22" t="s">
        <v>28</v>
      </c>
      <c r="B2" s="22" t="s">
        <v>29</v>
      </c>
      <c r="C2" s="2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 s="22" t="s">
        <v>32</v>
      </c>
      <c r="B3" s="22" t="s">
        <v>29</v>
      </c>
      <c r="C3" s="22" t="s">
        <v>6</v>
      </c>
      <c r="D3">
        <v>1</v>
      </c>
      <c r="F3" s="5" t="s">
        <v>29</v>
      </c>
      <c r="G3">
        <v>6</v>
      </c>
      <c r="H3">
        <v>260</v>
      </c>
      <c r="I3">
        <v>18</v>
      </c>
      <c r="J3">
        <v>284</v>
      </c>
    </row>
    <row r="4" spans="1:10" x14ac:dyDescent="0.2">
      <c r="A4" s="22" t="s">
        <v>32</v>
      </c>
      <c r="B4" s="22" t="s">
        <v>29</v>
      </c>
      <c r="C4" s="22" t="s">
        <v>6</v>
      </c>
      <c r="D4">
        <v>1</v>
      </c>
      <c r="F4" s="5" t="s">
        <v>31</v>
      </c>
      <c r="I4">
        <v>19</v>
      </c>
      <c r="J4">
        <v>19</v>
      </c>
    </row>
    <row r="5" spans="1:10" x14ac:dyDescent="0.2">
      <c r="A5" s="22" t="s">
        <v>33</v>
      </c>
      <c r="B5" s="22" t="s">
        <v>29</v>
      </c>
      <c r="C5" s="22" t="s">
        <v>6</v>
      </c>
      <c r="D5">
        <v>1</v>
      </c>
      <c r="F5" s="5" t="s">
        <v>1</v>
      </c>
      <c r="G5">
        <v>6</v>
      </c>
      <c r="H5">
        <v>260</v>
      </c>
      <c r="I5">
        <v>37</v>
      </c>
      <c r="J5">
        <v>303</v>
      </c>
    </row>
    <row r="6" spans="1:10" x14ac:dyDescent="0.2">
      <c r="A6" s="22" t="s">
        <v>33</v>
      </c>
      <c r="B6" s="22" t="s">
        <v>29</v>
      </c>
      <c r="C6" s="22" t="s">
        <v>6</v>
      </c>
      <c r="D6">
        <v>2</v>
      </c>
    </row>
    <row r="7" spans="1:10" x14ac:dyDescent="0.2">
      <c r="A7" s="22" t="s">
        <v>34</v>
      </c>
      <c r="B7" s="22" t="s">
        <v>29</v>
      </c>
      <c r="C7" s="22" t="s">
        <v>6</v>
      </c>
      <c r="D7">
        <v>1</v>
      </c>
      <c r="F7" s="4" t="s">
        <v>9</v>
      </c>
      <c r="G7" t="s">
        <v>11</v>
      </c>
    </row>
    <row r="8" spans="1:10" x14ac:dyDescent="0.2">
      <c r="A8" s="22" t="s">
        <v>35</v>
      </c>
      <c r="B8" s="22" t="s">
        <v>29</v>
      </c>
      <c r="C8" s="22" t="s">
        <v>6</v>
      </c>
      <c r="D8">
        <v>3</v>
      </c>
      <c r="F8" s="5" t="s">
        <v>156</v>
      </c>
      <c r="G8">
        <v>10</v>
      </c>
      <c r="H8">
        <v>1</v>
      </c>
      <c r="I8">
        <f>COUNTIF($G$8:$G$128,$H8)</f>
        <v>47</v>
      </c>
      <c r="J8">
        <f>I8*H8</f>
        <v>47</v>
      </c>
    </row>
    <row r="9" spans="1:10" x14ac:dyDescent="0.2">
      <c r="A9" s="22" t="s">
        <v>37</v>
      </c>
      <c r="B9" s="22" t="s">
        <v>29</v>
      </c>
      <c r="C9" s="22" t="s">
        <v>6</v>
      </c>
      <c r="D9">
        <v>1</v>
      </c>
      <c r="F9" s="5" t="s">
        <v>79</v>
      </c>
      <c r="G9">
        <v>9</v>
      </c>
      <c r="H9">
        <v>2</v>
      </c>
      <c r="I9">
        <f t="shared" ref="I9:I26" si="0">COUNTIF($G$8:$G$128,$H9)</f>
        <v>34</v>
      </c>
      <c r="J9">
        <f t="shared" ref="J9:J26" si="1">I9*H9</f>
        <v>68</v>
      </c>
    </row>
    <row r="10" spans="1:10" x14ac:dyDescent="0.2">
      <c r="A10" s="22" t="s">
        <v>38</v>
      </c>
      <c r="B10" s="22" t="s">
        <v>29</v>
      </c>
      <c r="C10" s="22" t="s">
        <v>6</v>
      </c>
      <c r="D10">
        <v>1</v>
      </c>
      <c r="F10" s="5" t="s">
        <v>163</v>
      </c>
      <c r="G10">
        <v>8</v>
      </c>
      <c r="H10">
        <v>3</v>
      </c>
      <c r="I10">
        <f t="shared" si="0"/>
        <v>12</v>
      </c>
      <c r="J10">
        <f t="shared" si="1"/>
        <v>36</v>
      </c>
    </row>
    <row r="11" spans="1:10" x14ac:dyDescent="0.2">
      <c r="A11" s="22" t="s">
        <v>39</v>
      </c>
      <c r="B11" s="22" t="s">
        <v>29</v>
      </c>
      <c r="C11" s="22" t="s">
        <v>6</v>
      </c>
      <c r="D11">
        <v>1</v>
      </c>
      <c r="F11" s="5" t="s">
        <v>86</v>
      </c>
      <c r="G11">
        <v>8</v>
      </c>
      <c r="H11">
        <v>4</v>
      </c>
      <c r="I11">
        <f t="shared" si="0"/>
        <v>13</v>
      </c>
      <c r="J11">
        <f t="shared" si="1"/>
        <v>52</v>
      </c>
    </row>
    <row r="12" spans="1:10" x14ac:dyDescent="0.2">
      <c r="A12" s="22" t="s">
        <v>39</v>
      </c>
      <c r="B12" s="22" t="s">
        <v>29</v>
      </c>
      <c r="C12" s="22" t="s">
        <v>6</v>
      </c>
      <c r="D12">
        <v>2</v>
      </c>
      <c r="F12" s="5" t="s">
        <v>105</v>
      </c>
      <c r="G12">
        <v>7</v>
      </c>
      <c r="H12">
        <v>5</v>
      </c>
      <c r="I12">
        <f t="shared" si="0"/>
        <v>5</v>
      </c>
      <c r="J12">
        <f t="shared" si="1"/>
        <v>25</v>
      </c>
    </row>
    <row r="13" spans="1:10" x14ac:dyDescent="0.2">
      <c r="A13" s="22" t="s">
        <v>41</v>
      </c>
      <c r="B13" s="22" t="s">
        <v>29</v>
      </c>
      <c r="C13" s="22" t="s">
        <v>6</v>
      </c>
      <c r="D13">
        <v>2</v>
      </c>
      <c r="F13" s="5" t="s">
        <v>175</v>
      </c>
      <c r="G13">
        <v>7</v>
      </c>
      <c r="H13">
        <v>6</v>
      </c>
      <c r="I13">
        <f t="shared" si="0"/>
        <v>2</v>
      </c>
      <c r="J13">
        <f t="shared" si="1"/>
        <v>12</v>
      </c>
    </row>
    <row r="14" spans="1:10" x14ac:dyDescent="0.2">
      <c r="A14" s="22" t="s">
        <v>42</v>
      </c>
      <c r="B14" s="22" t="s">
        <v>29</v>
      </c>
      <c r="C14" s="22" t="s">
        <v>6</v>
      </c>
      <c r="D14">
        <v>1</v>
      </c>
      <c r="F14" s="5" t="s">
        <v>155</v>
      </c>
      <c r="G14">
        <v>7</v>
      </c>
      <c r="H14">
        <v>7</v>
      </c>
      <c r="I14">
        <f t="shared" si="0"/>
        <v>4</v>
      </c>
      <c r="J14">
        <f t="shared" si="1"/>
        <v>28</v>
      </c>
    </row>
    <row r="15" spans="1:10" x14ac:dyDescent="0.2">
      <c r="A15" s="22" t="s">
        <v>45</v>
      </c>
      <c r="B15" s="22" t="s">
        <v>29</v>
      </c>
      <c r="C15" s="22" t="s">
        <v>6</v>
      </c>
      <c r="D15">
        <v>3</v>
      </c>
      <c r="F15" s="5" t="s">
        <v>174</v>
      </c>
      <c r="G15">
        <v>7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 s="22" t="s">
        <v>45</v>
      </c>
      <c r="B16" s="22" t="s">
        <v>29</v>
      </c>
      <c r="C16" s="22" t="s">
        <v>6</v>
      </c>
      <c r="D16">
        <v>1</v>
      </c>
      <c r="F16" s="5" t="s">
        <v>103</v>
      </c>
      <c r="G16">
        <v>6</v>
      </c>
      <c r="H16">
        <v>9</v>
      </c>
      <c r="I16">
        <f t="shared" si="0"/>
        <v>1</v>
      </c>
      <c r="J16">
        <f t="shared" si="1"/>
        <v>9</v>
      </c>
    </row>
    <row r="17" spans="1:12" x14ac:dyDescent="0.2">
      <c r="A17" s="22" t="s">
        <v>46</v>
      </c>
      <c r="B17" s="22" t="s">
        <v>29</v>
      </c>
      <c r="C17" s="22" t="s">
        <v>6</v>
      </c>
      <c r="D17">
        <v>1</v>
      </c>
      <c r="F17" s="5" t="s">
        <v>59</v>
      </c>
      <c r="G17">
        <v>6</v>
      </c>
      <c r="H17">
        <v>10</v>
      </c>
      <c r="I17">
        <f t="shared" si="0"/>
        <v>1</v>
      </c>
      <c r="J17">
        <f t="shared" si="1"/>
        <v>10</v>
      </c>
    </row>
    <row r="18" spans="1:12" x14ac:dyDescent="0.2">
      <c r="A18" s="22" t="s">
        <v>48</v>
      </c>
      <c r="B18" s="22" t="s">
        <v>29</v>
      </c>
      <c r="C18" s="22" t="s">
        <v>6</v>
      </c>
      <c r="D18">
        <v>1</v>
      </c>
      <c r="F18" s="5" t="s">
        <v>37</v>
      </c>
      <c r="G18">
        <v>5</v>
      </c>
      <c r="H18">
        <v>11</v>
      </c>
      <c r="I18">
        <f t="shared" si="0"/>
        <v>0</v>
      </c>
      <c r="J18">
        <f t="shared" si="1"/>
        <v>0</v>
      </c>
    </row>
    <row r="19" spans="1:12" x14ac:dyDescent="0.2">
      <c r="A19" s="22" t="s">
        <v>49</v>
      </c>
      <c r="B19" s="22" t="s">
        <v>29</v>
      </c>
      <c r="C19" s="22" t="s">
        <v>6</v>
      </c>
      <c r="D19">
        <v>2</v>
      </c>
      <c r="F19" s="5" t="s">
        <v>82</v>
      </c>
      <c r="G19">
        <v>5</v>
      </c>
      <c r="H19">
        <v>12</v>
      </c>
      <c r="I19">
        <f t="shared" si="0"/>
        <v>0</v>
      </c>
      <c r="J19">
        <f t="shared" si="1"/>
        <v>0</v>
      </c>
    </row>
    <row r="20" spans="1:12" x14ac:dyDescent="0.2">
      <c r="A20" s="22" t="s">
        <v>50</v>
      </c>
      <c r="B20" s="22" t="s">
        <v>29</v>
      </c>
      <c r="C20" s="22" t="s">
        <v>6</v>
      </c>
      <c r="D20">
        <v>1</v>
      </c>
      <c r="F20" s="5" t="s">
        <v>70</v>
      </c>
      <c r="G20">
        <v>5</v>
      </c>
      <c r="H20">
        <v>13</v>
      </c>
      <c r="I20">
        <f t="shared" si="0"/>
        <v>0</v>
      </c>
      <c r="J20">
        <f t="shared" si="1"/>
        <v>0</v>
      </c>
    </row>
    <row r="21" spans="1:12" x14ac:dyDescent="0.2">
      <c r="A21" s="22" t="s">
        <v>50</v>
      </c>
      <c r="B21" s="22" t="s">
        <v>29</v>
      </c>
      <c r="C21" s="22" t="s">
        <v>6</v>
      </c>
      <c r="D21">
        <v>1</v>
      </c>
      <c r="F21" s="5" t="s">
        <v>92</v>
      </c>
      <c r="G21">
        <v>5</v>
      </c>
      <c r="H21">
        <v>14</v>
      </c>
      <c r="I21">
        <f t="shared" si="0"/>
        <v>0</v>
      </c>
      <c r="J21">
        <f t="shared" si="1"/>
        <v>0</v>
      </c>
    </row>
    <row r="22" spans="1:12" x14ac:dyDescent="0.2">
      <c r="A22" s="22" t="s">
        <v>51</v>
      </c>
      <c r="B22" s="22" t="s">
        <v>29</v>
      </c>
      <c r="C22" s="22" t="s">
        <v>6</v>
      </c>
      <c r="D22">
        <v>1</v>
      </c>
      <c r="F22" s="5" t="s">
        <v>141</v>
      </c>
      <c r="G22">
        <v>5</v>
      </c>
      <c r="H22">
        <v>15</v>
      </c>
      <c r="I22">
        <f t="shared" si="0"/>
        <v>0</v>
      </c>
      <c r="J22">
        <f t="shared" si="1"/>
        <v>0</v>
      </c>
    </row>
    <row r="23" spans="1:12" x14ac:dyDescent="0.2">
      <c r="A23" s="22" t="s">
        <v>52</v>
      </c>
      <c r="B23" s="22" t="s">
        <v>29</v>
      </c>
      <c r="C23" s="22" t="s">
        <v>6</v>
      </c>
      <c r="D23">
        <v>2</v>
      </c>
      <c r="F23" s="5" t="s">
        <v>45</v>
      </c>
      <c r="G23">
        <v>4</v>
      </c>
      <c r="H23">
        <v>16</v>
      </c>
      <c r="I23">
        <f t="shared" si="0"/>
        <v>0</v>
      </c>
      <c r="J23">
        <f t="shared" si="1"/>
        <v>0</v>
      </c>
    </row>
    <row r="24" spans="1:12" x14ac:dyDescent="0.2">
      <c r="A24" s="22" t="s">
        <v>52</v>
      </c>
      <c r="B24" s="22" t="s">
        <v>29</v>
      </c>
      <c r="C24" s="22" t="s">
        <v>6</v>
      </c>
      <c r="D24">
        <v>1</v>
      </c>
      <c r="F24" s="5" t="s">
        <v>110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2" x14ac:dyDescent="0.2">
      <c r="A25" s="22" t="s">
        <v>56</v>
      </c>
      <c r="B25" s="22" t="s">
        <v>29</v>
      </c>
      <c r="C25" s="22" t="s">
        <v>6</v>
      </c>
      <c r="D25">
        <v>1</v>
      </c>
      <c r="F25" s="5" t="s">
        <v>61</v>
      </c>
      <c r="G25">
        <v>4</v>
      </c>
      <c r="H25">
        <v>18</v>
      </c>
      <c r="I25">
        <f t="shared" si="0"/>
        <v>0</v>
      </c>
      <c r="J25">
        <f t="shared" si="1"/>
        <v>0</v>
      </c>
    </row>
    <row r="26" spans="1:12" x14ac:dyDescent="0.2">
      <c r="A26" s="22" t="s">
        <v>57</v>
      </c>
      <c r="B26" s="22" t="s">
        <v>29</v>
      </c>
      <c r="C26" s="22" t="s">
        <v>6</v>
      </c>
      <c r="D26">
        <v>1</v>
      </c>
      <c r="F26" s="5" t="s">
        <v>54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2" x14ac:dyDescent="0.2">
      <c r="A27" s="22" t="s">
        <v>58</v>
      </c>
      <c r="B27" s="22" t="s">
        <v>29</v>
      </c>
      <c r="C27" s="22" t="s">
        <v>6</v>
      </c>
      <c r="D27">
        <v>1</v>
      </c>
      <c r="F27" s="5" t="s">
        <v>181</v>
      </c>
      <c r="G27">
        <v>4</v>
      </c>
      <c r="I27" s="6"/>
      <c r="J27">
        <f>SUM(J8:J26)/SUM(I8:I26)</f>
        <v>2.5041322314049586</v>
      </c>
    </row>
    <row r="28" spans="1:12" x14ac:dyDescent="0.2">
      <c r="A28" s="22" t="s">
        <v>59</v>
      </c>
      <c r="B28" s="22" t="s">
        <v>29</v>
      </c>
      <c r="C28" s="22" t="s">
        <v>5</v>
      </c>
      <c r="D28">
        <v>2</v>
      </c>
      <c r="F28" s="5" t="s">
        <v>186</v>
      </c>
      <c r="G28">
        <v>4</v>
      </c>
      <c r="I28" s="6"/>
      <c r="J28" s="6"/>
    </row>
    <row r="29" spans="1:12" x14ac:dyDescent="0.2">
      <c r="A29" s="22" t="s">
        <v>59</v>
      </c>
      <c r="B29" s="22" t="s">
        <v>29</v>
      </c>
      <c r="C29" s="22" t="s">
        <v>5</v>
      </c>
      <c r="D29">
        <v>2</v>
      </c>
      <c r="F29" s="5" t="s">
        <v>76</v>
      </c>
      <c r="G29">
        <v>4</v>
      </c>
      <c r="H29" s="24"/>
      <c r="I29" s="25" t="s">
        <v>206</v>
      </c>
      <c r="J29" s="25" t="s">
        <v>207</v>
      </c>
      <c r="K29" s="24" t="s">
        <v>208</v>
      </c>
      <c r="L29" s="24" t="s">
        <v>209</v>
      </c>
    </row>
    <row r="30" spans="1:12" x14ac:dyDescent="0.2">
      <c r="A30" s="22" t="s">
        <v>59</v>
      </c>
      <c r="B30" s="22" t="s">
        <v>29</v>
      </c>
      <c r="C30" s="22" t="s">
        <v>5</v>
      </c>
      <c r="D30">
        <v>1</v>
      </c>
      <c r="F30" s="5" t="s">
        <v>72</v>
      </c>
      <c r="G30">
        <v>4</v>
      </c>
      <c r="H30" s="24" t="s">
        <v>203</v>
      </c>
      <c r="I30" s="25">
        <v>235</v>
      </c>
      <c r="J30" s="25">
        <v>171</v>
      </c>
      <c r="K30" s="24">
        <v>137</v>
      </c>
      <c r="L30" s="24">
        <f>SUM(I8:I26)</f>
        <v>121</v>
      </c>
    </row>
    <row r="31" spans="1:12" x14ac:dyDescent="0.2">
      <c r="A31" s="22" t="s">
        <v>60</v>
      </c>
      <c r="B31" s="22" t="s">
        <v>29</v>
      </c>
      <c r="C31" s="22" t="s">
        <v>6</v>
      </c>
      <c r="D31">
        <v>1</v>
      </c>
      <c r="F31" s="5" t="s">
        <v>122</v>
      </c>
      <c r="G31">
        <v>4</v>
      </c>
      <c r="H31" s="24" t="s">
        <v>211</v>
      </c>
      <c r="I31" s="26" t="s">
        <v>210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</row>
    <row r="32" spans="1:12" x14ac:dyDescent="0.2">
      <c r="A32" s="22" t="s">
        <v>61</v>
      </c>
      <c r="B32" s="22" t="s">
        <v>29</v>
      </c>
      <c r="C32" s="22" t="s">
        <v>6</v>
      </c>
      <c r="D32">
        <v>4</v>
      </c>
      <c r="F32" s="5" t="s">
        <v>179</v>
      </c>
      <c r="G32">
        <v>4</v>
      </c>
      <c r="H32" s="24" t="s">
        <v>204</v>
      </c>
      <c r="I32" s="25">
        <v>764</v>
      </c>
      <c r="J32" s="25">
        <v>447</v>
      </c>
      <c r="K32" s="24">
        <v>329</v>
      </c>
      <c r="L32" s="24">
        <f>SUM(J8:J26)</f>
        <v>303</v>
      </c>
    </row>
    <row r="33" spans="1:12" x14ac:dyDescent="0.2">
      <c r="A33" s="22" t="s">
        <v>63</v>
      </c>
      <c r="B33" s="22" t="s">
        <v>29</v>
      </c>
      <c r="C33" s="22" t="s">
        <v>6</v>
      </c>
      <c r="D33">
        <v>1</v>
      </c>
      <c r="F33" s="5" t="s">
        <v>129</v>
      </c>
      <c r="G33">
        <v>4</v>
      </c>
      <c r="H33" s="24" t="s">
        <v>211</v>
      </c>
      <c r="I33" s="26" t="s">
        <v>210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</row>
    <row r="34" spans="1:12" x14ac:dyDescent="0.2">
      <c r="A34" s="22" t="s">
        <v>64</v>
      </c>
      <c r="B34" s="22" t="s">
        <v>29</v>
      </c>
      <c r="C34" s="22" t="s">
        <v>6</v>
      </c>
      <c r="D34">
        <v>1</v>
      </c>
      <c r="F34" s="5" t="s">
        <v>158</v>
      </c>
      <c r="G34">
        <v>4</v>
      </c>
      <c r="H34" s="24" t="s">
        <v>205</v>
      </c>
      <c r="I34" s="28">
        <f>I32/I30</f>
        <v>3.2510638297872338</v>
      </c>
      <c r="J34" s="28">
        <f t="shared" ref="J34:L34" si="2">J32/J30</f>
        <v>2.6140350877192984</v>
      </c>
      <c r="K34" s="28">
        <f t="shared" si="2"/>
        <v>2.4014598540145986</v>
      </c>
      <c r="L34" s="28">
        <f t="shared" si="2"/>
        <v>2.5041322314049586</v>
      </c>
    </row>
    <row r="35" spans="1:12" x14ac:dyDescent="0.2">
      <c r="A35" s="22" t="s">
        <v>40</v>
      </c>
      <c r="B35" s="22" t="s">
        <v>29</v>
      </c>
      <c r="C35" s="22" t="s">
        <v>6</v>
      </c>
      <c r="D35">
        <v>1</v>
      </c>
      <c r="F35" s="5" t="s">
        <v>69</v>
      </c>
      <c r="G35">
        <v>4</v>
      </c>
      <c r="H35" s="24" t="s">
        <v>211</v>
      </c>
      <c r="I35" s="26" t="s">
        <v>210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</row>
    <row r="36" spans="1:12" x14ac:dyDescent="0.2">
      <c r="A36" s="22" t="s">
        <v>65</v>
      </c>
      <c r="B36" s="22" t="s">
        <v>29</v>
      </c>
      <c r="C36" s="22" t="s">
        <v>7</v>
      </c>
      <c r="D36">
        <v>1</v>
      </c>
      <c r="F36" s="5" t="s">
        <v>39</v>
      </c>
      <c r="G36">
        <v>3</v>
      </c>
    </row>
    <row r="37" spans="1:12" x14ac:dyDescent="0.2">
      <c r="A37" s="22" t="s">
        <v>66</v>
      </c>
      <c r="B37" s="22" t="s">
        <v>29</v>
      </c>
      <c r="C37" s="22" t="s">
        <v>6</v>
      </c>
      <c r="D37">
        <v>3</v>
      </c>
      <c r="F37" s="5" t="s">
        <v>94</v>
      </c>
      <c r="G37">
        <v>3</v>
      </c>
    </row>
    <row r="38" spans="1:12" x14ac:dyDescent="0.2">
      <c r="A38" s="22" t="s">
        <v>67</v>
      </c>
      <c r="B38" s="22" t="s">
        <v>29</v>
      </c>
      <c r="C38" s="22" t="s">
        <v>6</v>
      </c>
      <c r="D38">
        <v>1</v>
      </c>
      <c r="F38" s="5" t="s">
        <v>96</v>
      </c>
      <c r="G38">
        <v>3</v>
      </c>
    </row>
    <row r="39" spans="1:12" x14ac:dyDescent="0.2">
      <c r="A39" s="22" t="s">
        <v>69</v>
      </c>
      <c r="B39" s="22" t="s">
        <v>29</v>
      </c>
      <c r="C39" s="22" t="s">
        <v>6</v>
      </c>
      <c r="D39">
        <v>1</v>
      </c>
      <c r="F39" s="5" t="s">
        <v>150</v>
      </c>
      <c r="G39">
        <v>3</v>
      </c>
    </row>
    <row r="40" spans="1:12" x14ac:dyDescent="0.2">
      <c r="A40" s="22" t="s">
        <v>69</v>
      </c>
      <c r="B40" s="22" t="s">
        <v>29</v>
      </c>
      <c r="C40" s="22" t="s">
        <v>6</v>
      </c>
      <c r="D40">
        <v>1</v>
      </c>
      <c r="F40" s="5" t="s">
        <v>33</v>
      </c>
      <c r="G40">
        <v>3</v>
      </c>
    </row>
    <row r="41" spans="1:12" x14ac:dyDescent="0.2">
      <c r="A41" s="22" t="s">
        <v>79</v>
      </c>
      <c r="B41" s="22" t="s">
        <v>29</v>
      </c>
      <c r="C41" s="22" t="s">
        <v>5</v>
      </c>
      <c r="D41">
        <v>2</v>
      </c>
      <c r="F41" s="5" t="s">
        <v>66</v>
      </c>
      <c r="G41">
        <v>3</v>
      </c>
    </row>
    <row r="42" spans="1:12" x14ac:dyDescent="0.2">
      <c r="A42" s="22" t="s">
        <v>79</v>
      </c>
      <c r="B42" s="22" t="s">
        <v>29</v>
      </c>
      <c r="C42" s="22" t="s">
        <v>5</v>
      </c>
      <c r="D42">
        <v>2</v>
      </c>
      <c r="F42" s="5" t="s">
        <v>145</v>
      </c>
      <c r="G42">
        <v>3</v>
      </c>
    </row>
    <row r="43" spans="1:12" x14ac:dyDescent="0.2">
      <c r="A43" s="22" t="s">
        <v>70</v>
      </c>
      <c r="B43" s="22" t="s">
        <v>29</v>
      </c>
      <c r="C43" s="22" t="s">
        <v>6</v>
      </c>
      <c r="D43">
        <v>4</v>
      </c>
      <c r="F43" s="5" t="s">
        <v>35</v>
      </c>
      <c r="G43">
        <v>3</v>
      </c>
    </row>
    <row r="44" spans="1:12" x14ac:dyDescent="0.2">
      <c r="A44" s="22" t="s">
        <v>70</v>
      </c>
      <c r="B44" s="22" t="s">
        <v>29</v>
      </c>
      <c r="C44" s="22" t="s">
        <v>6</v>
      </c>
      <c r="D44">
        <v>1</v>
      </c>
      <c r="F44" s="5" t="s">
        <v>81</v>
      </c>
      <c r="G44">
        <v>3</v>
      </c>
    </row>
    <row r="45" spans="1:12" x14ac:dyDescent="0.2">
      <c r="A45" s="22" t="s">
        <v>71</v>
      </c>
      <c r="B45" s="22" t="s">
        <v>29</v>
      </c>
      <c r="C45" s="22" t="s">
        <v>6</v>
      </c>
      <c r="D45">
        <v>1</v>
      </c>
      <c r="F45" s="5" t="s">
        <v>52</v>
      </c>
      <c r="G45">
        <v>3</v>
      </c>
    </row>
    <row r="46" spans="1:12" x14ac:dyDescent="0.2">
      <c r="A46" s="22" t="s">
        <v>72</v>
      </c>
      <c r="B46" s="22" t="s">
        <v>31</v>
      </c>
      <c r="C46" s="22" t="s">
        <v>5</v>
      </c>
      <c r="D46">
        <v>4</v>
      </c>
      <c r="F46" s="5" t="s">
        <v>170</v>
      </c>
      <c r="G46">
        <v>3</v>
      </c>
    </row>
    <row r="47" spans="1:12" x14ac:dyDescent="0.2">
      <c r="A47" s="22" t="s">
        <v>73</v>
      </c>
      <c r="B47" s="22" t="s">
        <v>29</v>
      </c>
      <c r="C47" s="22" t="s">
        <v>6</v>
      </c>
      <c r="D47">
        <v>1</v>
      </c>
      <c r="F47" s="5" t="s">
        <v>143</v>
      </c>
      <c r="G47">
        <v>3</v>
      </c>
    </row>
    <row r="48" spans="1:12" x14ac:dyDescent="0.2">
      <c r="A48" s="22" t="s">
        <v>74</v>
      </c>
      <c r="B48" s="22" t="s">
        <v>29</v>
      </c>
      <c r="C48" s="22" t="s">
        <v>6</v>
      </c>
      <c r="D48">
        <v>1</v>
      </c>
      <c r="F48" s="5" t="s">
        <v>106</v>
      </c>
      <c r="G48">
        <v>2</v>
      </c>
    </row>
    <row r="49" spans="1:7" x14ac:dyDescent="0.2">
      <c r="A49" s="22" t="s">
        <v>74</v>
      </c>
      <c r="B49" s="22" t="s">
        <v>29</v>
      </c>
      <c r="C49" s="22" t="s">
        <v>6</v>
      </c>
      <c r="D49">
        <v>1</v>
      </c>
      <c r="F49" s="5" t="s">
        <v>199</v>
      </c>
      <c r="G49">
        <v>2</v>
      </c>
    </row>
    <row r="50" spans="1:7" x14ac:dyDescent="0.2">
      <c r="A50" s="22" t="s">
        <v>75</v>
      </c>
      <c r="B50" s="22" t="s">
        <v>29</v>
      </c>
      <c r="C50" s="22" t="s">
        <v>6</v>
      </c>
      <c r="D50">
        <v>2</v>
      </c>
      <c r="F50" s="5" t="s">
        <v>123</v>
      </c>
      <c r="G50">
        <v>2</v>
      </c>
    </row>
    <row r="51" spans="1:7" x14ac:dyDescent="0.2">
      <c r="A51" s="22" t="s">
        <v>76</v>
      </c>
      <c r="B51" s="22" t="s">
        <v>29</v>
      </c>
      <c r="C51" s="22" t="s">
        <v>6</v>
      </c>
      <c r="D51">
        <v>2</v>
      </c>
      <c r="F51" s="5" t="s">
        <v>192</v>
      </c>
      <c r="G51">
        <v>2</v>
      </c>
    </row>
    <row r="52" spans="1:7" x14ac:dyDescent="0.2">
      <c r="A52" s="22" t="s">
        <v>76</v>
      </c>
      <c r="B52" s="22" t="s">
        <v>29</v>
      </c>
      <c r="C52" s="22" t="s">
        <v>6</v>
      </c>
      <c r="D52">
        <v>2</v>
      </c>
      <c r="F52" s="5" t="s">
        <v>177</v>
      </c>
      <c r="G52">
        <v>2</v>
      </c>
    </row>
    <row r="53" spans="1:7" x14ac:dyDescent="0.2">
      <c r="A53" s="22" t="s">
        <v>79</v>
      </c>
      <c r="B53" s="22" t="s">
        <v>29</v>
      </c>
      <c r="C53" s="22" t="s">
        <v>6</v>
      </c>
      <c r="D53">
        <v>3</v>
      </c>
      <c r="F53" s="5" t="s">
        <v>146</v>
      </c>
      <c r="G53">
        <v>2</v>
      </c>
    </row>
    <row r="54" spans="1:7" x14ac:dyDescent="0.2">
      <c r="A54" s="22" t="s">
        <v>79</v>
      </c>
      <c r="B54" s="22" t="s">
        <v>29</v>
      </c>
      <c r="C54" s="22" t="s">
        <v>6</v>
      </c>
      <c r="D54">
        <v>2</v>
      </c>
      <c r="F54" s="5" t="s">
        <v>183</v>
      </c>
      <c r="G54">
        <v>2</v>
      </c>
    </row>
    <row r="55" spans="1:7" x14ac:dyDescent="0.2">
      <c r="A55" s="22" t="s">
        <v>81</v>
      </c>
      <c r="B55" s="22" t="s">
        <v>29</v>
      </c>
      <c r="C55" s="22" t="s">
        <v>6</v>
      </c>
      <c r="D55">
        <v>1</v>
      </c>
      <c r="F55" s="5" t="s">
        <v>100</v>
      </c>
      <c r="G55">
        <v>2</v>
      </c>
    </row>
    <row r="56" spans="1:7" x14ac:dyDescent="0.2">
      <c r="A56" s="22" t="s">
        <v>82</v>
      </c>
      <c r="B56" s="22" t="s">
        <v>29</v>
      </c>
      <c r="C56" s="22" t="s">
        <v>6</v>
      </c>
      <c r="D56">
        <v>3</v>
      </c>
      <c r="F56" s="5" t="s">
        <v>188</v>
      </c>
      <c r="G56">
        <v>2</v>
      </c>
    </row>
    <row r="57" spans="1:7" x14ac:dyDescent="0.2">
      <c r="A57" s="22" t="s">
        <v>82</v>
      </c>
      <c r="B57" s="22" t="s">
        <v>29</v>
      </c>
      <c r="C57" s="22" t="s">
        <v>6</v>
      </c>
      <c r="D57">
        <v>2</v>
      </c>
      <c r="F57" s="5" t="s">
        <v>49</v>
      </c>
      <c r="G57">
        <v>2</v>
      </c>
    </row>
    <row r="58" spans="1:7" x14ac:dyDescent="0.2">
      <c r="A58" s="22" t="s">
        <v>84</v>
      </c>
      <c r="B58" s="22" t="s">
        <v>29</v>
      </c>
      <c r="C58" s="22" t="s">
        <v>7</v>
      </c>
      <c r="D58">
        <v>2</v>
      </c>
      <c r="F58" s="5" t="s">
        <v>113</v>
      </c>
      <c r="G58">
        <v>2</v>
      </c>
    </row>
    <row r="59" spans="1:7" x14ac:dyDescent="0.2">
      <c r="A59" s="22" t="s">
        <v>81</v>
      </c>
      <c r="B59" s="22" t="s">
        <v>31</v>
      </c>
      <c r="C59" s="22" t="s">
        <v>5</v>
      </c>
      <c r="D59">
        <v>2</v>
      </c>
      <c r="F59" s="5" t="s">
        <v>128</v>
      </c>
      <c r="G59">
        <v>2</v>
      </c>
    </row>
    <row r="60" spans="1:7" x14ac:dyDescent="0.2">
      <c r="A60" s="22" t="s">
        <v>86</v>
      </c>
      <c r="B60" s="22" t="s">
        <v>29</v>
      </c>
      <c r="C60" s="22" t="s">
        <v>6</v>
      </c>
      <c r="D60">
        <v>3</v>
      </c>
      <c r="F60" s="5" t="s">
        <v>84</v>
      </c>
      <c r="G60">
        <v>2</v>
      </c>
    </row>
    <row r="61" spans="1:7" x14ac:dyDescent="0.2">
      <c r="A61" s="22" t="s">
        <v>86</v>
      </c>
      <c r="B61" s="22" t="s">
        <v>29</v>
      </c>
      <c r="C61" s="22" t="s">
        <v>6</v>
      </c>
      <c r="D61">
        <v>1</v>
      </c>
      <c r="F61" s="5" t="s">
        <v>98</v>
      </c>
      <c r="G61">
        <v>2</v>
      </c>
    </row>
    <row r="62" spans="1:7" x14ac:dyDescent="0.2">
      <c r="A62" s="22" t="s">
        <v>88</v>
      </c>
      <c r="B62" s="22" t="s">
        <v>29</v>
      </c>
      <c r="C62" s="22" t="s">
        <v>6</v>
      </c>
      <c r="D62">
        <v>1</v>
      </c>
      <c r="F62" s="5" t="s">
        <v>85</v>
      </c>
      <c r="G62">
        <v>2</v>
      </c>
    </row>
    <row r="63" spans="1:7" x14ac:dyDescent="0.2">
      <c r="A63" s="22" t="s">
        <v>89</v>
      </c>
      <c r="B63" s="22" t="s">
        <v>29</v>
      </c>
      <c r="C63" s="22" t="s">
        <v>6</v>
      </c>
      <c r="D63">
        <v>1</v>
      </c>
      <c r="F63" s="5" t="s">
        <v>197</v>
      </c>
      <c r="G63">
        <v>2</v>
      </c>
    </row>
    <row r="64" spans="1:7" x14ac:dyDescent="0.2">
      <c r="A64" s="22" t="s">
        <v>90</v>
      </c>
      <c r="B64" s="22" t="s">
        <v>29</v>
      </c>
      <c r="C64" s="22" t="s">
        <v>6</v>
      </c>
      <c r="D64">
        <v>1</v>
      </c>
      <c r="F64" s="5" t="s">
        <v>111</v>
      </c>
      <c r="G64">
        <v>2</v>
      </c>
    </row>
    <row r="65" spans="1:7" x14ac:dyDescent="0.2">
      <c r="A65" s="22" t="s">
        <v>92</v>
      </c>
      <c r="B65" s="22" t="s">
        <v>29</v>
      </c>
      <c r="C65" s="22" t="s">
        <v>6</v>
      </c>
      <c r="D65">
        <v>5</v>
      </c>
      <c r="F65" s="5" t="s">
        <v>142</v>
      </c>
      <c r="G65">
        <v>2</v>
      </c>
    </row>
    <row r="66" spans="1:7" x14ac:dyDescent="0.2">
      <c r="A66" s="22" t="s">
        <v>93</v>
      </c>
      <c r="B66" s="22" t="s">
        <v>29</v>
      </c>
      <c r="C66" s="22" t="s">
        <v>6</v>
      </c>
      <c r="D66">
        <v>1</v>
      </c>
      <c r="F66" s="5" t="s">
        <v>173</v>
      </c>
      <c r="G66">
        <v>2</v>
      </c>
    </row>
    <row r="67" spans="1:7" x14ac:dyDescent="0.2">
      <c r="A67" s="22" t="s">
        <v>94</v>
      </c>
      <c r="B67" s="22" t="s">
        <v>29</v>
      </c>
      <c r="C67" s="22" t="s">
        <v>6</v>
      </c>
      <c r="D67">
        <v>2</v>
      </c>
      <c r="F67" s="5" t="s">
        <v>32</v>
      </c>
      <c r="G67">
        <v>2</v>
      </c>
    </row>
    <row r="68" spans="1:7" x14ac:dyDescent="0.2">
      <c r="A68" s="22" t="s">
        <v>94</v>
      </c>
      <c r="B68" s="22" t="s">
        <v>29</v>
      </c>
      <c r="C68" s="22" t="s">
        <v>6</v>
      </c>
      <c r="D68">
        <v>1</v>
      </c>
      <c r="F68" s="5" t="s">
        <v>172</v>
      </c>
      <c r="G68">
        <v>2</v>
      </c>
    </row>
    <row r="69" spans="1:7" x14ac:dyDescent="0.2">
      <c r="A69" s="22" t="s">
        <v>95</v>
      </c>
      <c r="B69" s="22" t="s">
        <v>29</v>
      </c>
      <c r="C69" s="22" t="s">
        <v>6</v>
      </c>
      <c r="D69">
        <v>1</v>
      </c>
      <c r="F69" s="5" t="s">
        <v>131</v>
      </c>
      <c r="G69">
        <v>2</v>
      </c>
    </row>
    <row r="70" spans="1:7" x14ac:dyDescent="0.2">
      <c r="A70" s="22" t="s">
        <v>96</v>
      </c>
      <c r="B70" s="22" t="s">
        <v>29</v>
      </c>
      <c r="C70" s="22" t="s">
        <v>6</v>
      </c>
      <c r="D70">
        <v>2</v>
      </c>
      <c r="F70" s="5" t="s">
        <v>104</v>
      </c>
      <c r="G70">
        <v>2</v>
      </c>
    </row>
    <row r="71" spans="1:7" x14ac:dyDescent="0.2">
      <c r="A71" s="22" t="s">
        <v>96</v>
      </c>
      <c r="B71" s="22" t="s">
        <v>29</v>
      </c>
      <c r="C71" s="22" t="s">
        <v>6</v>
      </c>
      <c r="D71">
        <v>1</v>
      </c>
      <c r="F71" s="5" t="s">
        <v>162</v>
      </c>
      <c r="G71">
        <v>2</v>
      </c>
    </row>
    <row r="72" spans="1:7" x14ac:dyDescent="0.2">
      <c r="A72" s="22" t="s">
        <v>98</v>
      </c>
      <c r="B72" s="22" t="s">
        <v>29</v>
      </c>
      <c r="C72" s="22" t="s">
        <v>6</v>
      </c>
      <c r="D72">
        <v>1</v>
      </c>
      <c r="F72" s="5" t="s">
        <v>75</v>
      </c>
      <c r="G72">
        <v>2</v>
      </c>
    </row>
    <row r="73" spans="1:7" x14ac:dyDescent="0.2">
      <c r="A73" s="22" t="s">
        <v>98</v>
      </c>
      <c r="B73" s="22" t="s">
        <v>29</v>
      </c>
      <c r="C73" s="22" t="s">
        <v>6</v>
      </c>
      <c r="D73">
        <v>1</v>
      </c>
      <c r="F73" s="5" t="s">
        <v>135</v>
      </c>
      <c r="G73">
        <v>2</v>
      </c>
    </row>
    <row r="74" spans="1:7" x14ac:dyDescent="0.2">
      <c r="A74" s="22" t="s">
        <v>99</v>
      </c>
      <c r="B74" s="22" t="s">
        <v>29</v>
      </c>
      <c r="C74" s="22" t="s">
        <v>6</v>
      </c>
      <c r="D74">
        <v>1</v>
      </c>
      <c r="F74" s="5" t="s">
        <v>71</v>
      </c>
      <c r="G74">
        <v>2</v>
      </c>
    </row>
    <row r="75" spans="1:7" x14ac:dyDescent="0.2">
      <c r="A75" s="22" t="s">
        <v>100</v>
      </c>
      <c r="B75" s="22" t="s">
        <v>29</v>
      </c>
      <c r="C75" s="22" t="s">
        <v>6</v>
      </c>
      <c r="D75">
        <v>2</v>
      </c>
      <c r="F75" s="5" t="s">
        <v>133</v>
      </c>
      <c r="G75">
        <v>2</v>
      </c>
    </row>
    <row r="76" spans="1:7" x14ac:dyDescent="0.2">
      <c r="A76" s="22" t="s">
        <v>101</v>
      </c>
      <c r="B76" s="22" t="s">
        <v>29</v>
      </c>
      <c r="C76" s="22" t="s">
        <v>6</v>
      </c>
      <c r="D76">
        <v>1</v>
      </c>
      <c r="F76" s="5" t="s">
        <v>125</v>
      </c>
      <c r="G76">
        <v>2</v>
      </c>
    </row>
    <row r="77" spans="1:7" x14ac:dyDescent="0.2">
      <c r="A77" s="22" t="s">
        <v>86</v>
      </c>
      <c r="B77" s="22" t="s">
        <v>31</v>
      </c>
      <c r="C77" s="22" t="s">
        <v>5</v>
      </c>
      <c r="D77">
        <v>4</v>
      </c>
      <c r="F77" s="5" t="s">
        <v>157</v>
      </c>
      <c r="G77">
        <v>2</v>
      </c>
    </row>
    <row r="78" spans="1:7" x14ac:dyDescent="0.2">
      <c r="A78" s="22" t="s">
        <v>103</v>
      </c>
      <c r="B78" s="22" t="s">
        <v>29</v>
      </c>
      <c r="C78" s="22" t="s">
        <v>6</v>
      </c>
      <c r="D78">
        <v>2</v>
      </c>
      <c r="F78" s="5" t="s">
        <v>115</v>
      </c>
      <c r="G78">
        <v>2</v>
      </c>
    </row>
    <row r="79" spans="1:7" x14ac:dyDescent="0.2">
      <c r="A79" s="22" t="s">
        <v>104</v>
      </c>
      <c r="B79" s="22" t="s">
        <v>29</v>
      </c>
      <c r="C79" s="22" t="s">
        <v>6</v>
      </c>
      <c r="D79">
        <v>1</v>
      </c>
      <c r="F79" s="5" t="s">
        <v>74</v>
      </c>
      <c r="G79">
        <v>2</v>
      </c>
    </row>
    <row r="80" spans="1:7" x14ac:dyDescent="0.2">
      <c r="A80" s="22" t="s">
        <v>104</v>
      </c>
      <c r="B80" s="22" t="s">
        <v>29</v>
      </c>
      <c r="C80" s="22" t="s">
        <v>6</v>
      </c>
      <c r="D80">
        <v>1</v>
      </c>
      <c r="F80" s="5" t="s">
        <v>41</v>
      </c>
      <c r="G80">
        <v>2</v>
      </c>
    </row>
    <row r="81" spans="1:7" x14ac:dyDescent="0.2">
      <c r="A81" s="22" t="s">
        <v>105</v>
      </c>
      <c r="B81" s="22" t="s">
        <v>29</v>
      </c>
      <c r="C81" s="22" t="s">
        <v>6</v>
      </c>
      <c r="D81">
        <v>6</v>
      </c>
      <c r="F81" s="5" t="s">
        <v>50</v>
      </c>
      <c r="G81">
        <v>2</v>
      </c>
    </row>
    <row r="82" spans="1:7" x14ac:dyDescent="0.2">
      <c r="A82" s="22" t="s">
        <v>105</v>
      </c>
      <c r="B82" s="22" t="s">
        <v>29</v>
      </c>
      <c r="C82" s="22" t="s">
        <v>6</v>
      </c>
      <c r="D82">
        <v>1</v>
      </c>
      <c r="F82" s="5" t="s">
        <v>182</v>
      </c>
      <c r="G82">
        <v>1</v>
      </c>
    </row>
    <row r="83" spans="1:7" x14ac:dyDescent="0.2">
      <c r="A83" s="22" t="s">
        <v>106</v>
      </c>
      <c r="B83" s="22" t="s">
        <v>29</v>
      </c>
      <c r="C83" s="22" t="s">
        <v>6</v>
      </c>
      <c r="D83">
        <v>2</v>
      </c>
      <c r="F83" s="5" t="s">
        <v>64</v>
      </c>
      <c r="G83">
        <v>1</v>
      </c>
    </row>
    <row r="84" spans="1:7" x14ac:dyDescent="0.2">
      <c r="A84" s="22" t="s">
        <v>129</v>
      </c>
      <c r="B84" s="22" t="s">
        <v>31</v>
      </c>
      <c r="C84" s="22" t="s">
        <v>5</v>
      </c>
      <c r="D84">
        <v>2</v>
      </c>
      <c r="F84" s="5" t="s">
        <v>65</v>
      </c>
      <c r="G84">
        <v>1</v>
      </c>
    </row>
    <row r="85" spans="1:7" x14ac:dyDescent="0.2">
      <c r="A85" s="22" t="s">
        <v>110</v>
      </c>
      <c r="B85" s="22" t="s">
        <v>29</v>
      </c>
      <c r="C85" s="22" t="s">
        <v>6</v>
      </c>
      <c r="D85">
        <v>2</v>
      </c>
      <c r="F85" s="5" t="s">
        <v>60</v>
      </c>
      <c r="G85">
        <v>1</v>
      </c>
    </row>
    <row r="86" spans="1:7" x14ac:dyDescent="0.2">
      <c r="A86" s="22" t="s">
        <v>110</v>
      </c>
      <c r="B86" s="22" t="s">
        <v>29</v>
      </c>
      <c r="C86" s="22" t="s">
        <v>6</v>
      </c>
      <c r="D86">
        <v>2</v>
      </c>
      <c r="F86" s="5" t="s">
        <v>153</v>
      </c>
      <c r="G86">
        <v>1</v>
      </c>
    </row>
    <row r="87" spans="1:7" x14ac:dyDescent="0.2">
      <c r="A87" s="22" t="s">
        <v>111</v>
      </c>
      <c r="B87" s="22" t="s">
        <v>29</v>
      </c>
      <c r="C87" s="22" t="s">
        <v>6</v>
      </c>
      <c r="D87">
        <v>2</v>
      </c>
      <c r="F87" s="5" t="s">
        <v>116</v>
      </c>
      <c r="G87">
        <v>1</v>
      </c>
    </row>
    <row r="88" spans="1:7" x14ac:dyDescent="0.2">
      <c r="A88" s="22" t="s">
        <v>113</v>
      </c>
      <c r="B88" s="22" t="s">
        <v>29</v>
      </c>
      <c r="C88" s="22" t="s">
        <v>6</v>
      </c>
      <c r="D88">
        <v>1</v>
      </c>
      <c r="F88" s="5" t="s">
        <v>34</v>
      </c>
      <c r="G88">
        <v>1</v>
      </c>
    </row>
    <row r="89" spans="1:7" x14ac:dyDescent="0.2">
      <c r="A89" s="22" t="s">
        <v>113</v>
      </c>
      <c r="B89" s="22" t="s">
        <v>29</v>
      </c>
      <c r="C89" s="22" t="s">
        <v>6</v>
      </c>
      <c r="D89">
        <v>1</v>
      </c>
      <c r="F89" s="5" t="s">
        <v>99</v>
      </c>
      <c r="G89">
        <v>1</v>
      </c>
    </row>
    <row r="90" spans="1:7" x14ac:dyDescent="0.2">
      <c r="A90" s="22" t="s">
        <v>114</v>
      </c>
      <c r="B90" s="22" t="s">
        <v>29</v>
      </c>
      <c r="C90" s="22" t="s">
        <v>6</v>
      </c>
      <c r="D90">
        <v>1</v>
      </c>
      <c r="F90" s="5" t="s">
        <v>144</v>
      </c>
      <c r="G90">
        <v>1</v>
      </c>
    </row>
    <row r="91" spans="1:7" x14ac:dyDescent="0.2">
      <c r="A91" s="22" t="s">
        <v>115</v>
      </c>
      <c r="B91" s="22" t="s">
        <v>29</v>
      </c>
      <c r="C91" s="22" t="s">
        <v>6</v>
      </c>
      <c r="D91">
        <v>2</v>
      </c>
      <c r="F91" s="5" t="s">
        <v>57</v>
      </c>
      <c r="G91">
        <v>1</v>
      </c>
    </row>
    <row r="92" spans="1:7" x14ac:dyDescent="0.2">
      <c r="A92" s="22" t="s">
        <v>116</v>
      </c>
      <c r="B92" s="22" t="s">
        <v>29</v>
      </c>
      <c r="C92" s="22" t="s">
        <v>6</v>
      </c>
      <c r="D92">
        <v>1</v>
      </c>
      <c r="F92" s="5" t="s">
        <v>166</v>
      </c>
      <c r="G92">
        <v>1</v>
      </c>
    </row>
    <row r="93" spans="1:7" x14ac:dyDescent="0.2">
      <c r="A93" s="22" t="s">
        <v>122</v>
      </c>
      <c r="B93" s="22" t="s">
        <v>29</v>
      </c>
      <c r="C93" s="22" t="s">
        <v>6</v>
      </c>
      <c r="D93">
        <v>4</v>
      </c>
      <c r="F93" s="5" t="s">
        <v>168</v>
      </c>
      <c r="G93">
        <v>1</v>
      </c>
    </row>
    <row r="94" spans="1:7" x14ac:dyDescent="0.2">
      <c r="A94" s="22" t="s">
        <v>123</v>
      </c>
      <c r="B94" s="22" t="s">
        <v>29</v>
      </c>
      <c r="C94" s="22" t="s">
        <v>6</v>
      </c>
      <c r="D94">
        <v>2</v>
      </c>
      <c r="F94" s="5" t="s">
        <v>114</v>
      </c>
      <c r="G94">
        <v>1</v>
      </c>
    </row>
    <row r="95" spans="1:7" x14ac:dyDescent="0.2">
      <c r="A95" s="22" t="s">
        <v>125</v>
      </c>
      <c r="B95" s="22" t="s">
        <v>29</v>
      </c>
      <c r="C95" s="22" t="s">
        <v>5</v>
      </c>
      <c r="D95">
        <v>1</v>
      </c>
      <c r="F95" s="5" t="s">
        <v>89</v>
      </c>
      <c r="G95">
        <v>1</v>
      </c>
    </row>
    <row r="96" spans="1:7" x14ac:dyDescent="0.2">
      <c r="A96" s="22" t="s">
        <v>126</v>
      </c>
      <c r="B96" s="22" t="s">
        <v>29</v>
      </c>
      <c r="C96" s="22" t="s">
        <v>7</v>
      </c>
      <c r="D96">
        <v>1</v>
      </c>
      <c r="F96" s="5" t="s">
        <v>58</v>
      </c>
      <c r="G96">
        <v>1</v>
      </c>
    </row>
    <row r="97" spans="1:7" x14ac:dyDescent="0.2">
      <c r="A97" s="22" t="s">
        <v>69</v>
      </c>
      <c r="B97" s="22" t="s">
        <v>31</v>
      </c>
      <c r="C97" s="22" t="s">
        <v>5</v>
      </c>
      <c r="D97">
        <v>1</v>
      </c>
      <c r="F97" s="5" t="s">
        <v>56</v>
      </c>
      <c r="G97">
        <v>1</v>
      </c>
    </row>
    <row r="98" spans="1:7" x14ac:dyDescent="0.2">
      <c r="A98" s="22" t="s">
        <v>69</v>
      </c>
      <c r="B98" s="22" t="s">
        <v>29</v>
      </c>
      <c r="C98" s="22" t="s">
        <v>5</v>
      </c>
      <c r="D98">
        <v>1</v>
      </c>
      <c r="F98" s="5" t="s">
        <v>126</v>
      </c>
      <c r="G98">
        <v>1</v>
      </c>
    </row>
    <row r="99" spans="1:7" x14ac:dyDescent="0.2">
      <c r="A99" s="22" t="s">
        <v>112</v>
      </c>
      <c r="B99" s="22" t="s">
        <v>29</v>
      </c>
      <c r="C99" s="22" t="s">
        <v>6</v>
      </c>
      <c r="D99">
        <v>1</v>
      </c>
      <c r="F99" s="5" t="s">
        <v>51</v>
      </c>
      <c r="G99">
        <v>1</v>
      </c>
    </row>
    <row r="100" spans="1:7" x14ac:dyDescent="0.2">
      <c r="A100" s="22" t="s">
        <v>128</v>
      </c>
      <c r="B100" s="22" t="s">
        <v>29</v>
      </c>
      <c r="C100" s="22" t="s">
        <v>6</v>
      </c>
      <c r="D100">
        <v>1</v>
      </c>
      <c r="F100" s="5" t="s">
        <v>73</v>
      </c>
      <c r="G100">
        <v>1</v>
      </c>
    </row>
    <row r="101" spans="1:7" x14ac:dyDescent="0.2">
      <c r="A101" s="22" t="s">
        <v>128</v>
      </c>
      <c r="B101" s="22" t="s">
        <v>29</v>
      </c>
      <c r="C101" s="22" t="s">
        <v>6</v>
      </c>
      <c r="D101">
        <v>1</v>
      </c>
      <c r="F101" s="5" t="s">
        <v>147</v>
      </c>
      <c r="G101">
        <v>1</v>
      </c>
    </row>
    <row r="102" spans="1:7" x14ac:dyDescent="0.2">
      <c r="A102" s="22" t="s">
        <v>129</v>
      </c>
      <c r="B102" s="22" t="s">
        <v>29</v>
      </c>
      <c r="C102" s="22" t="s">
        <v>6</v>
      </c>
      <c r="D102">
        <v>1</v>
      </c>
      <c r="F102" s="5" t="s">
        <v>38</v>
      </c>
      <c r="G102">
        <v>1</v>
      </c>
    </row>
    <row r="103" spans="1:7" x14ac:dyDescent="0.2">
      <c r="A103" s="22" t="s">
        <v>129</v>
      </c>
      <c r="B103" s="22" t="s">
        <v>29</v>
      </c>
      <c r="C103" s="22" t="s">
        <v>6</v>
      </c>
      <c r="D103">
        <v>1</v>
      </c>
      <c r="F103" s="5" t="s">
        <v>154</v>
      </c>
      <c r="G103">
        <v>1</v>
      </c>
    </row>
    <row r="104" spans="1:7" x14ac:dyDescent="0.2">
      <c r="A104" s="22" t="s">
        <v>130</v>
      </c>
      <c r="B104" s="22" t="s">
        <v>29</v>
      </c>
      <c r="C104" s="22" t="s">
        <v>6</v>
      </c>
      <c r="D104">
        <v>1</v>
      </c>
      <c r="F104" s="5" t="s">
        <v>178</v>
      </c>
      <c r="G104">
        <v>1</v>
      </c>
    </row>
    <row r="105" spans="1:7" x14ac:dyDescent="0.2">
      <c r="A105" s="22" t="s">
        <v>131</v>
      </c>
      <c r="B105" s="22" t="s">
        <v>29</v>
      </c>
      <c r="C105" s="22" t="s">
        <v>6</v>
      </c>
      <c r="D105">
        <v>2</v>
      </c>
      <c r="F105" s="5" t="s">
        <v>140</v>
      </c>
      <c r="G105">
        <v>1</v>
      </c>
    </row>
    <row r="106" spans="1:7" x14ac:dyDescent="0.2">
      <c r="A106" s="22" t="s">
        <v>175</v>
      </c>
      <c r="B106" s="22" t="s">
        <v>31</v>
      </c>
      <c r="C106" s="22" t="s">
        <v>5</v>
      </c>
      <c r="D106">
        <v>2</v>
      </c>
      <c r="F106" s="5" t="s">
        <v>95</v>
      </c>
      <c r="G106">
        <v>1</v>
      </c>
    </row>
    <row r="107" spans="1:7" x14ac:dyDescent="0.2">
      <c r="A107" s="22" t="s">
        <v>175</v>
      </c>
      <c r="B107" s="22" t="s">
        <v>29</v>
      </c>
      <c r="C107" s="22" t="s">
        <v>5</v>
      </c>
      <c r="D107">
        <v>1</v>
      </c>
      <c r="F107" s="5" t="s">
        <v>40</v>
      </c>
      <c r="G107">
        <v>1</v>
      </c>
    </row>
    <row r="108" spans="1:7" x14ac:dyDescent="0.2">
      <c r="A108" s="22" t="s">
        <v>132</v>
      </c>
      <c r="B108" s="22" t="s">
        <v>29</v>
      </c>
      <c r="C108" s="22" t="s">
        <v>6</v>
      </c>
      <c r="D108">
        <v>1</v>
      </c>
      <c r="F108" s="5" t="s">
        <v>180</v>
      </c>
      <c r="G108">
        <v>1</v>
      </c>
    </row>
    <row r="109" spans="1:7" x14ac:dyDescent="0.2">
      <c r="A109" s="22" t="s">
        <v>133</v>
      </c>
      <c r="B109" s="22" t="s">
        <v>29</v>
      </c>
      <c r="C109" s="22" t="s">
        <v>6</v>
      </c>
      <c r="D109">
        <v>1</v>
      </c>
      <c r="F109" s="5" t="s">
        <v>130</v>
      </c>
      <c r="G109">
        <v>1</v>
      </c>
    </row>
    <row r="110" spans="1:7" x14ac:dyDescent="0.2">
      <c r="A110" s="22" t="s">
        <v>133</v>
      </c>
      <c r="B110" s="22" t="s">
        <v>29</v>
      </c>
      <c r="C110" s="22" t="s">
        <v>6</v>
      </c>
      <c r="D110">
        <v>1</v>
      </c>
      <c r="F110" s="5" t="s">
        <v>63</v>
      </c>
      <c r="G110">
        <v>1</v>
      </c>
    </row>
    <row r="111" spans="1:7" x14ac:dyDescent="0.2">
      <c r="A111" s="22" t="s">
        <v>134</v>
      </c>
      <c r="B111" s="22" t="s">
        <v>29</v>
      </c>
      <c r="C111" s="22" t="s">
        <v>6</v>
      </c>
      <c r="D111">
        <v>1</v>
      </c>
      <c r="F111" s="5" t="s">
        <v>159</v>
      </c>
      <c r="G111">
        <v>1</v>
      </c>
    </row>
    <row r="112" spans="1:7" x14ac:dyDescent="0.2">
      <c r="A112" s="22" t="s">
        <v>135</v>
      </c>
      <c r="B112" s="22" t="s">
        <v>29</v>
      </c>
      <c r="C112" s="22" t="s">
        <v>6</v>
      </c>
      <c r="D112">
        <v>2</v>
      </c>
      <c r="F112" s="5" t="s">
        <v>90</v>
      </c>
      <c r="G112">
        <v>1</v>
      </c>
    </row>
    <row r="113" spans="1:7" x14ac:dyDescent="0.2">
      <c r="A113" s="22" t="s">
        <v>71</v>
      </c>
      <c r="B113" s="22" t="s">
        <v>29</v>
      </c>
      <c r="C113" s="22" t="s">
        <v>5</v>
      </c>
      <c r="D113">
        <v>1</v>
      </c>
      <c r="F113" s="5" t="s">
        <v>184</v>
      </c>
      <c r="G113">
        <v>1</v>
      </c>
    </row>
    <row r="114" spans="1:7" x14ac:dyDescent="0.2">
      <c r="A114" s="22" t="s">
        <v>103</v>
      </c>
      <c r="B114" s="22" t="s">
        <v>29</v>
      </c>
      <c r="C114" s="22" t="s">
        <v>5</v>
      </c>
      <c r="D114">
        <v>2</v>
      </c>
      <c r="F114" s="5" t="s">
        <v>164</v>
      </c>
      <c r="G114">
        <v>1</v>
      </c>
    </row>
    <row r="115" spans="1:7" x14ac:dyDescent="0.2">
      <c r="A115" s="22" t="s">
        <v>103</v>
      </c>
      <c r="B115" s="22" t="s">
        <v>29</v>
      </c>
      <c r="C115" s="22" t="s">
        <v>5</v>
      </c>
      <c r="D115">
        <v>2</v>
      </c>
      <c r="F115" s="5" t="s">
        <v>46</v>
      </c>
      <c r="G115">
        <v>1</v>
      </c>
    </row>
    <row r="116" spans="1:7" x14ac:dyDescent="0.2">
      <c r="A116" s="22" t="s">
        <v>59</v>
      </c>
      <c r="B116" s="22" t="s">
        <v>29</v>
      </c>
      <c r="C116" s="22" t="s">
        <v>6</v>
      </c>
      <c r="D116">
        <v>1</v>
      </c>
      <c r="F116" s="5" t="s">
        <v>42</v>
      </c>
      <c r="G116">
        <v>1</v>
      </c>
    </row>
    <row r="117" spans="1:7" x14ac:dyDescent="0.2">
      <c r="A117" s="22" t="s">
        <v>140</v>
      </c>
      <c r="B117" s="22" t="s">
        <v>29</v>
      </c>
      <c r="C117" s="22" t="s">
        <v>6</v>
      </c>
      <c r="D117">
        <v>1</v>
      </c>
      <c r="F117" s="5" t="s">
        <v>161</v>
      </c>
      <c r="G117">
        <v>1</v>
      </c>
    </row>
    <row r="118" spans="1:7" x14ac:dyDescent="0.2">
      <c r="A118" s="22" t="s">
        <v>141</v>
      </c>
      <c r="B118" s="22" t="s">
        <v>29</v>
      </c>
      <c r="C118" s="22" t="s">
        <v>6</v>
      </c>
      <c r="D118">
        <v>2</v>
      </c>
      <c r="F118" s="5" t="s">
        <v>112</v>
      </c>
      <c r="G118">
        <v>1</v>
      </c>
    </row>
    <row r="119" spans="1:7" x14ac:dyDescent="0.2">
      <c r="A119" s="22" t="s">
        <v>141</v>
      </c>
      <c r="B119" s="22" t="s">
        <v>29</v>
      </c>
      <c r="C119" s="22" t="s">
        <v>6</v>
      </c>
      <c r="D119">
        <v>3</v>
      </c>
      <c r="F119" s="5" t="s">
        <v>200</v>
      </c>
      <c r="G119">
        <v>1</v>
      </c>
    </row>
    <row r="120" spans="1:7" x14ac:dyDescent="0.2">
      <c r="A120" s="22" t="s">
        <v>142</v>
      </c>
      <c r="B120" s="22" t="s">
        <v>29</v>
      </c>
      <c r="C120" s="22" t="s">
        <v>6</v>
      </c>
      <c r="D120">
        <v>2</v>
      </c>
      <c r="F120" s="5" t="s">
        <v>101</v>
      </c>
      <c r="G120">
        <v>1</v>
      </c>
    </row>
    <row r="121" spans="1:7" x14ac:dyDescent="0.2">
      <c r="A121" s="22" t="s">
        <v>85</v>
      </c>
      <c r="B121" s="22" t="s">
        <v>29</v>
      </c>
      <c r="C121" s="22" t="s">
        <v>6</v>
      </c>
      <c r="D121">
        <v>2</v>
      </c>
      <c r="F121" s="5" t="s">
        <v>132</v>
      </c>
      <c r="G121">
        <v>1</v>
      </c>
    </row>
    <row r="122" spans="1:7" x14ac:dyDescent="0.2">
      <c r="A122" s="22" t="s">
        <v>143</v>
      </c>
      <c r="B122" s="22" t="s">
        <v>29</v>
      </c>
      <c r="C122" s="22" t="s">
        <v>6</v>
      </c>
      <c r="D122">
        <v>3</v>
      </c>
      <c r="F122" s="5" t="s">
        <v>196</v>
      </c>
      <c r="G122">
        <v>1</v>
      </c>
    </row>
    <row r="123" spans="1:7" x14ac:dyDescent="0.2">
      <c r="A123" s="22" t="s">
        <v>144</v>
      </c>
      <c r="B123" s="22" t="s">
        <v>29</v>
      </c>
      <c r="C123" s="22" t="s">
        <v>6</v>
      </c>
      <c r="D123">
        <v>1</v>
      </c>
      <c r="F123" s="5" t="s">
        <v>88</v>
      </c>
      <c r="G123">
        <v>1</v>
      </c>
    </row>
    <row r="124" spans="1:7" x14ac:dyDescent="0.2">
      <c r="A124" s="22" t="s">
        <v>145</v>
      </c>
      <c r="B124" s="22" t="s">
        <v>29</v>
      </c>
      <c r="C124" s="22" t="s">
        <v>6</v>
      </c>
      <c r="D124">
        <v>3</v>
      </c>
      <c r="F124" s="5" t="s">
        <v>93</v>
      </c>
      <c r="G124">
        <v>1</v>
      </c>
    </row>
    <row r="125" spans="1:7" x14ac:dyDescent="0.2">
      <c r="A125" s="22" t="s">
        <v>146</v>
      </c>
      <c r="B125" s="22" t="s">
        <v>29</v>
      </c>
      <c r="C125" s="22" t="s">
        <v>6</v>
      </c>
      <c r="D125">
        <v>2</v>
      </c>
      <c r="F125" s="5" t="s">
        <v>48</v>
      </c>
      <c r="G125">
        <v>1</v>
      </c>
    </row>
    <row r="126" spans="1:7" x14ac:dyDescent="0.2">
      <c r="A126" s="22" t="s">
        <v>150</v>
      </c>
      <c r="B126" s="22" t="s">
        <v>29</v>
      </c>
      <c r="C126" s="22" t="s">
        <v>6</v>
      </c>
      <c r="D126">
        <v>3</v>
      </c>
      <c r="F126" s="5" t="s">
        <v>28</v>
      </c>
      <c r="G126">
        <v>1</v>
      </c>
    </row>
    <row r="127" spans="1:7" x14ac:dyDescent="0.2">
      <c r="A127" s="22" t="s">
        <v>153</v>
      </c>
      <c r="B127" s="22" t="s">
        <v>29</v>
      </c>
      <c r="C127" s="22" t="s">
        <v>5</v>
      </c>
      <c r="D127">
        <v>1</v>
      </c>
      <c r="F127" s="5" t="s">
        <v>67</v>
      </c>
      <c r="G127">
        <v>1</v>
      </c>
    </row>
    <row r="128" spans="1:7" x14ac:dyDescent="0.2">
      <c r="A128" s="22" t="s">
        <v>154</v>
      </c>
      <c r="B128" s="22" t="s">
        <v>29</v>
      </c>
      <c r="C128" s="22" t="s">
        <v>6</v>
      </c>
      <c r="D128">
        <v>1</v>
      </c>
      <c r="F128" s="5" t="s">
        <v>134</v>
      </c>
      <c r="G128">
        <v>1</v>
      </c>
    </row>
    <row r="129" spans="1:7" x14ac:dyDescent="0.2">
      <c r="A129" s="22" t="s">
        <v>155</v>
      </c>
      <c r="B129" s="22" t="s">
        <v>29</v>
      </c>
      <c r="C129" s="22" t="s">
        <v>6</v>
      </c>
      <c r="D129">
        <v>1</v>
      </c>
      <c r="F129" s="5" t="s">
        <v>1</v>
      </c>
      <c r="G129">
        <v>303</v>
      </c>
    </row>
    <row r="130" spans="1:7" x14ac:dyDescent="0.2">
      <c r="A130" s="22" t="s">
        <v>155</v>
      </c>
      <c r="B130" s="22" t="s">
        <v>29</v>
      </c>
      <c r="C130" s="22" t="s">
        <v>6</v>
      </c>
      <c r="D130">
        <v>6</v>
      </c>
    </row>
    <row r="131" spans="1:7" x14ac:dyDescent="0.2">
      <c r="A131" s="22" t="s">
        <v>156</v>
      </c>
      <c r="B131" s="22" t="s">
        <v>29</v>
      </c>
      <c r="C131" s="22" t="s">
        <v>6</v>
      </c>
      <c r="D131">
        <v>4</v>
      </c>
    </row>
    <row r="132" spans="1:7" x14ac:dyDescent="0.2">
      <c r="A132" s="22" t="s">
        <v>156</v>
      </c>
      <c r="B132" s="22" t="s">
        <v>29</v>
      </c>
      <c r="C132" s="22" t="s">
        <v>6</v>
      </c>
      <c r="D132">
        <v>6</v>
      </c>
    </row>
    <row r="133" spans="1:7" x14ac:dyDescent="0.2">
      <c r="A133" s="22" t="s">
        <v>157</v>
      </c>
      <c r="B133" s="22" t="s">
        <v>29</v>
      </c>
      <c r="C133" s="22" t="s">
        <v>6</v>
      </c>
      <c r="D133">
        <v>2</v>
      </c>
    </row>
    <row r="134" spans="1:7" x14ac:dyDescent="0.2">
      <c r="A134" s="22" t="s">
        <v>158</v>
      </c>
      <c r="B134" s="22" t="s">
        <v>29</v>
      </c>
      <c r="C134" s="22" t="s">
        <v>6</v>
      </c>
      <c r="D134">
        <v>4</v>
      </c>
    </row>
    <row r="135" spans="1:7" x14ac:dyDescent="0.2">
      <c r="A135" s="22" t="s">
        <v>159</v>
      </c>
      <c r="B135" s="22" t="s">
        <v>29</v>
      </c>
      <c r="C135" s="22" t="s">
        <v>6</v>
      </c>
      <c r="D135">
        <v>1</v>
      </c>
    </row>
    <row r="136" spans="1:7" x14ac:dyDescent="0.2">
      <c r="A136" s="22" t="s">
        <v>161</v>
      </c>
      <c r="B136" s="22" t="s">
        <v>29</v>
      </c>
      <c r="C136" s="22" t="s">
        <v>6</v>
      </c>
      <c r="D136">
        <v>1</v>
      </c>
    </row>
    <row r="137" spans="1:7" x14ac:dyDescent="0.2">
      <c r="A137" s="22" t="s">
        <v>37</v>
      </c>
      <c r="B137" s="22" t="s">
        <v>31</v>
      </c>
      <c r="C137" s="22" t="s">
        <v>5</v>
      </c>
      <c r="D137">
        <v>4</v>
      </c>
    </row>
    <row r="138" spans="1:7" x14ac:dyDescent="0.2">
      <c r="A138" s="22" t="s">
        <v>162</v>
      </c>
      <c r="B138" s="22" t="s">
        <v>29</v>
      </c>
      <c r="C138" s="22" t="s">
        <v>6</v>
      </c>
      <c r="D138">
        <v>1</v>
      </c>
    </row>
    <row r="139" spans="1:7" x14ac:dyDescent="0.2">
      <c r="A139" s="22" t="s">
        <v>162</v>
      </c>
      <c r="B139" s="22" t="s">
        <v>29</v>
      </c>
      <c r="C139" s="22" t="s">
        <v>6</v>
      </c>
      <c r="D139">
        <v>1</v>
      </c>
    </row>
    <row r="140" spans="1:7" x14ac:dyDescent="0.2">
      <c r="A140" s="22" t="s">
        <v>163</v>
      </c>
      <c r="B140" s="22" t="s">
        <v>29</v>
      </c>
      <c r="C140" s="22" t="s">
        <v>6</v>
      </c>
      <c r="D140">
        <v>7</v>
      </c>
    </row>
    <row r="141" spans="1:7" x14ac:dyDescent="0.2">
      <c r="A141" s="22" t="s">
        <v>163</v>
      </c>
      <c r="B141" s="22" t="s">
        <v>29</v>
      </c>
      <c r="C141" s="22" t="s">
        <v>6</v>
      </c>
      <c r="D141">
        <v>1</v>
      </c>
    </row>
    <row r="142" spans="1:7" x14ac:dyDescent="0.2">
      <c r="A142" s="22" t="s">
        <v>164</v>
      </c>
      <c r="B142" s="22" t="s">
        <v>29</v>
      </c>
      <c r="C142" s="22" t="s">
        <v>6</v>
      </c>
      <c r="D142">
        <v>1</v>
      </c>
    </row>
    <row r="143" spans="1:7" x14ac:dyDescent="0.2">
      <c r="A143" s="22" t="s">
        <v>147</v>
      </c>
      <c r="B143" s="22" t="s">
        <v>29</v>
      </c>
      <c r="C143" s="22" t="s">
        <v>6</v>
      </c>
      <c r="D143">
        <v>1</v>
      </c>
    </row>
    <row r="144" spans="1:7" x14ac:dyDescent="0.2">
      <c r="A144" s="22" t="s">
        <v>168</v>
      </c>
      <c r="B144" s="22" t="s">
        <v>29</v>
      </c>
      <c r="C144" s="22" t="s">
        <v>6</v>
      </c>
      <c r="D144">
        <v>1</v>
      </c>
    </row>
    <row r="145" spans="1:4" x14ac:dyDescent="0.2">
      <c r="A145" s="22" t="s">
        <v>166</v>
      </c>
      <c r="B145" s="22" t="s">
        <v>29</v>
      </c>
      <c r="C145" s="22" t="s">
        <v>6</v>
      </c>
      <c r="D145">
        <v>1</v>
      </c>
    </row>
    <row r="146" spans="1:4" x14ac:dyDescent="0.2">
      <c r="A146" s="22" t="s">
        <v>170</v>
      </c>
      <c r="B146" s="22" t="s">
        <v>29</v>
      </c>
      <c r="C146" s="22" t="s">
        <v>6</v>
      </c>
      <c r="D146">
        <v>1</v>
      </c>
    </row>
    <row r="147" spans="1:4" x14ac:dyDescent="0.2">
      <c r="A147" s="22" t="s">
        <v>170</v>
      </c>
      <c r="B147" s="22" t="s">
        <v>29</v>
      </c>
      <c r="C147" s="22" t="s">
        <v>6</v>
      </c>
      <c r="D147">
        <v>2</v>
      </c>
    </row>
    <row r="148" spans="1:4" x14ac:dyDescent="0.2">
      <c r="A148" s="22" t="s">
        <v>172</v>
      </c>
      <c r="B148" s="22" t="s">
        <v>29</v>
      </c>
      <c r="C148" s="22" t="s">
        <v>6</v>
      </c>
      <c r="D148">
        <v>1</v>
      </c>
    </row>
    <row r="149" spans="1:4" x14ac:dyDescent="0.2">
      <c r="A149" s="22" t="s">
        <v>172</v>
      </c>
      <c r="B149" s="22" t="s">
        <v>29</v>
      </c>
      <c r="C149" s="22" t="s">
        <v>6</v>
      </c>
      <c r="D149">
        <v>1</v>
      </c>
    </row>
    <row r="150" spans="1:4" x14ac:dyDescent="0.2">
      <c r="A150" s="22" t="s">
        <v>173</v>
      </c>
      <c r="B150" s="22" t="s">
        <v>29</v>
      </c>
      <c r="C150" s="22" t="s">
        <v>6</v>
      </c>
      <c r="D150">
        <v>2</v>
      </c>
    </row>
    <row r="151" spans="1:4" x14ac:dyDescent="0.2">
      <c r="A151" s="22" t="s">
        <v>174</v>
      </c>
      <c r="B151" s="22" t="s">
        <v>29</v>
      </c>
      <c r="C151" s="22" t="s">
        <v>6</v>
      </c>
      <c r="D151">
        <v>3</v>
      </c>
    </row>
    <row r="152" spans="1:4" x14ac:dyDescent="0.2">
      <c r="A152" s="22" t="s">
        <v>174</v>
      </c>
      <c r="B152" s="22" t="s">
        <v>29</v>
      </c>
      <c r="C152" s="22" t="s">
        <v>6</v>
      </c>
      <c r="D152">
        <v>4</v>
      </c>
    </row>
    <row r="153" spans="1:4" x14ac:dyDescent="0.2">
      <c r="A153" s="22" t="s">
        <v>175</v>
      </c>
      <c r="B153" s="22" t="s">
        <v>29</v>
      </c>
      <c r="C153" s="22" t="s">
        <v>6</v>
      </c>
      <c r="D153">
        <v>2</v>
      </c>
    </row>
    <row r="154" spans="1:4" x14ac:dyDescent="0.2">
      <c r="A154" s="22" t="s">
        <v>175</v>
      </c>
      <c r="B154" s="22" t="s">
        <v>29</v>
      </c>
      <c r="C154" s="22" t="s">
        <v>6</v>
      </c>
      <c r="D154">
        <v>2</v>
      </c>
    </row>
    <row r="155" spans="1:4" x14ac:dyDescent="0.2">
      <c r="A155" s="22" t="s">
        <v>177</v>
      </c>
      <c r="B155" s="22" t="s">
        <v>29</v>
      </c>
      <c r="C155" s="22" t="s">
        <v>6</v>
      </c>
      <c r="D155">
        <v>2</v>
      </c>
    </row>
    <row r="156" spans="1:4" x14ac:dyDescent="0.2">
      <c r="A156" s="22" t="s">
        <v>178</v>
      </c>
      <c r="B156" s="22" t="s">
        <v>29</v>
      </c>
      <c r="C156" s="22" t="s">
        <v>6</v>
      </c>
      <c r="D156">
        <v>1</v>
      </c>
    </row>
    <row r="157" spans="1:4" x14ac:dyDescent="0.2">
      <c r="A157" s="22" t="s">
        <v>179</v>
      </c>
      <c r="B157" s="22" t="s">
        <v>29</v>
      </c>
      <c r="C157" s="22" t="s">
        <v>6</v>
      </c>
      <c r="D157">
        <v>4</v>
      </c>
    </row>
    <row r="158" spans="1:4" x14ac:dyDescent="0.2">
      <c r="A158" s="22" t="s">
        <v>180</v>
      </c>
      <c r="B158" s="22" t="s">
        <v>29</v>
      </c>
      <c r="C158" s="22" t="s">
        <v>6</v>
      </c>
      <c r="D158">
        <v>1</v>
      </c>
    </row>
    <row r="159" spans="1:4" x14ac:dyDescent="0.2">
      <c r="A159" s="22" t="s">
        <v>181</v>
      </c>
      <c r="B159" s="22" t="s">
        <v>29</v>
      </c>
      <c r="C159" s="22" t="s">
        <v>6</v>
      </c>
      <c r="D159">
        <v>1</v>
      </c>
    </row>
    <row r="160" spans="1:4" x14ac:dyDescent="0.2">
      <c r="A160" s="22" t="s">
        <v>181</v>
      </c>
      <c r="B160" s="22" t="s">
        <v>29</v>
      </c>
      <c r="C160" s="22" t="s">
        <v>6</v>
      </c>
      <c r="D160">
        <v>3</v>
      </c>
    </row>
    <row r="161" spans="1:4" x14ac:dyDescent="0.2">
      <c r="A161" s="22" t="s">
        <v>182</v>
      </c>
      <c r="B161" s="22" t="s">
        <v>29</v>
      </c>
      <c r="C161" s="22" t="s">
        <v>6</v>
      </c>
      <c r="D161">
        <v>1</v>
      </c>
    </row>
    <row r="162" spans="1:4" x14ac:dyDescent="0.2">
      <c r="A162" s="22" t="s">
        <v>183</v>
      </c>
      <c r="B162" s="22" t="s">
        <v>29</v>
      </c>
      <c r="C162" s="22" t="s">
        <v>6</v>
      </c>
      <c r="D162">
        <v>1</v>
      </c>
    </row>
    <row r="163" spans="1:4" x14ac:dyDescent="0.2">
      <c r="A163" s="22" t="s">
        <v>183</v>
      </c>
      <c r="B163" s="22" t="s">
        <v>29</v>
      </c>
      <c r="C163" s="22" t="s">
        <v>6</v>
      </c>
      <c r="D163">
        <v>1</v>
      </c>
    </row>
    <row r="164" spans="1:4" x14ac:dyDescent="0.2">
      <c r="A164" s="22" t="s">
        <v>184</v>
      </c>
      <c r="B164" s="22" t="s">
        <v>29</v>
      </c>
      <c r="C164" s="22" t="s">
        <v>6</v>
      </c>
      <c r="D164">
        <v>1</v>
      </c>
    </row>
    <row r="165" spans="1:4" x14ac:dyDescent="0.2">
      <c r="A165" s="22" t="s">
        <v>186</v>
      </c>
      <c r="B165" s="22" t="s">
        <v>29</v>
      </c>
      <c r="C165" s="22" t="s">
        <v>6</v>
      </c>
      <c r="D165">
        <v>4</v>
      </c>
    </row>
    <row r="166" spans="1:4" x14ac:dyDescent="0.2">
      <c r="A166" s="22" t="s">
        <v>188</v>
      </c>
      <c r="B166" s="22" t="s">
        <v>29</v>
      </c>
      <c r="C166" s="22" t="s">
        <v>6</v>
      </c>
      <c r="D166">
        <v>2</v>
      </c>
    </row>
    <row r="167" spans="1:4" x14ac:dyDescent="0.2">
      <c r="A167" s="22" t="s">
        <v>192</v>
      </c>
      <c r="B167" s="22" t="s">
        <v>29</v>
      </c>
      <c r="C167" s="22" t="s">
        <v>7</v>
      </c>
      <c r="D167">
        <v>2</v>
      </c>
    </row>
    <row r="168" spans="1:4" x14ac:dyDescent="0.2">
      <c r="A168" s="22" t="s">
        <v>125</v>
      </c>
      <c r="B168" s="22" t="s">
        <v>29</v>
      </c>
      <c r="C168" s="22" t="s">
        <v>6</v>
      </c>
      <c r="D168">
        <v>1</v>
      </c>
    </row>
    <row r="169" spans="1:4" x14ac:dyDescent="0.2">
      <c r="A169" s="22" t="s">
        <v>54</v>
      </c>
      <c r="B169" s="22" t="s">
        <v>29</v>
      </c>
      <c r="C169" s="22" t="s">
        <v>6</v>
      </c>
      <c r="D169">
        <v>4</v>
      </c>
    </row>
    <row r="170" spans="1:4" x14ac:dyDescent="0.2">
      <c r="A170" s="22" t="s">
        <v>196</v>
      </c>
      <c r="B170" s="22" t="s">
        <v>29</v>
      </c>
      <c r="C170" s="22" t="s">
        <v>6</v>
      </c>
      <c r="D170">
        <v>1</v>
      </c>
    </row>
    <row r="171" spans="1:4" x14ac:dyDescent="0.2">
      <c r="A171" s="22" t="s">
        <v>197</v>
      </c>
      <c r="B171" s="22" t="s">
        <v>29</v>
      </c>
      <c r="C171" s="22" t="s">
        <v>6</v>
      </c>
      <c r="D171">
        <v>2</v>
      </c>
    </row>
    <row r="172" spans="1:4" x14ac:dyDescent="0.2">
      <c r="A172" s="22" t="s">
        <v>199</v>
      </c>
      <c r="B172" s="22" t="s">
        <v>29</v>
      </c>
      <c r="C172" s="22" t="s">
        <v>6</v>
      </c>
      <c r="D172">
        <v>2</v>
      </c>
    </row>
    <row r="173" spans="1:4" x14ac:dyDescent="0.2">
      <c r="A173" s="22" t="s">
        <v>200</v>
      </c>
      <c r="B173" s="22" t="s">
        <v>29</v>
      </c>
      <c r="C173" s="22" t="s">
        <v>6</v>
      </c>
      <c r="D173">
        <v>1</v>
      </c>
    </row>
  </sheetData>
  <conditionalFormatting sqref="J31:L31 J33:L33 J35:L35">
    <cfRule type="cellIs" dxfId="7" priority="1" operator="greaterThanOrEqual">
      <formula>0</formula>
    </cfRule>
    <cfRule type="cellIs" dxfId="6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7F42-D45E-9745-BA78-36603440F68B}">
  <dimension ref="A1:M169"/>
  <sheetViews>
    <sheetView workbookViewId="0">
      <selection activeCell="M36" sqref="M36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9" width="7.83203125" bestFit="1" customWidth="1"/>
    <col min="10" max="10" width="15.33203125" bestFit="1" customWidth="1"/>
    <col min="11" max="11" width="15.83203125" bestFit="1" customWidth="1"/>
    <col min="12" max="13" width="15.5" bestFit="1" customWidth="1"/>
    <col min="14" max="14" width="21.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377</v>
      </c>
      <c r="B3">
        <v>664</v>
      </c>
      <c r="C3" t="s">
        <v>6</v>
      </c>
      <c r="D3">
        <v>1</v>
      </c>
      <c r="F3" s="5">
        <v>664</v>
      </c>
      <c r="G3">
        <v>5</v>
      </c>
      <c r="H3">
        <v>264</v>
      </c>
      <c r="I3">
        <v>33</v>
      </c>
      <c r="J3">
        <v>302</v>
      </c>
    </row>
    <row r="4" spans="1:10" x14ac:dyDescent="0.2">
      <c r="A4">
        <v>377</v>
      </c>
      <c r="B4">
        <v>664</v>
      </c>
      <c r="C4" t="s">
        <v>6</v>
      </c>
      <c r="D4">
        <v>1</v>
      </c>
      <c r="F4" s="5">
        <v>710</v>
      </c>
      <c r="I4">
        <v>18</v>
      </c>
      <c r="J4">
        <v>18</v>
      </c>
    </row>
    <row r="5" spans="1:10" x14ac:dyDescent="0.2">
      <c r="A5">
        <v>523</v>
      </c>
      <c r="B5">
        <v>664</v>
      </c>
      <c r="C5" t="s">
        <v>6</v>
      </c>
      <c r="D5">
        <v>1</v>
      </c>
      <c r="F5" s="5" t="s">
        <v>1</v>
      </c>
      <c r="G5">
        <v>5</v>
      </c>
      <c r="H5">
        <v>264</v>
      </c>
      <c r="I5">
        <v>51</v>
      </c>
      <c r="J5">
        <v>320</v>
      </c>
    </row>
    <row r="6" spans="1:10" x14ac:dyDescent="0.2">
      <c r="A6">
        <v>523</v>
      </c>
      <c r="B6">
        <v>664</v>
      </c>
      <c r="C6" t="s">
        <v>6</v>
      </c>
      <c r="D6">
        <v>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892</v>
      </c>
      <c r="B8">
        <v>664</v>
      </c>
      <c r="C8" t="s">
        <v>6</v>
      </c>
      <c r="D8">
        <v>3</v>
      </c>
      <c r="F8" s="5">
        <v>456</v>
      </c>
      <c r="G8">
        <v>18</v>
      </c>
      <c r="H8">
        <v>1</v>
      </c>
      <c r="I8">
        <f>COUNTIF($G$8:$G$128,$H8)</f>
        <v>37</v>
      </c>
      <c r="J8">
        <f>I8*H8</f>
        <v>37</v>
      </c>
    </row>
    <row r="9" spans="1:10" x14ac:dyDescent="0.2">
      <c r="A9">
        <v>451</v>
      </c>
      <c r="B9">
        <v>664</v>
      </c>
      <c r="C9" t="s">
        <v>6</v>
      </c>
      <c r="D9">
        <v>1</v>
      </c>
      <c r="F9" s="5">
        <v>542</v>
      </c>
      <c r="G9">
        <v>11</v>
      </c>
      <c r="H9">
        <v>2</v>
      </c>
      <c r="I9">
        <f t="shared" ref="I9:I26" si="0">COUNTIF($G$8:$G$128,$H9)</f>
        <v>36</v>
      </c>
      <c r="J9">
        <f t="shared" ref="J9:J26" si="1">I9*H9</f>
        <v>72</v>
      </c>
    </row>
    <row r="10" spans="1:10" x14ac:dyDescent="0.2">
      <c r="A10">
        <v>451</v>
      </c>
      <c r="B10">
        <v>664</v>
      </c>
      <c r="C10" t="s">
        <v>6</v>
      </c>
      <c r="D10">
        <v>4</v>
      </c>
      <c r="F10" s="5">
        <v>946</v>
      </c>
      <c r="G10">
        <v>11</v>
      </c>
      <c r="H10">
        <v>3</v>
      </c>
      <c r="I10">
        <f t="shared" si="0"/>
        <v>11</v>
      </c>
      <c r="J10">
        <f t="shared" si="1"/>
        <v>33</v>
      </c>
    </row>
    <row r="11" spans="1:10" x14ac:dyDescent="0.2">
      <c r="A11">
        <v>794</v>
      </c>
      <c r="B11">
        <v>664</v>
      </c>
      <c r="C11" t="s">
        <v>6</v>
      </c>
      <c r="D11">
        <v>1</v>
      </c>
      <c r="F11" s="5">
        <v>839</v>
      </c>
      <c r="G11">
        <v>10</v>
      </c>
      <c r="H11">
        <v>4</v>
      </c>
      <c r="I11">
        <f t="shared" si="0"/>
        <v>12</v>
      </c>
      <c r="J11">
        <f t="shared" si="1"/>
        <v>48</v>
      </c>
    </row>
    <row r="12" spans="1:10" x14ac:dyDescent="0.2">
      <c r="A12">
        <v>395</v>
      </c>
      <c r="B12">
        <v>664</v>
      </c>
      <c r="C12" t="s">
        <v>6</v>
      </c>
      <c r="D12">
        <v>1</v>
      </c>
      <c r="F12" s="5">
        <v>674</v>
      </c>
      <c r="G12">
        <v>9</v>
      </c>
      <c r="H12">
        <v>5</v>
      </c>
      <c r="I12">
        <f t="shared" si="0"/>
        <v>4</v>
      </c>
      <c r="J12">
        <f t="shared" si="1"/>
        <v>20</v>
      </c>
    </row>
    <row r="13" spans="1:10" x14ac:dyDescent="0.2">
      <c r="A13">
        <v>715</v>
      </c>
      <c r="B13">
        <v>664</v>
      </c>
      <c r="C13" t="s">
        <v>6</v>
      </c>
      <c r="D13">
        <v>1</v>
      </c>
      <c r="F13" s="5">
        <v>544</v>
      </c>
      <c r="G13">
        <v>9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301</v>
      </c>
      <c r="B14">
        <v>664</v>
      </c>
      <c r="C14" t="s">
        <v>6</v>
      </c>
      <c r="D14">
        <v>2</v>
      </c>
      <c r="F14" s="5">
        <v>928</v>
      </c>
      <c r="G14">
        <v>8</v>
      </c>
      <c r="H14">
        <v>7</v>
      </c>
      <c r="I14">
        <f t="shared" si="0"/>
        <v>4</v>
      </c>
      <c r="J14">
        <f t="shared" si="1"/>
        <v>28</v>
      </c>
    </row>
    <row r="15" spans="1:10" x14ac:dyDescent="0.2">
      <c r="A15">
        <v>862</v>
      </c>
      <c r="B15">
        <v>664</v>
      </c>
      <c r="C15" t="s">
        <v>6</v>
      </c>
      <c r="D15">
        <v>5</v>
      </c>
      <c r="F15" s="5">
        <v>862</v>
      </c>
      <c r="G15">
        <v>7</v>
      </c>
      <c r="H15">
        <v>8</v>
      </c>
      <c r="I15">
        <f t="shared" si="0"/>
        <v>1</v>
      </c>
      <c r="J15">
        <f t="shared" si="1"/>
        <v>8</v>
      </c>
    </row>
    <row r="16" spans="1:10" x14ac:dyDescent="0.2">
      <c r="A16">
        <v>862</v>
      </c>
      <c r="B16">
        <v>664</v>
      </c>
      <c r="C16" t="s">
        <v>6</v>
      </c>
      <c r="D16">
        <v>2</v>
      </c>
      <c r="F16" s="5">
        <v>213</v>
      </c>
      <c r="G16">
        <v>7</v>
      </c>
      <c r="H16">
        <v>9</v>
      </c>
      <c r="I16">
        <f t="shared" si="0"/>
        <v>2</v>
      </c>
      <c r="J16">
        <f t="shared" si="1"/>
        <v>18</v>
      </c>
    </row>
    <row r="17" spans="1:13" x14ac:dyDescent="0.2">
      <c r="A17">
        <v>771</v>
      </c>
      <c r="B17">
        <v>664</v>
      </c>
      <c r="C17" t="s">
        <v>6</v>
      </c>
      <c r="D17">
        <v>2</v>
      </c>
      <c r="F17" s="5">
        <v>906</v>
      </c>
      <c r="G17">
        <v>7</v>
      </c>
      <c r="H17">
        <v>10</v>
      </c>
      <c r="I17">
        <f t="shared" si="0"/>
        <v>1</v>
      </c>
      <c r="J17">
        <f t="shared" si="1"/>
        <v>10</v>
      </c>
    </row>
    <row r="18" spans="1:13" x14ac:dyDescent="0.2">
      <c r="A18">
        <v>667</v>
      </c>
      <c r="B18">
        <v>664</v>
      </c>
      <c r="C18" t="s">
        <v>6</v>
      </c>
      <c r="D18">
        <v>1</v>
      </c>
      <c r="F18" s="5">
        <v>586</v>
      </c>
      <c r="G18">
        <v>7</v>
      </c>
      <c r="H18">
        <v>11</v>
      </c>
      <c r="I18">
        <f t="shared" si="0"/>
        <v>2</v>
      </c>
      <c r="J18">
        <f t="shared" si="1"/>
        <v>22</v>
      </c>
    </row>
    <row r="19" spans="1:13" x14ac:dyDescent="0.2">
      <c r="A19">
        <v>427</v>
      </c>
      <c r="B19">
        <v>664</v>
      </c>
      <c r="C19" t="s">
        <v>6</v>
      </c>
      <c r="D19">
        <v>2</v>
      </c>
      <c r="F19" s="5">
        <v>727</v>
      </c>
      <c r="G19">
        <v>6</v>
      </c>
      <c r="H19">
        <v>12</v>
      </c>
      <c r="I19">
        <f t="shared" si="0"/>
        <v>0</v>
      </c>
      <c r="J19">
        <f t="shared" si="1"/>
        <v>0</v>
      </c>
    </row>
    <row r="20" spans="1:13" x14ac:dyDescent="0.2">
      <c r="A20">
        <v>125</v>
      </c>
      <c r="B20">
        <v>664</v>
      </c>
      <c r="C20" t="s">
        <v>6</v>
      </c>
      <c r="D20">
        <v>1</v>
      </c>
      <c r="F20" s="5">
        <v>451</v>
      </c>
      <c r="G20">
        <v>5</v>
      </c>
      <c r="H20">
        <v>13</v>
      </c>
      <c r="I20">
        <f t="shared" si="0"/>
        <v>0</v>
      </c>
      <c r="J20">
        <f t="shared" si="1"/>
        <v>0</v>
      </c>
    </row>
    <row r="21" spans="1:13" x14ac:dyDescent="0.2">
      <c r="A21">
        <v>387</v>
      </c>
      <c r="B21">
        <v>664</v>
      </c>
      <c r="C21" t="s">
        <v>6</v>
      </c>
      <c r="D21">
        <v>1</v>
      </c>
      <c r="F21" s="5">
        <v>421</v>
      </c>
      <c r="G21">
        <v>5</v>
      </c>
      <c r="H21">
        <v>14</v>
      </c>
      <c r="I21">
        <f t="shared" si="0"/>
        <v>0</v>
      </c>
      <c r="J21">
        <f t="shared" si="1"/>
        <v>0</v>
      </c>
    </row>
    <row r="22" spans="1:13" x14ac:dyDescent="0.2">
      <c r="A22">
        <v>456</v>
      </c>
      <c r="B22">
        <v>664</v>
      </c>
      <c r="C22" t="s">
        <v>6</v>
      </c>
      <c r="D22">
        <v>2</v>
      </c>
      <c r="F22" s="5">
        <v>897</v>
      </c>
      <c r="G22">
        <v>5</v>
      </c>
      <c r="H22">
        <v>15</v>
      </c>
      <c r="I22">
        <f t="shared" si="0"/>
        <v>0</v>
      </c>
      <c r="J22">
        <f t="shared" si="1"/>
        <v>0</v>
      </c>
    </row>
    <row r="23" spans="1:13" x14ac:dyDescent="0.2">
      <c r="A23">
        <v>79</v>
      </c>
      <c r="B23">
        <v>664</v>
      </c>
      <c r="C23" t="s">
        <v>6</v>
      </c>
      <c r="D23">
        <v>1</v>
      </c>
      <c r="F23" s="5">
        <v>513</v>
      </c>
      <c r="G23">
        <v>5</v>
      </c>
      <c r="H23">
        <v>16</v>
      </c>
      <c r="I23">
        <f t="shared" si="0"/>
        <v>0</v>
      </c>
      <c r="J23">
        <f t="shared" si="1"/>
        <v>0</v>
      </c>
    </row>
    <row r="24" spans="1:13" x14ac:dyDescent="0.2">
      <c r="A24">
        <v>131</v>
      </c>
      <c r="B24">
        <v>664</v>
      </c>
      <c r="C24" t="s">
        <v>6</v>
      </c>
      <c r="D24">
        <v>1</v>
      </c>
      <c r="F24" s="5">
        <v>699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3" x14ac:dyDescent="0.2">
      <c r="A25">
        <v>705</v>
      </c>
      <c r="B25">
        <v>710</v>
      </c>
      <c r="C25" t="s">
        <v>5</v>
      </c>
      <c r="D25">
        <v>1</v>
      </c>
      <c r="F25" s="5">
        <v>892</v>
      </c>
      <c r="G25">
        <v>4</v>
      </c>
      <c r="H25">
        <v>18</v>
      </c>
      <c r="I25">
        <f t="shared" si="0"/>
        <v>1</v>
      </c>
      <c r="J25">
        <f t="shared" si="1"/>
        <v>18</v>
      </c>
    </row>
    <row r="26" spans="1:13" x14ac:dyDescent="0.2">
      <c r="A26">
        <v>386</v>
      </c>
      <c r="B26">
        <v>664</v>
      </c>
      <c r="C26" t="s">
        <v>6</v>
      </c>
      <c r="D26">
        <v>1</v>
      </c>
      <c r="F26" s="5">
        <v>753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3" x14ac:dyDescent="0.2">
      <c r="A27">
        <v>699</v>
      </c>
      <c r="B27">
        <v>664</v>
      </c>
      <c r="C27" t="s">
        <v>6</v>
      </c>
      <c r="D27">
        <v>3</v>
      </c>
      <c r="F27" s="5">
        <v>263</v>
      </c>
      <c r="G27">
        <v>4</v>
      </c>
      <c r="I27" s="6"/>
      <c r="J27">
        <f>SUM(J8:J26)/SUM(I8:I26)</f>
        <v>2.8571428571428572</v>
      </c>
    </row>
    <row r="28" spans="1:13" x14ac:dyDescent="0.2">
      <c r="A28">
        <v>699</v>
      </c>
      <c r="B28">
        <v>664</v>
      </c>
      <c r="C28" t="s">
        <v>6</v>
      </c>
      <c r="D28">
        <v>1</v>
      </c>
      <c r="F28" s="5">
        <v>676</v>
      </c>
      <c r="G28">
        <v>4</v>
      </c>
      <c r="I28" s="6"/>
      <c r="J28" s="6"/>
    </row>
    <row r="29" spans="1:13" x14ac:dyDescent="0.2">
      <c r="A29">
        <v>812</v>
      </c>
      <c r="B29">
        <v>664</v>
      </c>
      <c r="C29" t="s">
        <v>6</v>
      </c>
      <c r="D29">
        <v>2</v>
      </c>
      <c r="F29" s="5">
        <v>337</v>
      </c>
      <c r="G29">
        <v>4</v>
      </c>
      <c r="H29" s="24"/>
      <c r="I29" s="25" t="s">
        <v>206</v>
      </c>
      <c r="J29" s="25" t="s">
        <v>207</v>
      </c>
      <c r="K29" s="24" t="s">
        <v>208</v>
      </c>
      <c r="L29" s="24" t="s">
        <v>209</v>
      </c>
      <c r="M29" s="24" t="s">
        <v>212</v>
      </c>
    </row>
    <row r="30" spans="1:13" x14ac:dyDescent="0.2">
      <c r="A30">
        <v>538</v>
      </c>
      <c r="B30">
        <v>664</v>
      </c>
      <c r="C30" t="s">
        <v>6</v>
      </c>
      <c r="D30">
        <v>1</v>
      </c>
      <c r="F30" s="5">
        <v>748</v>
      </c>
      <c r="G30">
        <v>4</v>
      </c>
      <c r="H30" s="24" t="s">
        <v>203</v>
      </c>
      <c r="I30" s="25">
        <v>235</v>
      </c>
      <c r="J30" s="25">
        <v>171</v>
      </c>
      <c r="K30" s="24">
        <v>137</v>
      </c>
      <c r="L30" s="24">
        <v>121</v>
      </c>
      <c r="M30" s="24">
        <f>SUM(I8:I26)</f>
        <v>112</v>
      </c>
    </row>
    <row r="31" spans="1:13" x14ac:dyDescent="0.2">
      <c r="A31">
        <v>421</v>
      </c>
      <c r="B31">
        <v>664</v>
      </c>
      <c r="C31" t="s">
        <v>6</v>
      </c>
      <c r="D31">
        <v>3</v>
      </c>
      <c r="F31" s="5">
        <v>500</v>
      </c>
      <c r="G31">
        <v>4</v>
      </c>
      <c r="H31" s="24" t="s">
        <v>211</v>
      </c>
      <c r="I31" s="26" t="s">
        <v>210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  <c r="M31" s="27">
        <f>(M30/L30)-1</f>
        <v>-7.4380165289256173E-2</v>
      </c>
    </row>
    <row r="32" spans="1:13" x14ac:dyDescent="0.2">
      <c r="A32">
        <v>421</v>
      </c>
      <c r="B32">
        <v>664</v>
      </c>
      <c r="C32" t="s">
        <v>6</v>
      </c>
      <c r="D32">
        <v>2</v>
      </c>
      <c r="F32" s="5">
        <v>230</v>
      </c>
      <c r="G32">
        <v>4</v>
      </c>
      <c r="H32" s="24" t="s">
        <v>204</v>
      </c>
      <c r="I32" s="25">
        <v>764</v>
      </c>
      <c r="J32" s="25">
        <v>447</v>
      </c>
      <c r="K32" s="24">
        <v>329</v>
      </c>
      <c r="L32" s="24">
        <v>303</v>
      </c>
      <c r="M32" s="24">
        <f>SUM(J8:J26)</f>
        <v>320</v>
      </c>
    </row>
    <row r="33" spans="1:13" x14ac:dyDescent="0.2">
      <c r="A33">
        <v>537</v>
      </c>
      <c r="B33">
        <v>664</v>
      </c>
      <c r="C33" t="s">
        <v>6</v>
      </c>
      <c r="D33">
        <v>1</v>
      </c>
      <c r="F33" s="5">
        <v>532</v>
      </c>
      <c r="G33">
        <v>4</v>
      </c>
      <c r="H33" s="24" t="s">
        <v>211</v>
      </c>
      <c r="I33" s="26" t="s">
        <v>210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  <c r="M33" s="27">
        <f>(M32/L32)-1</f>
        <v>5.6105610561056007E-2</v>
      </c>
    </row>
    <row r="34" spans="1:13" x14ac:dyDescent="0.2">
      <c r="A34">
        <v>537</v>
      </c>
      <c r="B34">
        <v>664</v>
      </c>
      <c r="C34" t="s">
        <v>6</v>
      </c>
      <c r="D34">
        <v>1</v>
      </c>
      <c r="F34" s="5">
        <v>653</v>
      </c>
      <c r="G34">
        <v>4</v>
      </c>
      <c r="H34" s="24" t="s">
        <v>205</v>
      </c>
      <c r="I34" s="28">
        <f>I32/I30</f>
        <v>3.2510638297872338</v>
      </c>
      <c r="J34" s="28">
        <f t="shared" ref="J34:M34" si="2">J32/J30</f>
        <v>2.6140350877192984</v>
      </c>
      <c r="K34" s="28">
        <f t="shared" si="2"/>
        <v>2.4014598540145986</v>
      </c>
      <c r="L34" s="28">
        <f t="shared" si="2"/>
        <v>2.5041322314049586</v>
      </c>
      <c r="M34" s="28">
        <f t="shared" si="2"/>
        <v>2.8571428571428572</v>
      </c>
    </row>
    <row r="35" spans="1:13" x14ac:dyDescent="0.2">
      <c r="A35">
        <v>674</v>
      </c>
      <c r="B35">
        <v>664</v>
      </c>
      <c r="C35" t="s">
        <v>5</v>
      </c>
      <c r="D35">
        <v>2</v>
      </c>
      <c r="F35" s="5">
        <v>174</v>
      </c>
      <c r="G35">
        <v>4</v>
      </c>
      <c r="H35" s="24" t="s">
        <v>211</v>
      </c>
      <c r="I35" s="26" t="s">
        <v>210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  <c r="M35" s="27">
        <f>(M34/L34)-1</f>
        <v>0.14097123998114114</v>
      </c>
    </row>
    <row r="36" spans="1:13" x14ac:dyDescent="0.2">
      <c r="A36">
        <v>674</v>
      </c>
      <c r="B36">
        <v>664</v>
      </c>
      <c r="C36" t="s">
        <v>5</v>
      </c>
      <c r="D36">
        <v>2</v>
      </c>
      <c r="F36" s="5">
        <v>705</v>
      </c>
      <c r="G36">
        <v>3</v>
      </c>
    </row>
    <row r="37" spans="1:13" x14ac:dyDescent="0.2">
      <c r="A37">
        <v>879</v>
      </c>
      <c r="B37">
        <v>664</v>
      </c>
      <c r="C37" t="s">
        <v>6</v>
      </c>
      <c r="D37">
        <v>1</v>
      </c>
      <c r="F37" s="5">
        <v>226</v>
      </c>
      <c r="G37">
        <v>3</v>
      </c>
    </row>
    <row r="38" spans="1:13" x14ac:dyDescent="0.2">
      <c r="A38">
        <v>795</v>
      </c>
      <c r="B38">
        <v>664</v>
      </c>
      <c r="C38" t="s">
        <v>6</v>
      </c>
      <c r="D38">
        <v>1</v>
      </c>
      <c r="F38" s="5">
        <v>747</v>
      </c>
      <c r="G38">
        <v>3</v>
      </c>
    </row>
    <row r="39" spans="1:13" x14ac:dyDescent="0.2">
      <c r="A39">
        <v>967</v>
      </c>
      <c r="B39">
        <v>664</v>
      </c>
      <c r="C39" t="s">
        <v>6</v>
      </c>
      <c r="D39">
        <v>1</v>
      </c>
      <c r="F39" s="5">
        <v>965</v>
      </c>
      <c r="G39">
        <v>3</v>
      </c>
    </row>
    <row r="40" spans="1:13" x14ac:dyDescent="0.2">
      <c r="A40">
        <v>967</v>
      </c>
      <c r="B40">
        <v>664</v>
      </c>
      <c r="C40" t="s">
        <v>6</v>
      </c>
      <c r="D40">
        <v>1</v>
      </c>
      <c r="F40" s="5">
        <v>11</v>
      </c>
      <c r="G40">
        <v>3</v>
      </c>
    </row>
    <row r="41" spans="1:13" x14ac:dyDescent="0.2">
      <c r="A41">
        <v>788</v>
      </c>
      <c r="B41">
        <v>664</v>
      </c>
      <c r="C41" t="s">
        <v>6</v>
      </c>
      <c r="D41">
        <v>2</v>
      </c>
      <c r="F41" s="5">
        <v>537</v>
      </c>
      <c r="G41">
        <v>3</v>
      </c>
    </row>
    <row r="42" spans="1:13" x14ac:dyDescent="0.2">
      <c r="A42">
        <v>871</v>
      </c>
      <c r="B42">
        <v>664</v>
      </c>
      <c r="C42" t="s">
        <v>6</v>
      </c>
      <c r="D42">
        <v>2</v>
      </c>
      <c r="F42" s="5">
        <v>9</v>
      </c>
      <c r="G42">
        <v>3</v>
      </c>
    </row>
    <row r="43" spans="1:13" x14ac:dyDescent="0.2">
      <c r="A43">
        <v>674</v>
      </c>
      <c r="B43">
        <v>664</v>
      </c>
      <c r="C43" t="s">
        <v>6</v>
      </c>
      <c r="D43">
        <v>3</v>
      </c>
      <c r="F43" s="5">
        <v>173</v>
      </c>
      <c r="G43">
        <v>3</v>
      </c>
    </row>
    <row r="44" spans="1:13" x14ac:dyDescent="0.2">
      <c r="A44">
        <v>674</v>
      </c>
      <c r="B44">
        <v>664</v>
      </c>
      <c r="C44" t="s">
        <v>6</v>
      </c>
      <c r="D44">
        <v>2</v>
      </c>
      <c r="F44" s="5">
        <v>411</v>
      </c>
      <c r="G44">
        <v>3</v>
      </c>
    </row>
    <row r="45" spans="1:13" x14ac:dyDescent="0.2">
      <c r="A45">
        <v>800</v>
      </c>
      <c r="B45">
        <v>664</v>
      </c>
      <c r="C45" t="s">
        <v>6</v>
      </c>
      <c r="D45">
        <v>1</v>
      </c>
      <c r="F45" s="5">
        <v>238</v>
      </c>
      <c r="G45">
        <v>3</v>
      </c>
    </row>
    <row r="46" spans="1:13" x14ac:dyDescent="0.2">
      <c r="A46">
        <v>544</v>
      </c>
      <c r="B46">
        <v>664</v>
      </c>
      <c r="C46" t="s">
        <v>6</v>
      </c>
      <c r="D46">
        <v>3</v>
      </c>
      <c r="F46" s="5">
        <v>821</v>
      </c>
      <c r="G46">
        <v>3</v>
      </c>
    </row>
    <row r="47" spans="1:13" x14ac:dyDescent="0.2">
      <c r="A47">
        <v>544</v>
      </c>
      <c r="B47">
        <v>664</v>
      </c>
      <c r="C47" t="s">
        <v>6</v>
      </c>
      <c r="D47">
        <v>2</v>
      </c>
      <c r="F47" s="5">
        <v>336</v>
      </c>
      <c r="G47">
        <v>2</v>
      </c>
    </row>
    <row r="48" spans="1:13" x14ac:dyDescent="0.2">
      <c r="A48">
        <v>245</v>
      </c>
      <c r="B48">
        <v>664</v>
      </c>
      <c r="C48" t="s">
        <v>7</v>
      </c>
      <c r="D48">
        <v>2</v>
      </c>
      <c r="F48" s="5">
        <v>679</v>
      </c>
      <c r="G48">
        <v>2</v>
      </c>
    </row>
    <row r="49" spans="1:7" x14ac:dyDescent="0.2">
      <c r="A49">
        <v>676</v>
      </c>
      <c r="B49">
        <v>664</v>
      </c>
      <c r="C49" t="s">
        <v>6</v>
      </c>
      <c r="D49">
        <v>3</v>
      </c>
      <c r="F49" s="5">
        <v>771</v>
      </c>
      <c r="G49">
        <v>2</v>
      </c>
    </row>
    <row r="50" spans="1:7" x14ac:dyDescent="0.2">
      <c r="A50">
        <v>676</v>
      </c>
      <c r="B50">
        <v>664</v>
      </c>
      <c r="C50" t="s">
        <v>6</v>
      </c>
      <c r="D50">
        <v>1</v>
      </c>
      <c r="F50" s="5">
        <v>36</v>
      </c>
      <c r="G50">
        <v>2</v>
      </c>
    </row>
    <row r="51" spans="1:7" x14ac:dyDescent="0.2">
      <c r="A51">
        <v>11</v>
      </c>
      <c r="B51">
        <v>664</v>
      </c>
      <c r="C51" t="s">
        <v>6</v>
      </c>
      <c r="D51">
        <v>1</v>
      </c>
      <c r="F51" s="5">
        <v>152</v>
      </c>
      <c r="G51">
        <v>2</v>
      </c>
    </row>
    <row r="52" spans="1:7" x14ac:dyDescent="0.2">
      <c r="A52">
        <v>11</v>
      </c>
      <c r="B52">
        <v>664</v>
      </c>
      <c r="C52" t="s">
        <v>6</v>
      </c>
      <c r="D52">
        <v>2</v>
      </c>
      <c r="F52" s="5">
        <v>237</v>
      </c>
      <c r="G52">
        <v>2</v>
      </c>
    </row>
    <row r="53" spans="1:7" x14ac:dyDescent="0.2">
      <c r="A53">
        <v>374</v>
      </c>
      <c r="B53">
        <v>664</v>
      </c>
      <c r="C53" t="s">
        <v>6</v>
      </c>
      <c r="D53">
        <v>1</v>
      </c>
      <c r="F53" s="5">
        <v>534</v>
      </c>
      <c r="G53">
        <v>2</v>
      </c>
    </row>
    <row r="54" spans="1:7" x14ac:dyDescent="0.2">
      <c r="A54">
        <v>866</v>
      </c>
      <c r="B54">
        <v>664</v>
      </c>
      <c r="C54" t="s">
        <v>6</v>
      </c>
      <c r="D54">
        <v>1</v>
      </c>
      <c r="F54" s="5">
        <v>100</v>
      </c>
      <c r="G54">
        <v>2</v>
      </c>
    </row>
    <row r="55" spans="1:7" x14ac:dyDescent="0.2">
      <c r="A55">
        <v>213</v>
      </c>
      <c r="B55">
        <v>664</v>
      </c>
      <c r="C55" t="s">
        <v>6</v>
      </c>
      <c r="D55">
        <v>5</v>
      </c>
      <c r="F55" s="5">
        <v>795</v>
      </c>
      <c r="G55">
        <v>2</v>
      </c>
    </row>
    <row r="56" spans="1:7" x14ac:dyDescent="0.2">
      <c r="A56">
        <v>213</v>
      </c>
      <c r="B56">
        <v>664</v>
      </c>
      <c r="C56" t="s">
        <v>6</v>
      </c>
      <c r="D56">
        <v>2</v>
      </c>
      <c r="F56" s="5">
        <v>933</v>
      </c>
      <c r="G56">
        <v>2</v>
      </c>
    </row>
    <row r="57" spans="1:7" x14ac:dyDescent="0.2">
      <c r="A57">
        <v>965</v>
      </c>
      <c r="B57">
        <v>664</v>
      </c>
      <c r="C57" t="s">
        <v>6</v>
      </c>
      <c r="D57">
        <v>1</v>
      </c>
      <c r="F57" s="5">
        <v>390</v>
      </c>
      <c r="G57">
        <v>2</v>
      </c>
    </row>
    <row r="58" spans="1:7" x14ac:dyDescent="0.2">
      <c r="A58">
        <v>9</v>
      </c>
      <c r="B58">
        <v>664</v>
      </c>
      <c r="C58" t="s">
        <v>6</v>
      </c>
      <c r="D58">
        <v>1</v>
      </c>
      <c r="F58" s="5">
        <v>812</v>
      </c>
      <c r="G58">
        <v>2</v>
      </c>
    </row>
    <row r="59" spans="1:7" x14ac:dyDescent="0.2">
      <c r="A59">
        <v>9</v>
      </c>
      <c r="B59">
        <v>664</v>
      </c>
      <c r="C59" t="s">
        <v>6</v>
      </c>
      <c r="D59">
        <v>2</v>
      </c>
      <c r="F59" s="5">
        <v>437</v>
      </c>
      <c r="G59">
        <v>2</v>
      </c>
    </row>
    <row r="60" spans="1:7" x14ac:dyDescent="0.2">
      <c r="A60">
        <v>544</v>
      </c>
      <c r="B60">
        <v>710</v>
      </c>
      <c r="C60" t="s">
        <v>5</v>
      </c>
      <c r="D60">
        <v>4</v>
      </c>
      <c r="F60" s="5">
        <v>478</v>
      </c>
      <c r="G60">
        <v>2</v>
      </c>
    </row>
    <row r="61" spans="1:7" x14ac:dyDescent="0.2">
      <c r="A61">
        <v>310</v>
      </c>
      <c r="B61">
        <v>664</v>
      </c>
      <c r="C61" t="s">
        <v>6</v>
      </c>
      <c r="D61">
        <v>1</v>
      </c>
      <c r="F61" s="5">
        <v>403</v>
      </c>
      <c r="G61">
        <v>2</v>
      </c>
    </row>
    <row r="62" spans="1:7" x14ac:dyDescent="0.2">
      <c r="A62">
        <v>785</v>
      </c>
      <c r="B62">
        <v>664</v>
      </c>
      <c r="C62" t="s">
        <v>6</v>
      </c>
      <c r="D62">
        <v>1</v>
      </c>
      <c r="F62" s="5">
        <v>310</v>
      </c>
      <c r="G62">
        <v>2</v>
      </c>
    </row>
    <row r="63" spans="1:7" x14ac:dyDescent="0.2">
      <c r="A63">
        <v>440</v>
      </c>
      <c r="B63">
        <v>664</v>
      </c>
      <c r="C63" t="s">
        <v>6</v>
      </c>
      <c r="D63">
        <v>1</v>
      </c>
      <c r="F63" s="5">
        <v>757</v>
      </c>
      <c r="G63">
        <v>2</v>
      </c>
    </row>
    <row r="64" spans="1:7" x14ac:dyDescent="0.2">
      <c r="A64">
        <v>440</v>
      </c>
      <c r="B64">
        <v>664</v>
      </c>
      <c r="C64" t="s">
        <v>6</v>
      </c>
      <c r="D64">
        <v>1</v>
      </c>
      <c r="F64" s="5">
        <v>424</v>
      </c>
      <c r="G64">
        <v>2</v>
      </c>
    </row>
    <row r="65" spans="1:7" x14ac:dyDescent="0.2">
      <c r="A65">
        <v>693</v>
      </c>
      <c r="B65">
        <v>664</v>
      </c>
      <c r="C65" t="s">
        <v>6</v>
      </c>
      <c r="D65">
        <v>1</v>
      </c>
      <c r="F65" s="5">
        <v>788</v>
      </c>
      <c r="G65">
        <v>2</v>
      </c>
    </row>
    <row r="66" spans="1:7" x14ac:dyDescent="0.2">
      <c r="A66">
        <v>424</v>
      </c>
      <c r="B66">
        <v>664</v>
      </c>
      <c r="C66" t="s">
        <v>6</v>
      </c>
      <c r="D66">
        <v>2</v>
      </c>
      <c r="F66" s="5">
        <v>191</v>
      </c>
      <c r="G66">
        <v>2</v>
      </c>
    </row>
    <row r="67" spans="1:7" x14ac:dyDescent="0.2">
      <c r="A67">
        <v>679</v>
      </c>
      <c r="B67">
        <v>664</v>
      </c>
      <c r="C67" t="s">
        <v>6</v>
      </c>
      <c r="D67">
        <v>1</v>
      </c>
      <c r="F67" s="5">
        <v>440</v>
      </c>
      <c r="G67">
        <v>2</v>
      </c>
    </row>
    <row r="68" spans="1:7" x14ac:dyDescent="0.2">
      <c r="A68">
        <v>679</v>
      </c>
      <c r="B68">
        <v>664</v>
      </c>
      <c r="C68" t="s">
        <v>6</v>
      </c>
      <c r="D68">
        <v>1</v>
      </c>
      <c r="F68" s="5">
        <v>377</v>
      </c>
      <c r="G68">
        <v>2</v>
      </c>
    </row>
    <row r="69" spans="1:7" x14ac:dyDescent="0.2">
      <c r="A69">
        <v>500</v>
      </c>
      <c r="B69">
        <v>710</v>
      </c>
      <c r="C69" t="s">
        <v>5</v>
      </c>
      <c r="D69">
        <v>2</v>
      </c>
      <c r="F69" s="5">
        <v>593</v>
      </c>
      <c r="G69">
        <v>2</v>
      </c>
    </row>
    <row r="70" spans="1:7" x14ac:dyDescent="0.2">
      <c r="A70">
        <v>772</v>
      </c>
      <c r="B70">
        <v>664</v>
      </c>
      <c r="C70" t="s">
        <v>6</v>
      </c>
      <c r="D70">
        <v>1</v>
      </c>
      <c r="F70" s="5">
        <v>861</v>
      </c>
      <c r="G70">
        <v>2</v>
      </c>
    </row>
    <row r="71" spans="1:7" x14ac:dyDescent="0.2">
      <c r="A71">
        <v>906</v>
      </c>
      <c r="B71">
        <v>664</v>
      </c>
      <c r="C71" t="s">
        <v>6</v>
      </c>
      <c r="D71">
        <v>6</v>
      </c>
      <c r="F71" s="5">
        <v>595</v>
      </c>
      <c r="G71">
        <v>2</v>
      </c>
    </row>
    <row r="72" spans="1:7" x14ac:dyDescent="0.2">
      <c r="A72">
        <v>906</v>
      </c>
      <c r="B72">
        <v>664</v>
      </c>
      <c r="C72" t="s">
        <v>6</v>
      </c>
      <c r="D72">
        <v>1</v>
      </c>
      <c r="F72" s="5">
        <v>871</v>
      </c>
      <c r="G72">
        <v>2</v>
      </c>
    </row>
    <row r="73" spans="1:7" x14ac:dyDescent="0.2">
      <c r="A73">
        <v>861</v>
      </c>
      <c r="B73">
        <v>664</v>
      </c>
      <c r="C73" t="s">
        <v>6</v>
      </c>
      <c r="D73">
        <v>2</v>
      </c>
      <c r="F73" s="5">
        <v>640</v>
      </c>
      <c r="G73">
        <v>2</v>
      </c>
    </row>
    <row r="74" spans="1:7" x14ac:dyDescent="0.2">
      <c r="A74">
        <v>586</v>
      </c>
      <c r="B74">
        <v>710</v>
      </c>
      <c r="C74" t="s">
        <v>5</v>
      </c>
      <c r="D74">
        <v>4</v>
      </c>
      <c r="F74" s="5">
        <v>427</v>
      </c>
      <c r="G74">
        <v>2</v>
      </c>
    </row>
    <row r="75" spans="1:7" x14ac:dyDescent="0.2">
      <c r="A75">
        <v>586</v>
      </c>
      <c r="B75">
        <v>710</v>
      </c>
      <c r="C75" t="s">
        <v>5</v>
      </c>
      <c r="D75">
        <v>2</v>
      </c>
      <c r="F75" s="5">
        <v>301</v>
      </c>
      <c r="G75">
        <v>2</v>
      </c>
    </row>
    <row r="76" spans="1:7" x14ac:dyDescent="0.2">
      <c r="A76">
        <v>586</v>
      </c>
      <c r="B76">
        <v>664</v>
      </c>
      <c r="C76" t="s">
        <v>5</v>
      </c>
      <c r="D76">
        <v>1</v>
      </c>
      <c r="F76" s="5">
        <v>241</v>
      </c>
      <c r="G76">
        <v>2</v>
      </c>
    </row>
    <row r="77" spans="1:7" x14ac:dyDescent="0.2">
      <c r="A77">
        <v>542</v>
      </c>
      <c r="B77">
        <v>664</v>
      </c>
      <c r="C77" t="s">
        <v>6</v>
      </c>
      <c r="D77">
        <v>2</v>
      </c>
      <c r="F77" s="5">
        <v>584</v>
      </c>
      <c r="G77">
        <v>2</v>
      </c>
    </row>
    <row r="78" spans="1:7" x14ac:dyDescent="0.2">
      <c r="A78">
        <v>542</v>
      </c>
      <c r="B78">
        <v>664</v>
      </c>
      <c r="C78" t="s">
        <v>6</v>
      </c>
      <c r="D78">
        <v>5</v>
      </c>
      <c r="F78" s="5">
        <v>245</v>
      </c>
      <c r="G78">
        <v>2</v>
      </c>
    </row>
    <row r="79" spans="1:7" x14ac:dyDescent="0.2">
      <c r="A79">
        <v>7</v>
      </c>
      <c r="B79">
        <v>664</v>
      </c>
      <c r="C79" t="s">
        <v>6</v>
      </c>
      <c r="D79">
        <v>1</v>
      </c>
      <c r="F79" s="5">
        <v>187</v>
      </c>
      <c r="G79">
        <v>2</v>
      </c>
    </row>
    <row r="80" spans="1:7" x14ac:dyDescent="0.2">
      <c r="A80">
        <v>390</v>
      </c>
      <c r="B80">
        <v>664</v>
      </c>
      <c r="C80" t="s">
        <v>6</v>
      </c>
      <c r="D80">
        <v>1</v>
      </c>
      <c r="F80" s="5">
        <v>967</v>
      </c>
      <c r="G80">
        <v>2</v>
      </c>
    </row>
    <row r="81" spans="1:7" x14ac:dyDescent="0.2">
      <c r="A81">
        <v>390</v>
      </c>
      <c r="B81">
        <v>664</v>
      </c>
      <c r="C81" t="s">
        <v>6</v>
      </c>
      <c r="D81">
        <v>1</v>
      </c>
      <c r="F81" s="5">
        <v>523</v>
      </c>
      <c r="G81">
        <v>2</v>
      </c>
    </row>
    <row r="82" spans="1:7" x14ac:dyDescent="0.2">
      <c r="A82">
        <v>132</v>
      </c>
      <c r="B82">
        <v>664</v>
      </c>
      <c r="C82" t="s">
        <v>6</v>
      </c>
      <c r="D82">
        <v>1</v>
      </c>
      <c r="F82" s="5">
        <v>526</v>
      </c>
      <c r="G82">
        <v>2</v>
      </c>
    </row>
    <row r="83" spans="1:7" x14ac:dyDescent="0.2">
      <c r="A83">
        <v>897</v>
      </c>
      <c r="B83">
        <v>664</v>
      </c>
      <c r="C83" t="s">
        <v>6</v>
      </c>
      <c r="D83">
        <v>5</v>
      </c>
      <c r="F83" s="5">
        <v>125</v>
      </c>
      <c r="G83">
        <v>1</v>
      </c>
    </row>
    <row r="84" spans="1:7" x14ac:dyDescent="0.2">
      <c r="A84">
        <v>526</v>
      </c>
      <c r="B84">
        <v>664</v>
      </c>
      <c r="C84" t="s">
        <v>6</v>
      </c>
      <c r="D84">
        <v>1</v>
      </c>
      <c r="F84" s="5">
        <v>79</v>
      </c>
      <c r="G84">
        <v>1</v>
      </c>
    </row>
    <row r="85" spans="1:7" x14ac:dyDescent="0.2">
      <c r="A85">
        <v>526</v>
      </c>
      <c r="B85">
        <v>664</v>
      </c>
      <c r="C85" t="s">
        <v>6</v>
      </c>
      <c r="D85">
        <v>1</v>
      </c>
      <c r="F85" s="5">
        <v>833</v>
      </c>
      <c r="G85">
        <v>1</v>
      </c>
    </row>
    <row r="86" spans="1:7" x14ac:dyDescent="0.2">
      <c r="A86">
        <v>456</v>
      </c>
      <c r="B86">
        <v>664</v>
      </c>
      <c r="C86" t="s">
        <v>5</v>
      </c>
      <c r="D86">
        <v>8</v>
      </c>
      <c r="F86" s="5">
        <v>386</v>
      </c>
      <c r="G86">
        <v>1</v>
      </c>
    </row>
    <row r="87" spans="1:7" x14ac:dyDescent="0.2">
      <c r="A87">
        <v>456</v>
      </c>
      <c r="B87">
        <v>664</v>
      </c>
      <c r="C87" t="s">
        <v>5</v>
      </c>
      <c r="D87">
        <v>8</v>
      </c>
      <c r="F87" s="5">
        <v>192</v>
      </c>
      <c r="G87">
        <v>1</v>
      </c>
    </row>
    <row r="88" spans="1:7" x14ac:dyDescent="0.2">
      <c r="A88">
        <v>263</v>
      </c>
      <c r="B88">
        <v>664</v>
      </c>
      <c r="C88" t="s">
        <v>6</v>
      </c>
      <c r="D88">
        <v>4</v>
      </c>
      <c r="F88" s="5">
        <v>715</v>
      </c>
      <c r="G88">
        <v>1</v>
      </c>
    </row>
    <row r="89" spans="1:7" x14ac:dyDescent="0.2">
      <c r="A89">
        <v>705</v>
      </c>
      <c r="B89">
        <v>664</v>
      </c>
      <c r="C89" t="s">
        <v>6</v>
      </c>
      <c r="D89">
        <v>2</v>
      </c>
      <c r="F89" s="5">
        <v>693</v>
      </c>
      <c r="G89">
        <v>1</v>
      </c>
    </row>
    <row r="90" spans="1:7" x14ac:dyDescent="0.2">
      <c r="A90">
        <v>516</v>
      </c>
      <c r="B90">
        <v>664</v>
      </c>
      <c r="C90" t="s">
        <v>7</v>
      </c>
      <c r="D90">
        <v>1</v>
      </c>
      <c r="F90" s="5">
        <v>725</v>
      </c>
      <c r="G90">
        <v>1</v>
      </c>
    </row>
    <row r="91" spans="1:7" x14ac:dyDescent="0.2">
      <c r="A91">
        <v>537</v>
      </c>
      <c r="B91">
        <v>664</v>
      </c>
      <c r="C91" t="s">
        <v>5</v>
      </c>
      <c r="D91">
        <v>1</v>
      </c>
      <c r="F91" s="5">
        <v>39</v>
      </c>
      <c r="G91">
        <v>1</v>
      </c>
    </row>
    <row r="92" spans="1:7" x14ac:dyDescent="0.2">
      <c r="A92">
        <v>310</v>
      </c>
      <c r="B92">
        <v>710</v>
      </c>
      <c r="C92" t="s">
        <v>5</v>
      </c>
      <c r="D92">
        <v>1</v>
      </c>
      <c r="F92" s="5">
        <v>516</v>
      </c>
      <c r="G92">
        <v>1</v>
      </c>
    </row>
    <row r="93" spans="1:7" x14ac:dyDescent="0.2">
      <c r="A93">
        <v>437</v>
      </c>
      <c r="B93">
        <v>664</v>
      </c>
      <c r="C93" t="s">
        <v>6</v>
      </c>
      <c r="D93">
        <v>1</v>
      </c>
      <c r="F93" s="5">
        <v>83</v>
      </c>
      <c r="G93">
        <v>1</v>
      </c>
    </row>
    <row r="94" spans="1:7" x14ac:dyDescent="0.2">
      <c r="A94">
        <v>437</v>
      </c>
      <c r="B94">
        <v>664</v>
      </c>
      <c r="C94" t="s">
        <v>6</v>
      </c>
      <c r="D94">
        <v>1</v>
      </c>
      <c r="F94" s="5">
        <v>387</v>
      </c>
      <c r="G94">
        <v>1</v>
      </c>
    </row>
    <row r="95" spans="1:7" x14ac:dyDescent="0.2">
      <c r="A95">
        <v>83</v>
      </c>
      <c r="B95">
        <v>664</v>
      </c>
      <c r="C95" t="s">
        <v>6</v>
      </c>
      <c r="D95">
        <v>1</v>
      </c>
      <c r="F95" s="5">
        <v>27</v>
      </c>
      <c r="G95">
        <v>1</v>
      </c>
    </row>
    <row r="96" spans="1:7" x14ac:dyDescent="0.2">
      <c r="A96">
        <v>18</v>
      </c>
      <c r="B96">
        <v>664</v>
      </c>
      <c r="C96" t="s">
        <v>6</v>
      </c>
      <c r="D96">
        <v>1</v>
      </c>
      <c r="F96" s="5">
        <v>7</v>
      </c>
      <c r="G96">
        <v>1</v>
      </c>
    </row>
    <row r="97" spans="1:7" x14ac:dyDescent="0.2">
      <c r="A97">
        <v>534</v>
      </c>
      <c r="B97">
        <v>664</v>
      </c>
      <c r="C97" t="s">
        <v>6</v>
      </c>
      <c r="D97">
        <v>2</v>
      </c>
      <c r="F97" s="5">
        <v>947</v>
      </c>
      <c r="G97">
        <v>1</v>
      </c>
    </row>
    <row r="98" spans="1:7" x14ac:dyDescent="0.2">
      <c r="A98">
        <v>946</v>
      </c>
      <c r="B98">
        <v>710</v>
      </c>
      <c r="C98" t="s">
        <v>5</v>
      </c>
      <c r="D98">
        <v>2</v>
      </c>
      <c r="F98" s="5">
        <v>132</v>
      </c>
      <c r="G98">
        <v>1</v>
      </c>
    </row>
    <row r="99" spans="1:7" x14ac:dyDescent="0.2">
      <c r="A99">
        <v>946</v>
      </c>
      <c r="B99">
        <v>664</v>
      </c>
      <c r="C99" t="s">
        <v>5</v>
      </c>
      <c r="D99">
        <v>1</v>
      </c>
      <c r="F99" s="5">
        <v>131</v>
      </c>
      <c r="G99">
        <v>1</v>
      </c>
    </row>
    <row r="100" spans="1:7" x14ac:dyDescent="0.2">
      <c r="A100">
        <v>643</v>
      </c>
      <c r="B100">
        <v>664</v>
      </c>
      <c r="C100" t="s">
        <v>6</v>
      </c>
      <c r="D100">
        <v>1</v>
      </c>
      <c r="F100" s="5">
        <v>395</v>
      </c>
      <c r="G100">
        <v>1</v>
      </c>
    </row>
    <row r="101" spans="1:7" x14ac:dyDescent="0.2">
      <c r="A101">
        <v>593</v>
      </c>
      <c r="B101">
        <v>664</v>
      </c>
      <c r="C101" t="s">
        <v>6</v>
      </c>
      <c r="D101">
        <v>1</v>
      </c>
      <c r="F101" s="5">
        <v>834</v>
      </c>
      <c r="G101">
        <v>1</v>
      </c>
    </row>
    <row r="102" spans="1:7" x14ac:dyDescent="0.2">
      <c r="A102">
        <v>593</v>
      </c>
      <c r="B102">
        <v>664</v>
      </c>
      <c r="C102" t="s">
        <v>6</v>
      </c>
      <c r="D102">
        <v>1</v>
      </c>
      <c r="F102" s="5">
        <v>30</v>
      </c>
      <c r="G102">
        <v>1</v>
      </c>
    </row>
    <row r="103" spans="1:7" x14ac:dyDescent="0.2">
      <c r="A103">
        <v>192</v>
      </c>
      <c r="B103">
        <v>664</v>
      </c>
      <c r="C103" t="s">
        <v>6</v>
      </c>
      <c r="D103">
        <v>1</v>
      </c>
      <c r="F103" s="5">
        <v>247</v>
      </c>
      <c r="G103">
        <v>1</v>
      </c>
    </row>
    <row r="104" spans="1:7" x14ac:dyDescent="0.2">
      <c r="A104">
        <v>187</v>
      </c>
      <c r="B104">
        <v>664</v>
      </c>
      <c r="C104" t="s">
        <v>6</v>
      </c>
      <c r="D104">
        <v>2</v>
      </c>
      <c r="F104" s="5">
        <v>772</v>
      </c>
      <c r="G104">
        <v>1</v>
      </c>
    </row>
    <row r="105" spans="1:7" x14ac:dyDescent="0.2">
      <c r="A105">
        <v>795</v>
      </c>
      <c r="B105">
        <v>664</v>
      </c>
      <c r="C105" t="s">
        <v>5</v>
      </c>
      <c r="D105">
        <v>1</v>
      </c>
      <c r="F105" s="5">
        <v>866</v>
      </c>
      <c r="G105">
        <v>1</v>
      </c>
    </row>
    <row r="106" spans="1:7" x14ac:dyDescent="0.2">
      <c r="A106">
        <v>532</v>
      </c>
      <c r="B106">
        <v>664</v>
      </c>
      <c r="C106" t="s">
        <v>5</v>
      </c>
      <c r="D106">
        <v>2</v>
      </c>
      <c r="F106" s="5">
        <v>785</v>
      </c>
      <c r="G106">
        <v>1</v>
      </c>
    </row>
    <row r="107" spans="1:7" x14ac:dyDescent="0.2">
      <c r="A107">
        <v>532</v>
      </c>
      <c r="B107">
        <v>664</v>
      </c>
      <c r="C107" t="s">
        <v>5</v>
      </c>
      <c r="D107">
        <v>2</v>
      </c>
      <c r="F107" s="5">
        <v>879</v>
      </c>
      <c r="G107">
        <v>1</v>
      </c>
    </row>
    <row r="108" spans="1:7" x14ac:dyDescent="0.2">
      <c r="A108">
        <v>226</v>
      </c>
      <c r="B108">
        <v>664</v>
      </c>
      <c r="C108" t="s">
        <v>6</v>
      </c>
      <c r="D108">
        <v>2</v>
      </c>
      <c r="F108" s="5">
        <v>538</v>
      </c>
      <c r="G108">
        <v>1</v>
      </c>
    </row>
    <row r="109" spans="1:7" x14ac:dyDescent="0.2">
      <c r="A109">
        <v>226</v>
      </c>
      <c r="B109">
        <v>664</v>
      </c>
      <c r="C109" t="s">
        <v>6</v>
      </c>
      <c r="D109">
        <v>1</v>
      </c>
      <c r="F109" s="5">
        <v>643</v>
      </c>
      <c r="G109">
        <v>1</v>
      </c>
    </row>
    <row r="110" spans="1:7" x14ac:dyDescent="0.2">
      <c r="A110">
        <v>39</v>
      </c>
      <c r="B110">
        <v>664</v>
      </c>
      <c r="C110" t="s">
        <v>6</v>
      </c>
      <c r="D110">
        <v>1</v>
      </c>
      <c r="F110" s="5">
        <v>794</v>
      </c>
      <c r="G110">
        <v>1</v>
      </c>
    </row>
    <row r="111" spans="1:7" x14ac:dyDescent="0.2">
      <c r="A111">
        <v>748</v>
      </c>
      <c r="B111">
        <v>664</v>
      </c>
      <c r="C111" t="s">
        <v>6</v>
      </c>
      <c r="D111">
        <v>2</v>
      </c>
      <c r="F111" s="5">
        <v>667</v>
      </c>
      <c r="G111">
        <v>1</v>
      </c>
    </row>
    <row r="112" spans="1:7" x14ac:dyDescent="0.2">
      <c r="A112">
        <v>748</v>
      </c>
      <c r="B112">
        <v>664</v>
      </c>
      <c r="C112" t="s">
        <v>6</v>
      </c>
      <c r="D112">
        <v>2</v>
      </c>
      <c r="F112" s="5">
        <v>407</v>
      </c>
      <c r="G112">
        <v>1</v>
      </c>
    </row>
    <row r="113" spans="1:7" x14ac:dyDescent="0.2">
      <c r="A113">
        <v>500</v>
      </c>
      <c r="B113">
        <v>664</v>
      </c>
      <c r="C113" t="s">
        <v>6</v>
      </c>
      <c r="D113">
        <v>2</v>
      </c>
      <c r="F113" s="5">
        <v>461</v>
      </c>
      <c r="G113">
        <v>1</v>
      </c>
    </row>
    <row r="114" spans="1:7" x14ac:dyDescent="0.2">
      <c r="A114">
        <v>403</v>
      </c>
      <c r="B114">
        <v>664</v>
      </c>
      <c r="C114" t="s">
        <v>6</v>
      </c>
      <c r="D114">
        <v>2</v>
      </c>
      <c r="F114" s="5">
        <v>800</v>
      </c>
      <c r="G114">
        <v>1</v>
      </c>
    </row>
    <row r="115" spans="1:7" x14ac:dyDescent="0.2">
      <c r="A115">
        <v>933</v>
      </c>
      <c r="B115">
        <v>664</v>
      </c>
      <c r="C115" t="s">
        <v>6</v>
      </c>
      <c r="D115">
        <v>2</v>
      </c>
      <c r="F115" s="5">
        <v>374</v>
      </c>
      <c r="G115">
        <v>1</v>
      </c>
    </row>
    <row r="116" spans="1:7" x14ac:dyDescent="0.2">
      <c r="A116">
        <v>36</v>
      </c>
      <c r="B116">
        <v>664</v>
      </c>
      <c r="C116" t="s">
        <v>6</v>
      </c>
      <c r="D116">
        <v>1</v>
      </c>
      <c r="F116" s="5">
        <v>18</v>
      </c>
      <c r="G116">
        <v>1</v>
      </c>
    </row>
    <row r="117" spans="1:7" x14ac:dyDescent="0.2">
      <c r="A117">
        <v>36</v>
      </c>
      <c r="B117">
        <v>664</v>
      </c>
      <c r="C117" t="s">
        <v>6</v>
      </c>
      <c r="D117">
        <v>1</v>
      </c>
      <c r="F117" s="5">
        <v>973</v>
      </c>
      <c r="G117">
        <v>1</v>
      </c>
    </row>
    <row r="118" spans="1:7" x14ac:dyDescent="0.2">
      <c r="A118">
        <v>747</v>
      </c>
      <c r="B118">
        <v>664</v>
      </c>
      <c r="C118" t="s">
        <v>6</v>
      </c>
      <c r="D118">
        <v>3</v>
      </c>
      <c r="F118" s="5">
        <v>565</v>
      </c>
      <c r="G118">
        <v>1</v>
      </c>
    </row>
    <row r="119" spans="1:7" x14ac:dyDescent="0.2">
      <c r="A119">
        <v>337</v>
      </c>
      <c r="B119">
        <v>664</v>
      </c>
      <c r="C119" t="s">
        <v>6</v>
      </c>
      <c r="D119">
        <v>4</v>
      </c>
      <c r="F119" s="5">
        <v>829</v>
      </c>
      <c r="G119">
        <v>1</v>
      </c>
    </row>
    <row r="120" spans="1:7" x14ac:dyDescent="0.2">
      <c r="A120">
        <v>965</v>
      </c>
      <c r="B120">
        <v>710</v>
      </c>
      <c r="C120" t="s">
        <v>5</v>
      </c>
      <c r="D120">
        <v>2</v>
      </c>
      <c r="F120" s="5" t="s">
        <v>1</v>
      </c>
      <c r="G120">
        <v>320</v>
      </c>
    </row>
    <row r="121" spans="1:7" x14ac:dyDescent="0.2">
      <c r="A121">
        <v>411</v>
      </c>
      <c r="B121">
        <v>664</v>
      </c>
      <c r="C121" t="s">
        <v>6</v>
      </c>
      <c r="D121">
        <v>3</v>
      </c>
    </row>
    <row r="122" spans="1:7" x14ac:dyDescent="0.2">
      <c r="A122">
        <v>833</v>
      </c>
      <c r="B122">
        <v>664</v>
      </c>
      <c r="C122" t="s">
        <v>5</v>
      </c>
      <c r="D122">
        <v>1</v>
      </c>
    </row>
    <row r="123" spans="1:7" x14ac:dyDescent="0.2">
      <c r="A123">
        <v>461</v>
      </c>
      <c r="B123">
        <v>664</v>
      </c>
      <c r="C123" t="s">
        <v>6</v>
      </c>
      <c r="D123">
        <v>1</v>
      </c>
    </row>
    <row r="124" spans="1:7" x14ac:dyDescent="0.2">
      <c r="A124">
        <v>513</v>
      </c>
      <c r="B124">
        <v>664</v>
      </c>
      <c r="C124" t="s">
        <v>6</v>
      </c>
      <c r="D124">
        <v>1</v>
      </c>
    </row>
    <row r="125" spans="1:7" x14ac:dyDescent="0.2">
      <c r="A125">
        <v>513</v>
      </c>
      <c r="B125">
        <v>664</v>
      </c>
      <c r="C125" t="s">
        <v>6</v>
      </c>
      <c r="D125">
        <v>4</v>
      </c>
    </row>
    <row r="126" spans="1:7" x14ac:dyDescent="0.2">
      <c r="A126">
        <v>839</v>
      </c>
      <c r="B126">
        <v>664</v>
      </c>
      <c r="C126" t="s">
        <v>6</v>
      </c>
      <c r="D126">
        <v>4</v>
      </c>
    </row>
    <row r="127" spans="1:7" x14ac:dyDescent="0.2">
      <c r="A127">
        <v>839</v>
      </c>
      <c r="B127">
        <v>664</v>
      </c>
      <c r="C127" t="s">
        <v>6</v>
      </c>
      <c r="D127">
        <v>6</v>
      </c>
    </row>
    <row r="128" spans="1:7" x14ac:dyDescent="0.2">
      <c r="A128">
        <v>595</v>
      </c>
      <c r="B128">
        <v>664</v>
      </c>
      <c r="C128" t="s">
        <v>6</v>
      </c>
      <c r="D128">
        <v>2</v>
      </c>
    </row>
    <row r="129" spans="1:4" x14ac:dyDescent="0.2">
      <c r="A129">
        <v>753</v>
      </c>
      <c r="B129">
        <v>664</v>
      </c>
      <c r="C129" t="s">
        <v>6</v>
      </c>
      <c r="D129">
        <v>4</v>
      </c>
    </row>
    <row r="130" spans="1:4" x14ac:dyDescent="0.2">
      <c r="A130">
        <v>336</v>
      </c>
      <c r="B130">
        <v>664</v>
      </c>
      <c r="C130" t="s">
        <v>6</v>
      </c>
      <c r="D130">
        <v>1</v>
      </c>
    </row>
    <row r="131" spans="1:4" x14ac:dyDescent="0.2">
      <c r="A131">
        <v>336</v>
      </c>
      <c r="B131">
        <v>664</v>
      </c>
      <c r="C131" t="s">
        <v>6</v>
      </c>
      <c r="D131">
        <v>1</v>
      </c>
    </row>
    <row r="132" spans="1:4" x14ac:dyDescent="0.2">
      <c r="A132">
        <v>565</v>
      </c>
      <c r="B132">
        <v>664</v>
      </c>
      <c r="C132" t="s">
        <v>6</v>
      </c>
      <c r="D132">
        <v>1</v>
      </c>
    </row>
    <row r="133" spans="1:4" x14ac:dyDescent="0.2">
      <c r="A133">
        <v>100</v>
      </c>
      <c r="B133">
        <v>664</v>
      </c>
      <c r="C133" t="s">
        <v>6</v>
      </c>
      <c r="D133">
        <v>1</v>
      </c>
    </row>
    <row r="134" spans="1:4" x14ac:dyDescent="0.2">
      <c r="A134">
        <v>100</v>
      </c>
      <c r="B134">
        <v>664</v>
      </c>
      <c r="C134" t="s">
        <v>6</v>
      </c>
      <c r="D134">
        <v>1</v>
      </c>
    </row>
    <row r="135" spans="1:4" x14ac:dyDescent="0.2">
      <c r="A135">
        <v>928</v>
      </c>
      <c r="B135">
        <v>664</v>
      </c>
      <c r="C135" t="s">
        <v>6</v>
      </c>
      <c r="D135">
        <v>7</v>
      </c>
    </row>
    <row r="136" spans="1:4" x14ac:dyDescent="0.2">
      <c r="A136">
        <v>928</v>
      </c>
      <c r="B136">
        <v>664</v>
      </c>
      <c r="C136" t="s">
        <v>6</v>
      </c>
      <c r="D136">
        <v>1</v>
      </c>
    </row>
    <row r="137" spans="1:4" x14ac:dyDescent="0.2">
      <c r="A137">
        <v>30</v>
      </c>
      <c r="B137">
        <v>664</v>
      </c>
      <c r="C137" t="s">
        <v>6</v>
      </c>
      <c r="D137">
        <v>1</v>
      </c>
    </row>
    <row r="138" spans="1:4" x14ac:dyDescent="0.2">
      <c r="A138">
        <v>725</v>
      </c>
      <c r="B138">
        <v>664</v>
      </c>
      <c r="C138" t="s">
        <v>6</v>
      </c>
      <c r="D138">
        <v>1</v>
      </c>
    </row>
    <row r="139" spans="1:4" x14ac:dyDescent="0.2">
      <c r="A139">
        <v>829</v>
      </c>
      <c r="B139">
        <v>664</v>
      </c>
      <c r="C139" t="s">
        <v>6</v>
      </c>
      <c r="D139">
        <v>1</v>
      </c>
    </row>
    <row r="140" spans="1:4" x14ac:dyDescent="0.2">
      <c r="A140">
        <v>173</v>
      </c>
      <c r="B140">
        <v>664</v>
      </c>
      <c r="C140" t="s">
        <v>6</v>
      </c>
      <c r="D140">
        <v>1</v>
      </c>
    </row>
    <row r="141" spans="1:4" x14ac:dyDescent="0.2">
      <c r="A141">
        <v>173</v>
      </c>
      <c r="B141">
        <v>664</v>
      </c>
      <c r="C141" t="s">
        <v>6</v>
      </c>
      <c r="D141">
        <v>2</v>
      </c>
    </row>
    <row r="142" spans="1:4" x14ac:dyDescent="0.2">
      <c r="A142">
        <v>238</v>
      </c>
      <c r="B142">
        <v>664</v>
      </c>
      <c r="C142" t="s">
        <v>6</v>
      </c>
      <c r="D142">
        <v>1</v>
      </c>
    </row>
    <row r="143" spans="1:4" x14ac:dyDescent="0.2">
      <c r="A143">
        <v>238</v>
      </c>
      <c r="B143">
        <v>664</v>
      </c>
      <c r="C143" t="s">
        <v>6</v>
      </c>
      <c r="D143">
        <v>2</v>
      </c>
    </row>
    <row r="144" spans="1:4" x14ac:dyDescent="0.2">
      <c r="A144">
        <v>230</v>
      </c>
      <c r="B144">
        <v>664</v>
      </c>
      <c r="C144" t="s">
        <v>6</v>
      </c>
      <c r="D144">
        <v>2</v>
      </c>
    </row>
    <row r="145" spans="1:4" x14ac:dyDescent="0.2">
      <c r="A145">
        <v>230</v>
      </c>
      <c r="B145">
        <v>664</v>
      </c>
      <c r="C145" t="s">
        <v>6</v>
      </c>
      <c r="D145">
        <v>2</v>
      </c>
    </row>
    <row r="146" spans="1:4" x14ac:dyDescent="0.2">
      <c r="A146">
        <v>727</v>
      </c>
      <c r="B146">
        <v>664</v>
      </c>
      <c r="C146" t="s">
        <v>6</v>
      </c>
      <c r="D146">
        <v>3</v>
      </c>
    </row>
    <row r="147" spans="1:4" x14ac:dyDescent="0.2">
      <c r="A147">
        <v>727</v>
      </c>
      <c r="B147">
        <v>664</v>
      </c>
      <c r="C147" t="s">
        <v>6</v>
      </c>
      <c r="D147">
        <v>3</v>
      </c>
    </row>
    <row r="148" spans="1:4" x14ac:dyDescent="0.2">
      <c r="A148">
        <v>946</v>
      </c>
      <c r="B148">
        <v>664</v>
      </c>
      <c r="C148" t="s">
        <v>6</v>
      </c>
      <c r="D148">
        <v>4</v>
      </c>
    </row>
    <row r="149" spans="1:4" x14ac:dyDescent="0.2">
      <c r="A149">
        <v>946</v>
      </c>
      <c r="B149">
        <v>664</v>
      </c>
      <c r="C149" t="s">
        <v>6</v>
      </c>
      <c r="D149">
        <v>4</v>
      </c>
    </row>
    <row r="150" spans="1:4" x14ac:dyDescent="0.2">
      <c r="A150">
        <v>241</v>
      </c>
      <c r="B150">
        <v>664</v>
      </c>
      <c r="C150" t="s">
        <v>6</v>
      </c>
      <c r="D150">
        <v>2</v>
      </c>
    </row>
    <row r="151" spans="1:4" x14ac:dyDescent="0.2">
      <c r="A151">
        <v>640</v>
      </c>
      <c r="B151">
        <v>664</v>
      </c>
      <c r="C151" t="s">
        <v>6</v>
      </c>
      <c r="D151">
        <v>1</v>
      </c>
    </row>
    <row r="152" spans="1:4" x14ac:dyDescent="0.2">
      <c r="A152">
        <v>640</v>
      </c>
      <c r="B152">
        <v>664</v>
      </c>
      <c r="C152" t="s">
        <v>6</v>
      </c>
      <c r="D152">
        <v>1</v>
      </c>
    </row>
    <row r="153" spans="1:4" x14ac:dyDescent="0.2">
      <c r="A153">
        <v>821</v>
      </c>
      <c r="B153">
        <v>664</v>
      </c>
      <c r="C153" t="s">
        <v>6</v>
      </c>
      <c r="D153">
        <v>3</v>
      </c>
    </row>
    <row r="154" spans="1:4" x14ac:dyDescent="0.2">
      <c r="A154">
        <v>834</v>
      </c>
      <c r="B154">
        <v>664</v>
      </c>
      <c r="C154" t="s">
        <v>6</v>
      </c>
      <c r="D154">
        <v>1</v>
      </c>
    </row>
    <row r="155" spans="1:4" x14ac:dyDescent="0.2">
      <c r="A155">
        <v>191</v>
      </c>
      <c r="B155">
        <v>664</v>
      </c>
      <c r="C155" t="s">
        <v>6</v>
      </c>
      <c r="D155">
        <v>1</v>
      </c>
    </row>
    <row r="156" spans="1:4" x14ac:dyDescent="0.2">
      <c r="A156">
        <v>191</v>
      </c>
      <c r="B156">
        <v>664</v>
      </c>
      <c r="C156" t="s">
        <v>6</v>
      </c>
      <c r="D156">
        <v>1</v>
      </c>
    </row>
    <row r="157" spans="1:4" x14ac:dyDescent="0.2">
      <c r="A157">
        <v>27</v>
      </c>
      <c r="B157">
        <v>664</v>
      </c>
      <c r="C157" t="s">
        <v>6</v>
      </c>
      <c r="D157">
        <v>1</v>
      </c>
    </row>
    <row r="158" spans="1:4" x14ac:dyDescent="0.2">
      <c r="A158">
        <v>407</v>
      </c>
      <c r="B158">
        <v>664</v>
      </c>
      <c r="C158" t="s">
        <v>6</v>
      </c>
      <c r="D158">
        <v>1</v>
      </c>
    </row>
    <row r="159" spans="1:4" x14ac:dyDescent="0.2">
      <c r="A159">
        <v>174</v>
      </c>
      <c r="B159">
        <v>664</v>
      </c>
      <c r="C159" t="s">
        <v>6</v>
      </c>
      <c r="D159">
        <v>4</v>
      </c>
    </row>
    <row r="160" spans="1:4" x14ac:dyDescent="0.2">
      <c r="A160">
        <v>237</v>
      </c>
      <c r="B160">
        <v>664</v>
      </c>
      <c r="C160" t="s">
        <v>6</v>
      </c>
      <c r="D160">
        <v>2</v>
      </c>
    </row>
    <row r="161" spans="1:4" x14ac:dyDescent="0.2">
      <c r="A161">
        <v>542</v>
      </c>
      <c r="B161">
        <v>664</v>
      </c>
      <c r="C161" t="s">
        <v>5</v>
      </c>
      <c r="D161">
        <v>2</v>
      </c>
    </row>
    <row r="162" spans="1:4" x14ac:dyDescent="0.2">
      <c r="A162">
        <v>542</v>
      </c>
      <c r="B162">
        <v>664</v>
      </c>
      <c r="C162" t="s">
        <v>5</v>
      </c>
      <c r="D162">
        <v>2</v>
      </c>
    </row>
    <row r="163" spans="1:4" x14ac:dyDescent="0.2">
      <c r="A163">
        <v>152</v>
      </c>
      <c r="B163">
        <v>664</v>
      </c>
      <c r="C163" t="s">
        <v>7</v>
      </c>
      <c r="D163">
        <v>2</v>
      </c>
    </row>
    <row r="164" spans="1:4" x14ac:dyDescent="0.2">
      <c r="A164">
        <v>247</v>
      </c>
      <c r="B164">
        <v>664</v>
      </c>
      <c r="C164" t="s">
        <v>6</v>
      </c>
      <c r="D164">
        <v>1</v>
      </c>
    </row>
    <row r="165" spans="1:4" x14ac:dyDescent="0.2">
      <c r="A165">
        <v>653</v>
      </c>
      <c r="B165">
        <v>664</v>
      </c>
      <c r="C165" t="s">
        <v>6</v>
      </c>
      <c r="D165">
        <v>4</v>
      </c>
    </row>
    <row r="166" spans="1:4" x14ac:dyDescent="0.2">
      <c r="A166">
        <v>947</v>
      </c>
      <c r="B166">
        <v>664</v>
      </c>
      <c r="C166" t="s">
        <v>6</v>
      </c>
      <c r="D166">
        <v>1</v>
      </c>
    </row>
    <row r="167" spans="1:4" x14ac:dyDescent="0.2">
      <c r="A167">
        <v>478</v>
      </c>
      <c r="B167">
        <v>664</v>
      </c>
      <c r="C167" t="s">
        <v>6</v>
      </c>
      <c r="D167">
        <v>2</v>
      </c>
    </row>
    <row r="168" spans="1:4" x14ac:dyDescent="0.2">
      <c r="A168">
        <v>757</v>
      </c>
      <c r="B168">
        <v>664</v>
      </c>
      <c r="C168" t="s">
        <v>6</v>
      </c>
      <c r="D168">
        <v>2</v>
      </c>
    </row>
    <row r="169" spans="1:4" x14ac:dyDescent="0.2">
      <c r="A169">
        <v>584</v>
      </c>
      <c r="B169">
        <v>664</v>
      </c>
      <c r="C169" t="s">
        <v>6</v>
      </c>
      <c r="D169">
        <v>2</v>
      </c>
    </row>
  </sheetData>
  <conditionalFormatting sqref="J31:M31 J33:M33 J35:M35">
    <cfRule type="cellIs" dxfId="5" priority="1" operator="greaterThanOrEqual">
      <formula>0</formula>
    </cfRule>
    <cfRule type="cellIs" dxfId="4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6DE5-5671-AF4F-91A8-8707793F9BD6}">
  <dimension ref="A1:N137"/>
  <sheetViews>
    <sheetView workbookViewId="0">
      <selection activeCell="H8" sqref="H8:N3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9" width="7.83203125" bestFit="1" customWidth="1"/>
    <col min="10" max="10" width="5.6640625" customWidth="1"/>
    <col min="11" max="12" width="5.33203125" bestFit="1" customWidth="1"/>
    <col min="13" max="13" width="4.6640625" bestFit="1" customWidth="1"/>
    <col min="14" max="14" width="5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377</v>
      </c>
      <c r="B3">
        <v>664</v>
      </c>
      <c r="C3" t="s">
        <v>6</v>
      </c>
      <c r="D3">
        <v>1</v>
      </c>
      <c r="F3" s="5">
        <v>664</v>
      </c>
      <c r="G3" s="29">
        <v>3</v>
      </c>
      <c r="H3" s="29">
        <v>203</v>
      </c>
      <c r="I3" s="29">
        <v>20</v>
      </c>
      <c r="J3" s="29">
        <v>226</v>
      </c>
    </row>
    <row r="4" spans="1:10" x14ac:dyDescent="0.2">
      <c r="A4">
        <v>523</v>
      </c>
      <c r="B4">
        <v>664</v>
      </c>
      <c r="C4" t="s">
        <v>6</v>
      </c>
      <c r="D4">
        <v>1</v>
      </c>
      <c r="F4" s="5">
        <v>710</v>
      </c>
      <c r="G4" s="29"/>
      <c r="H4" s="29"/>
      <c r="I4" s="29">
        <v>5</v>
      </c>
      <c r="J4" s="29">
        <v>5</v>
      </c>
    </row>
    <row r="5" spans="1:10" x14ac:dyDescent="0.2">
      <c r="A5">
        <v>523</v>
      </c>
      <c r="B5">
        <v>664</v>
      </c>
      <c r="C5" t="s">
        <v>6</v>
      </c>
      <c r="D5">
        <v>1</v>
      </c>
      <c r="F5" s="5" t="s">
        <v>1</v>
      </c>
      <c r="G5" s="29">
        <v>3</v>
      </c>
      <c r="H5" s="29">
        <v>203</v>
      </c>
      <c r="I5" s="29">
        <v>25</v>
      </c>
      <c r="J5" s="29">
        <v>231</v>
      </c>
    </row>
    <row r="6" spans="1:10" x14ac:dyDescent="0.2">
      <c r="A6">
        <v>892</v>
      </c>
      <c r="B6">
        <v>664</v>
      </c>
      <c r="C6" t="s">
        <v>6</v>
      </c>
      <c r="D6">
        <v>1</v>
      </c>
    </row>
    <row r="7" spans="1:10" x14ac:dyDescent="0.2">
      <c r="A7">
        <v>451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451</v>
      </c>
      <c r="B8">
        <v>664</v>
      </c>
      <c r="C8" t="s">
        <v>6</v>
      </c>
      <c r="D8">
        <v>5</v>
      </c>
      <c r="F8" s="5">
        <v>456</v>
      </c>
      <c r="G8" s="29">
        <v>11</v>
      </c>
      <c r="H8">
        <v>1</v>
      </c>
      <c r="I8">
        <f>COUNTIF($G$8:$G$104,$H8)</f>
        <v>40</v>
      </c>
      <c r="J8">
        <f>I8*H8</f>
        <v>40</v>
      </c>
    </row>
    <row r="9" spans="1:10" x14ac:dyDescent="0.2">
      <c r="A9">
        <v>794</v>
      </c>
      <c r="B9">
        <v>664</v>
      </c>
      <c r="C9" t="s">
        <v>6</v>
      </c>
      <c r="D9">
        <v>1</v>
      </c>
      <c r="F9" s="5">
        <v>928</v>
      </c>
      <c r="G9" s="29">
        <v>8</v>
      </c>
      <c r="H9">
        <v>2</v>
      </c>
      <c r="I9">
        <f t="shared" ref="I9:I26" si="0">COUNTIF($G$8:$G$104,$H9)</f>
        <v>26</v>
      </c>
      <c r="J9">
        <f t="shared" ref="J9:J26" si="1">I9*H9</f>
        <v>52</v>
      </c>
    </row>
    <row r="10" spans="1:10" x14ac:dyDescent="0.2">
      <c r="A10">
        <v>395</v>
      </c>
      <c r="B10">
        <v>664</v>
      </c>
      <c r="C10" t="s">
        <v>6</v>
      </c>
      <c r="D10">
        <v>1</v>
      </c>
      <c r="F10" s="5">
        <v>9</v>
      </c>
      <c r="G10" s="29">
        <v>7</v>
      </c>
      <c r="H10">
        <v>3</v>
      </c>
      <c r="I10">
        <f t="shared" si="0"/>
        <v>13</v>
      </c>
      <c r="J10">
        <f t="shared" si="1"/>
        <v>39</v>
      </c>
    </row>
    <row r="11" spans="1:10" x14ac:dyDescent="0.2">
      <c r="A11">
        <v>715</v>
      </c>
      <c r="B11">
        <v>664</v>
      </c>
      <c r="C11" t="s">
        <v>6</v>
      </c>
      <c r="D11">
        <v>1</v>
      </c>
      <c r="F11" s="5">
        <v>933</v>
      </c>
      <c r="G11" s="29">
        <v>7</v>
      </c>
      <c r="H11">
        <v>4</v>
      </c>
      <c r="I11">
        <f t="shared" si="0"/>
        <v>8</v>
      </c>
      <c r="J11">
        <f t="shared" si="1"/>
        <v>32</v>
      </c>
    </row>
    <row r="12" spans="1:10" x14ac:dyDescent="0.2">
      <c r="A12">
        <v>301</v>
      </c>
      <c r="B12">
        <v>664</v>
      </c>
      <c r="C12" t="s">
        <v>6</v>
      </c>
      <c r="D12">
        <v>2</v>
      </c>
      <c r="F12" s="5">
        <v>946</v>
      </c>
      <c r="G12" s="29">
        <v>7</v>
      </c>
      <c r="H12">
        <v>5</v>
      </c>
      <c r="I12">
        <f t="shared" si="0"/>
        <v>2</v>
      </c>
      <c r="J12">
        <f t="shared" si="1"/>
        <v>10</v>
      </c>
    </row>
    <row r="13" spans="1:10" x14ac:dyDescent="0.2">
      <c r="A13">
        <v>301</v>
      </c>
      <c r="B13">
        <v>664</v>
      </c>
      <c r="C13" t="s">
        <v>6</v>
      </c>
      <c r="D13">
        <v>1</v>
      </c>
      <c r="F13" s="5">
        <v>906</v>
      </c>
      <c r="G13" s="29">
        <v>6</v>
      </c>
      <c r="H13">
        <v>6</v>
      </c>
      <c r="I13">
        <f t="shared" si="0"/>
        <v>3</v>
      </c>
      <c r="J13">
        <f t="shared" si="1"/>
        <v>18</v>
      </c>
    </row>
    <row r="14" spans="1:10" x14ac:dyDescent="0.2">
      <c r="A14">
        <v>771</v>
      </c>
      <c r="B14">
        <v>664</v>
      </c>
      <c r="C14" t="s">
        <v>6</v>
      </c>
      <c r="D14">
        <v>1</v>
      </c>
      <c r="F14" s="5">
        <v>674</v>
      </c>
      <c r="G14" s="29">
        <v>6</v>
      </c>
      <c r="H14">
        <v>7</v>
      </c>
      <c r="I14">
        <f t="shared" si="0"/>
        <v>3</v>
      </c>
      <c r="J14">
        <f t="shared" si="1"/>
        <v>21</v>
      </c>
    </row>
    <row r="15" spans="1:10" x14ac:dyDescent="0.2">
      <c r="A15">
        <v>667</v>
      </c>
      <c r="B15">
        <v>664</v>
      </c>
      <c r="C15" t="s">
        <v>6</v>
      </c>
      <c r="D15">
        <v>1</v>
      </c>
      <c r="F15" s="5">
        <v>451</v>
      </c>
      <c r="G15" s="29">
        <v>6</v>
      </c>
      <c r="H15">
        <v>8</v>
      </c>
      <c r="I15">
        <f t="shared" si="0"/>
        <v>1</v>
      </c>
      <c r="J15">
        <f t="shared" si="1"/>
        <v>8</v>
      </c>
    </row>
    <row r="16" spans="1:10" x14ac:dyDescent="0.2">
      <c r="A16">
        <v>667</v>
      </c>
      <c r="B16">
        <v>664</v>
      </c>
      <c r="C16" t="s">
        <v>6</v>
      </c>
      <c r="D16">
        <v>1</v>
      </c>
      <c r="F16" s="5">
        <v>542</v>
      </c>
      <c r="G16" s="29">
        <v>5</v>
      </c>
      <c r="H16">
        <v>9</v>
      </c>
      <c r="I16">
        <f t="shared" si="0"/>
        <v>0</v>
      </c>
      <c r="J16">
        <f t="shared" si="1"/>
        <v>0</v>
      </c>
    </row>
    <row r="17" spans="1:14" x14ac:dyDescent="0.2">
      <c r="A17">
        <v>427</v>
      </c>
      <c r="B17">
        <v>664</v>
      </c>
      <c r="C17" t="s">
        <v>6</v>
      </c>
      <c r="D17">
        <v>2</v>
      </c>
      <c r="F17" s="5">
        <v>544</v>
      </c>
      <c r="G17" s="29">
        <v>5</v>
      </c>
      <c r="H17">
        <v>10</v>
      </c>
      <c r="I17">
        <f t="shared" si="0"/>
        <v>0</v>
      </c>
      <c r="J17">
        <f t="shared" si="1"/>
        <v>0</v>
      </c>
    </row>
    <row r="18" spans="1:14" x14ac:dyDescent="0.2">
      <c r="A18">
        <v>125</v>
      </c>
      <c r="B18">
        <v>664</v>
      </c>
      <c r="C18" t="s">
        <v>6</v>
      </c>
      <c r="D18">
        <v>1</v>
      </c>
      <c r="F18" s="5">
        <v>839</v>
      </c>
      <c r="G18" s="29">
        <v>4</v>
      </c>
      <c r="H18">
        <v>11</v>
      </c>
      <c r="I18">
        <f t="shared" si="0"/>
        <v>1</v>
      </c>
      <c r="J18">
        <f t="shared" si="1"/>
        <v>11</v>
      </c>
    </row>
    <row r="19" spans="1:14" x14ac:dyDescent="0.2">
      <c r="A19">
        <v>125</v>
      </c>
      <c r="B19">
        <v>664</v>
      </c>
      <c r="C19" t="s">
        <v>6</v>
      </c>
      <c r="D19">
        <v>2</v>
      </c>
      <c r="F19" s="5">
        <v>263</v>
      </c>
      <c r="G19" s="29">
        <v>4</v>
      </c>
      <c r="H19">
        <v>12</v>
      </c>
      <c r="I19">
        <f t="shared" si="0"/>
        <v>0</v>
      </c>
      <c r="J19">
        <f t="shared" si="1"/>
        <v>0</v>
      </c>
    </row>
    <row r="20" spans="1:14" x14ac:dyDescent="0.2">
      <c r="A20">
        <v>387</v>
      </c>
      <c r="B20">
        <v>664</v>
      </c>
      <c r="C20" t="s">
        <v>6</v>
      </c>
      <c r="D20">
        <v>1</v>
      </c>
      <c r="F20" s="5">
        <v>213</v>
      </c>
      <c r="G20" s="29">
        <v>4</v>
      </c>
      <c r="H20">
        <v>13</v>
      </c>
      <c r="I20">
        <f t="shared" si="0"/>
        <v>0</v>
      </c>
      <c r="J20">
        <f t="shared" si="1"/>
        <v>0</v>
      </c>
    </row>
    <row r="21" spans="1:14" x14ac:dyDescent="0.2">
      <c r="A21">
        <v>456</v>
      </c>
      <c r="B21">
        <v>664</v>
      </c>
      <c r="C21" t="s">
        <v>6</v>
      </c>
      <c r="D21">
        <v>1</v>
      </c>
      <c r="F21" s="5">
        <v>226</v>
      </c>
      <c r="G21" s="29">
        <v>4</v>
      </c>
      <c r="H21">
        <v>14</v>
      </c>
      <c r="I21">
        <f t="shared" si="0"/>
        <v>0</v>
      </c>
      <c r="J21">
        <f t="shared" si="1"/>
        <v>0</v>
      </c>
    </row>
    <row r="22" spans="1:14" x14ac:dyDescent="0.2">
      <c r="A22">
        <v>79</v>
      </c>
      <c r="B22">
        <v>664</v>
      </c>
      <c r="C22" t="s">
        <v>6</v>
      </c>
      <c r="D22">
        <v>1</v>
      </c>
      <c r="F22" s="5">
        <v>440</v>
      </c>
      <c r="G22" s="29">
        <v>4</v>
      </c>
      <c r="H22">
        <v>15</v>
      </c>
      <c r="I22">
        <f t="shared" si="0"/>
        <v>0</v>
      </c>
      <c r="J22">
        <f t="shared" si="1"/>
        <v>0</v>
      </c>
    </row>
    <row r="23" spans="1:14" x14ac:dyDescent="0.2">
      <c r="A23">
        <v>131</v>
      </c>
      <c r="B23">
        <v>664</v>
      </c>
      <c r="C23" t="s">
        <v>6</v>
      </c>
      <c r="D23">
        <v>1</v>
      </c>
      <c r="F23" s="5">
        <v>753</v>
      </c>
      <c r="G23" s="29">
        <v>4</v>
      </c>
      <c r="H23">
        <v>16</v>
      </c>
      <c r="I23">
        <f t="shared" si="0"/>
        <v>0</v>
      </c>
      <c r="J23">
        <f t="shared" si="1"/>
        <v>0</v>
      </c>
    </row>
    <row r="24" spans="1:14" x14ac:dyDescent="0.2">
      <c r="A24">
        <v>386</v>
      </c>
      <c r="B24">
        <v>664</v>
      </c>
      <c r="C24" t="s">
        <v>6</v>
      </c>
      <c r="D24">
        <v>1</v>
      </c>
      <c r="F24" s="5">
        <v>532</v>
      </c>
      <c r="G24" s="29">
        <v>4</v>
      </c>
      <c r="H24">
        <v>17</v>
      </c>
      <c r="I24">
        <f t="shared" si="0"/>
        <v>0</v>
      </c>
      <c r="J24">
        <f t="shared" si="1"/>
        <v>0</v>
      </c>
    </row>
    <row r="25" spans="1:14" x14ac:dyDescent="0.2">
      <c r="A25">
        <v>812</v>
      </c>
      <c r="B25">
        <v>664</v>
      </c>
      <c r="C25" t="s">
        <v>6</v>
      </c>
      <c r="D25">
        <v>3</v>
      </c>
      <c r="F25" s="5">
        <v>513</v>
      </c>
      <c r="G25" s="29">
        <v>4</v>
      </c>
      <c r="H25">
        <v>18</v>
      </c>
      <c r="I25">
        <f t="shared" si="0"/>
        <v>0</v>
      </c>
      <c r="J25">
        <f t="shared" si="1"/>
        <v>0</v>
      </c>
    </row>
    <row r="26" spans="1:14" x14ac:dyDescent="0.2">
      <c r="A26">
        <v>421</v>
      </c>
      <c r="B26">
        <v>664</v>
      </c>
      <c r="C26" t="s">
        <v>6</v>
      </c>
      <c r="D26">
        <v>3</v>
      </c>
      <c r="F26" s="5">
        <v>461</v>
      </c>
      <c r="G26" s="29">
        <v>3</v>
      </c>
      <c r="H26">
        <v>19</v>
      </c>
      <c r="I26">
        <f t="shared" si="0"/>
        <v>0</v>
      </c>
      <c r="J26">
        <f t="shared" si="1"/>
        <v>0</v>
      </c>
    </row>
    <row r="27" spans="1:14" x14ac:dyDescent="0.2">
      <c r="A27">
        <v>537</v>
      </c>
      <c r="B27">
        <v>664</v>
      </c>
      <c r="C27" t="s">
        <v>6</v>
      </c>
      <c r="D27">
        <v>1</v>
      </c>
      <c r="F27" s="5">
        <v>821</v>
      </c>
      <c r="G27" s="29">
        <v>3</v>
      </c>
      <c r="I27" s="6"/>
      <c r="J27">
        <f>SUM(J8:J26)/SUM(I8:I26)</f>
        <v>2.3814432989690721</v>
      </c>
    </row>
    <row r="28" spans="1:14" x14ac:dyDescent="0.2">
      <c r="A28">
        <v>537</v>
      </c>
      <c r="B28">
        <v>664</v>
      </c>
      <c r="C28" t="s">
        <v>6</v>
      </c>
      <c r="D28">
        <v>1</v>
      </c>
      <c r="F28" s="5">
        <v>676</v>
      </c>
      <c r="G28" s="29">
        <v>3</v>
      </c>
      <c r="I28" s="6"/>
      <c r="J28" s="6"/>
    </row>
    <row r="29" spans="1:14" x14ac:dyDescent="0.2">
      <c r="A29">
        <v>795</v>
      </c>
      <c r="B29">
        <v>664</v>
      </c>
      <c r="C29" t="s">
        <v>6</v>
      </c>
      <c r="D29">
        <v>1</v>
      </c>
      <c r="F29" s="5">
        <v>238</v>
      </c>
      <c r="G29" s="29">
        <v>3</v>
      </c>
      <c r="H29" s="24"/>
      <c r="I29" s="25" t="s">
        <v>218</v>
      </c>
      <c r="J29" s="25" t="s">
        <v>213</v>
      </c>
      <c r="K29" s="24" t="s">
        <v>214</v>
      </c>
      <c r="L29" s="24" t="s">
        <v>215</v>
      </c>
      <c r="M29" s="24" t="s">
        <v>216</v>
      </c>
      <c r="N29" s="24" t="s">
        <v>217</v>
      </c>
    </row>
    <row r="30" spans="1:14" x14ac:dyDescent="0.2">
      <c r="A30">
        <v>967</v>
      </c>
      <c r="B30">
        <v>664</v>
      </c>
      <c r="C30" t="s">
        <v>6</v>
      </c>
      <c r="D30">
        <v>1</v>
      </c>
      <c r="F30" s="5">
        <v>421</v>
      </c>
      <c r="G30" s="29">
        <v>3</v>
      </c>
      <c r="H30" s="24" t="s">
        <v>203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f>SUM(I8:I26)</f>
        <v>97</v>
      </c>
    </row>
    <row r="31" spans="1:14" x14ac:dyDescent="0.2">
      <c r="A31">
        <v>788</v>
      </c>
      <c r="B31">
        <v>664</v>
      </c>
      <c r="C31" t="s">
        <v>6</v>
      </c>
      <c r="D31">
        <v>2</v>
      </c>
      <c r="F31" s="5">
        <v>301</v>
      </c>
      <c r="G31" s="29">
        <v>3</v>
      </c>
      <c r="H31" s="24" t="s">
        <v>211</v>
      </c>
      <c r="I31" s="26" t="s">
        <v>210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  <c r="M31" s="27">
        <f>(M30/L30)-1</f>
        <v>-7.4380165289256173E-2</v>
      </c>
      <c r="N31" s="27">
        <f>(N30/M30)-1</f>
        <v>-0.1339285714285714</v>
      </c>
    </row>
    <row r="32" spans="1:14" x14ac:dyDescent="0.2">
      <c r="A32">
        <v>871</v>
      </c>
      <c r="B32">
        <v>664</v>
      </c>
      <c r="C32" t="s">
        <v>6</v>
      </c>
      <c r="D32">
        <v>2</v>
      </c>
      <c r="F32" s="5">
        <v>125</v>
      </c>
      <c r="G32" s="29">
        <v>3</v>
      </c>
      <c r="H32" s="24" t="s">
        <v>204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f>SUM(J8:J26)</f>
        <v>231</v>
      </c>
    </row>
    <row r="33" spans="1:14" x14ac:dyDescent="0.2">
      <c r="A33">
        <v>674</v>
      </c>
      <c r="B33">
        <v>664</v>
      </c>
      <c r="C33" t="s">
        <v>6</v>
      </c>
      <c r="D33">
        <v>4</v>
      </c>
      <c r="F33" s="5">
        <v>336</v>
      </c>
      <c r="G33" s="29">
        <v>3</v>
      </c>
      <c r="H33" s="24" t="s">
        <v>211</v>
      </c>
      <c r="I33" s="26" t="s">
        <v>210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  <c r="M33" s="27">
        <f>(M32/L32)-1</f>
        <v>5.6105610561056007E-2</v>
      </c>
      <c r="N33" s="27">
        <f>(N32/M32)-1</f>
        <v>-0.27812499999999996</v>
      </c>
    </row>
    <row r="34" spans="1:14" x14ac:dyDescent="0.2">
      <c r="A34">
        <v>674</v>
      </c>
      <c r="B34">
        <v>664</v>
      </c>
      <c r="C34" t="s">
        <v>6</v>
      </c>
      <c r="D34">
        <v>2</v>
      </c>
      <c r="F34" s="5">
        <v>812</v>
      </c>
      <c r="G34" s="29">
        <v>3</v>
      </c>
      <c r="H34" s="24" t="s">
        <v>205</v>
      </c>
      <c r="I34" s="28">
        <f>I32/I30</f>
        <v>3.2510638297872338</v>
      </c>
      <c r="J34" s="28">
        <f t="shared" ref="J34:M34" si="2">J32/J30</f>
        <v>2.6140350877192984</v>
      </c>
      <c r="K34" s="28">
        <f t="shared" si="2"/>
        <v>2.4014598540145986</v>
      </c>
      <c r="L34" s="28">
        <f t="shared" si="2"/>
        <v>2.5041322314049586</v>
      </c>
      <c r="M34" s="28">
        <f t="shared" si="2"/>
        <v>2.8571428571428572</v>
      </c>
      <c r="N34" s="28">
        <f t="shared" ref="N34" si="3">N32/N30</f>
        <v>2.3814432989690721</v>
      </c>
    </row>
    <row r="35" spans="1:14" x14ac:dyDescent="0.2">
      <c r="A35">
        <v>800</v>
      </c>
      <c r="B35">
        <v>664</v>
      </c>
      <c r="C35" t="s">
        <v>6</v>
      </c>
      <c r="D35">
        <v>1</v>
      </c>
      <c r="F35" s="5">
        <v>377</v>
      </c>
      <c r="G35" s="29">
        <v>3</v>
      </c>
      <c r="H35" s="24" t="s">
        <v>211</v>
      </c>
      <c r="I35" s="26" t="s">
        <v>210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  <c r="M35" s="27">
        <f>(M34/L34)-1</f>
        <v>0.14097123998114114</v>
      </c>
      <c r="N35" s="27">
        <f>(N34/M34)-1</f>
        <v>-0.16649484536082482</v>
      </c>
    </row>
    <row r="36" spans="1:14" x14ac:dyDescent="0.2">
      <c r="A36">
        <v>800</v>
      </c>
      <c r="B36">
        <v>664</v>
      </c>
      <c r="C36" t="s">
        <v>6</v>
      </c>
      <c r="D36">
        <v>1</v>
      </c>
      <c r="F36" s="5">
        <v>191</v>
      </c>
      <c r="G36" s="29">
        <v>3</v>
      </c>
    </row>
    <row r="37" spans="1:14" x14ac:dyDescent="0.2">
      <c r="A37">
        <v>544</v>
      </c>
      <c r="B37">
        <v>664</v>
      </c>
      <c r="C37" t="s">
        <v>6</v>
      </c>
      <c r="D37">
        <v>3</v>
      </c>
      <c r="F37" s="5">
        <v>390</v>
      </c>
      <c r="G37" s="29">
        <v>3</v>
      </c>
    </row>
    <row r="38" spans="1:14" x14ac:dyDescent="0.2">
      <c r="A38">
        <v>544</v>
      </c>
      <c r="B38">
        <v>664</v>
      </c>
      <c r="C38" t="s">
        <v>6</v>
      </c>
      <c r="D38">
        <v>2</v>
      </c>
      <c r="F38" s="5">
        <v>230</v>
      </c>
      <c r="G38" s="29">
        <v>3</v>
      </c>
    </row>
    <row r="39" spans="1:14" x14ac:dyDescent="0.2">
      <c r="A39">
        <v>245</v>
      </c>
      <c r="B39">
        <v>664</v>
      </c>
      <c r="C39" t="s">
        <v>7</v>
      </c>
      <c r="D39">
        <v>2</v>
      </c>
      <c r="F39" s="5">
        <v>241</v>
      </c>
      <c r="G39" s="29">
        <v>2</v>
      </c>
    </row>
    <row r="40" spans="1:14" x14ac:dyDescent="0.2">
      <c r="A40">
        <v>676</v>
      </c>
      <c r="B40">
        <v>664</v>
      </c>
      <c r="C40" t="s">
        <v>6</v>
      </c>
      <c r="D40">
        <v>3</v>
      </c>
      <c r="F40" s="5">
        <v>871</v>
      </c>
      <c r="G40" s="29">
        <v>2</v>
      </c>
    </row>
    <row r="41" spans="1:14" x14ac:dyDescent="0.2">
      <c r="A41">
        <v>11</v>
      </c>
      <c r="B41">
        <v>664</v>
      </c>
      <c r="C41" t="s">
        <v>6</v>
      </c>
      <c r="D41">
        <v>1</v>
      </c>
      <c r="F41" s="5">
        <v>788</v>
      </c>
      <c r="G41" s="29">
        <v>2</v>
      </c>
    </row>
    <row r="42" spans="1:14" x14ac:dyDescent="0.2">
      <c r="A42">
        <v>374</v>
      </c>
      <c r="B42">
        <v>664</v>
      </c>
      <c r="C42" t="s">
        <v>6</v>
      </c>
      <c r="D42">
        <v>1</v>
      </c>
      <c r="F42" s="5">
        <v>411</v>
      </c>
      <c r="G42" s="29">
        <v>2</v>
      </c>
    </row>
    <row r="43" spans="1:14" x14ac:dyDescent="0.2">
      <c r="A43">
        <v>866</v>
      </c>
      <c r="B43">
        <v>664</v>
      </c>
      <c r="C43" t="s">
        <v>6</v>
      </c>
      <c r="D43">
        <v>1</v>
      </c>
      <c r="F43" s="5">
        <v>640</v>
      </c>
      <c r="G43" s="29">
        <v>2</v>
      </c>
    </row>
    <row r="44" spans="1:14" x14ac:dyDescent="0.2">
      <c r="A44">
        <v>213</v>
      </c>
      <c r="B44">
        <v>664</v>
      </c>
      <c r="C44" t="s">
        <v>6</v>
      </c>
      <c r="D44">
        <v>4</v>
      </c>
      <c r="F44" s="5">
        <v>27</v>
      </c>
      <c r="G44" s="29">
        <v>2</v>
      </c>
    </row>
    <row r="45" spans="1:14" x14ac:dyDescent="0.2">
      <c r="A45">
        <v>965</v>
      </c>
      <c r="B45">
        <v>664</v>
      </c>
      <c r="C45" t="s">
        <v>6</v>
      </c>
      <c r="D45">
        <v>1</v>
      </c>
      <c r="F45" s="5">
        <v>748</v>
      </c>
      <c r="G45" s="29">
        <v>2</v>
      </c>
    </row>
    <row r="46" spans="1:14" x14ac:dyDescent="0.2">
      <c r="A46">
        <v>9</v>
      </c>
      <c r="B46">
        <v>664</v>
      </c>
      <c r="C46" t="s">
        <v>6</v>
      </c>
      <c r="D46">
        <v>2</v>
      </c>
      <c r="F46" s="5">
        <v>427</v>
      </c>
      <c r="G46" s="29">
        <v>2</v>
      </c>
    </row>
    <row r="47" spans="1:14" x14ac:dyDescent="0.2">
      <c r="A47">
        <v>9</v>
      </c>
      <c r="B47">
        <v>664</v>
      </c>
      <c r="C47" t="s">
        <v>6</v>
      </c>
      <c r="D47">
        <v>1</v>
      </c>
      <c r="F47" s="5">
        <v>337</v>
      </c>
      <c r="G47" s="29">
        <v>2</v>
      </c>
    </row>
    <row r="48" spans="1:14" x14ac:dyDescent="0.2">
      <c r="A48">
        <v>310</v>
      </c>
      <c r="B48">
        <v>664</v>
      </c>
      <c r="C48" t="s">
        <v>6</v>
      </c>
      <c r="D48">
        <v>1</v>
      </c>
      <c r="F48" s="5">
        <v>36</v>
      </c>
      <c r="G48" s="29">
        <v>2</v>
      </c>
    </row>
    <row r="49" spans="1:7" x14ac:dyDescent="0.2">
      <c r="A49">
        <v>785</v>
      </c>
      <c r="B49">
        <v>664</v>
      </c>
      <c r="C49" t="s">
        <v>6</v>
      </c>
      <c r="D49">
        <v>1</v>
      </c>
      <c r="F49" s="5">
        <v>245</v>
      </c>
      <c r="G49" s="29">
        <v>2</v>
      </c>
    </row>
    <row r="50" spans="1:7" x14ac:dyDescent="0.2">
      <c r="A50">
        <v>440</v>
      </c>
      <c r="B50">
        <v>664</v>
      </c>
      <c r="C50" t="s">
        <v>6</v>
      </c>
      <c r="D50">
        <v>3</v>
      </c>
      <c r="F50" s="5">
        <v>237</v>
      </c>
      <c r="G50" s="29">
        <v>2</v>
      </c>
    </row>
    <row r="51" spans="1:7" x14ac:dyDescent="0.2">
      <c r="A51">
        <v>440</v>
      </c>
      <c r="B51">
        <v>664</v>
      </c>
      <c r="C51" t="s">
        <v>6</v>
      </c>
      <c r="D51">
        <v>1</v>
      </c>
      <c r="F51" s="5">
        <v>643</v>
      </c>
      <c r="G51" s="29">
        <v>2</v>
      </c>
    </row>
    <row r="52" spans="1:7" x14ac:dyDescent="0.2">
      <c r="A52">
        <v>693</v>
      </c>
      <c r="B52">
        <v>664</v>
      </c>
      <c r="C52" t="s">
        <v>6</v>
      </c>
      <c r="D52">
        <v>1</v>
      </c>
      <c r="F52" s="5">
        <v>500</v>
      </c>
      <c r="G52" s="29">
        <v>2</v>
      </c>
    </row>
    <row r="53" spans="1:7" x14ac:dyDescent="0.2">
      <c r="A53">
        <v>424</v>
      </c>
      <c r="B53">
        <v>664</v>
      </c>
      <c r="C53" t="s">
        <v>6</v>
      </c>
      <c r="D53">
        <v>1</v>
      </c>
      <c r="F53" s="5">
        <v>705</v>
      </c>
      <c r="G53" s="29">
        <v>2</v>
      </c>
    </row>
    <row r="54" spans="1:7" x14ac:dyDescent="0.2">
      <c r="A54">
        <v>679</v>
      </c>
      <c r="B54">
        <v>664</v>
      </c>
      <c r="C54" t="s">
        <v>6</v>
      </c>
      <c r="D54">
        <v>1</v>
      </c>
      <c r="F54" s="5">
        <v>7</v>
      </c>
      <c r="G54" s="29">
        <v>2</v>
      </c>
    </row>
    <row r="55" spans="1:7" x14ac:dyDescent="0.2">
      <c r="A55">
        <v>772</v>
      </c>
      <c r="B55">
        <v>664</v>
      </c>
      <c r="C55" t="s">
        <v>6</v>
      </c>
      <c r="D55">
        <v>1</v>
      </c>
      <c r="F55" s="5">
        <v>757</v>
      </c>
      <c r="G55" s="29">
        <v>2</v>
      </c>
    </row>
    <row r="56" spans="1:7" x14ac:dyDescent="0.2">
      <c r="A56">
        <v>906</v>
      </c>
      <c r="B56">
        <v>664</v>
      </c>
      <c r="C56" t="s">
        <v>6</v>
      </c>
      <c r="D56">
        <v>6</v>
      </c>
      <c r="F56" s="5">
        <v>523</v>
      </c>
      <c r="G56" s="29">
        <v>2</v>
      </c>
    </row>
    <row r="57" spans="1:7" x14ac:dyDescent="0.2">
      <c r="A57">
        <v>542</v>
      </c>
      <c r="B57">
        <v>664</v>
      </c>
      <c r="C57" t="s">
        <v>6</v>
      </c>
      <c r="D57">
        <v>3</v>
      </c>
      <c r="F57" s="5">
        <v>800</v>
      </c>
      <c r="G57" s="29">
        <v>2</v>
      </c>
    </row>
    <row r="58" spans="1:7" x14ac:dyDescent="0.2">
      <c r="A58">
        <v>542</v>
      </c>
      <c r="B58">
        <v>664</v>
      </c>
      <c r="C58" t="s">
        <v>6</v>
      </c>
      <c r="D58">
        <v>2</v>
      </c>
      <c r="F58" s="5">
        <v>526</v>
      </c>
      <c r="G58" s="29">
        <v>2</v>
      </c>
    </row>
    <row r="59" spans="1:7" x14ac:dyDescent="0.2">
      <c r="A59">
        <v>7</v>
      </c>
      <c r="B59">
        <v>664</v>
      </c>
      <c r="C59" t="s">
        <v>6</v>
      </c>
      <c r="D59">
        <v>1</v>
      </c>
      <c r="F59" s="5">
        <v>173</v>
      </c>
      <c r="G59" s="29">
        <v>2</v>
      </c>
    </row>
    <row r="60" spans="1:7" x14ac:dyDescent="0.2">
      <c r="A60">
        <v>7</v>
      </c>
      <c r="B60">
        <v>664</v>
      </c>
      <c r="C60" t="s">
        <v>6</v>
      </c>
      <c r="D60">
        <v>1</v>
      </c>
      <c r="F60" s="5">
        <v>537</v>
      </c>
      <c r="G60" s="29">
        <v>2</v>
      </c>
    </row>
    <row r="61" spans="1:7" x14ac:dyDescent="0.2">
      <c r="A61">
        <v>390</v>
      </c>
      <c r="B61">
        <v>664</v>
      </c>
      <c r="C61" t="s">
        <v>6</v>
      </c>
      <c r="D61">
        <v>1</v>
      </c>
      <c r="F61" s="5">
        <v>897</v>
      </c>
      <c r="G61" s="29">
        <v>2</v>
      </c>
    </row>
    <row r="62" spans="1:7" x14ac:dyDescent="0.2">
      <c r="A62">
        <v>390</v>
      </c>
      <c r="B62">
        <v>664</v>
      </c>
      <c r="C62" t="s">
        <v>6</v>
      </c>
      <c r="D62">
        <v>1</v>
      </c>
      <c r="F62" s="5">
        <v>100</v>
      </c>
      <c r="G62" s="29">
        <v>2</v>
      </c>
    </row>
    <row r="63" spans="1:7" x14ac:dyDescent="0.2">
      <c r="A63">
        <v>132</v>
      </c>
      <c r="B63">
        <v>664</v>
      </c>
      <c r="C63" t="s">
        <v>6</v>
      </c>
      <c r="D63">
        <v>1</v>
      </c>
      <c r="F63" s="5">
        <v>595</v>
      </c>
      <c r="G63" s="29">
        <v>2</v>
      </c>
    </row>
    <row r="64" spans="1:7" x14ac:dyDescent="0.2">
      <c r="A64">
        <v>897</v>
      </c>
      <c r="B64">
        <v>664</v>
      </c>
      <c r="C64" t="s">
        <v>6</v>
      </c>
      <c r="D64">
        <v>2</v>
      </c>
      <c r="F64" s="5">
        <v>667</v>
      </c>
      <c r="G64" s="29">
        <v>2</v>
      </c>
    </row>
    <row r="65" spans="1:7" x14ac:dyDescent="0.2">
      <c r="A65">
        <v>526</v>
      </c>
      <c r="B65">
        <v>664</v>
      </c>
      <c r="C65" t="s">
        <v>6</v>
      </c>
      <c r="D65">
        <v>1</v>
      </c>
      <c r="F65" s="5">
        <v>565</v>
      </c>
      <c r="G65" s="29">
        <v>1</v>
      </c>
    </row>
    <row r="66" spans="1:7" x14ac:dyDescent="0.2">
      <c r="A66">
        <v>526</v>
      </c>
      <c r="B66">
        <v>664</v>
      </c>
      <c r="C66" t="s">
        <v>6</v>
      </c>
      <c r="D66">
        <v>1</v>
      </c>
      <c r="F66" s="5">
        <v>374</v>
      </c>
      <c r="G66" s="29">
        <v>1</v>
      </c>
    </row>
    <row r="67" spans="1:7" x14ac:dyDescent="0.2">
      <c r="A67">
        <v>456</v>
      </c>
      <c r="B67">
        <v>664</v>
      </c>
      <c r="C67" t="s">
        <v>5</v>
      </c>
      <c r="D67">
        <v>2</v>
      </c>
      <c r="F67" s="5">
        <v>794</v>
      </c>
      <c r="G67" s="29">
        <v>1</v>
      </c>
    </row>
    <row r="68" spans="1:7" x14ac:dyDescent="0.2">
      <c r="A68">
        <v>456</v>
      </c>
      <c r="B68">
        <v>664</v>
      </c>
      <c r="C68" t="s">
        <v>5</v>
      </c>
      <c r="D68">
        <v>4</v>
      </c>
      <c r="F68" s="5">
        <v>79</v>
      </c>
      <c r="G68" s="29">
        <v>1</v>
      </c>
    </row>
    <row r="69" spans="1:7" x14ac:dyDescent="0.2">
      <c r="A69">
        <v>456</v>
      </c>
      <c r="B69">
        <v>664</v>
      </c>
      <c r="C69" t="s">
        <v>5</v>
      </c>
      <c r="D69">
        <v>4</v>
      </c>
      <c r="F69" s="5">
        <v>39</v>
      </c>
      <c r="G69" s="29">
        <v>1</v>
      </c>
    </row>
    <row r="70" spans="1:7" x14ac:dyDescent="0.2">
      <c r="A70">
        <v>263</v>
      </c>
      <c r="B70">
        <v>664</v>
      </c>
      <c r="C70" t="s">
        <v>6</v>
      </c>
      <c r="D70">
        <v>4</v>
      </c>
      <c r="F70" s="5">
        <v>387</v>
      </c>
      <c r="G70" s="29">
        <v>1</v>
      </c>
    </row>
    <row r="71" spans="1:7" x14ac:dyDescent="0.2">
      <c r="A71">
        <v>705</v>
      </c>
      <c r="B71">
        <v>664</v>
      </c>
      <c r="C71" t="s">
        <v>6</v>
      </c>
      <c r="D71">
        <v>2</v>
      </c>
      <c r="F71" s="5">
        <v>18</v>
      </c>
      <c r="G71" s="29">
        <v>1</v>
      </c>
    </row>
    <row r="72" spans="1:7" x14ac:dyDescent="0.2">
      <c r="A72">
        <v>516</v>
      </c>
      <c r="B72">
        <v>664</v>
      </c>
      <c r="C72" t="s">
        <v>7</v>
      </c>
      <c r="D72">
        <v>1</v>
      </c>
      <c r="F72" s="5">
        <v>478</v>
      </c>
      <c r="G72" s="29">
        <v>1</v>
      </c>
    </row>
    <row r="73" spans="1:7" x14ac:dyDescent="0.2">
      <c r="A73">
        <v>437</v>
      </c>
      <c r="B73">
        <v>664</v>
      </c>
      <c r="C73" t="s">
        <v>6</v>
      </c>
      <c r="D73">
        <v>1</v>
      </c>
      <c r="F73" s="5">
        <v>83</v>
      </c>
      <c r="G73" s="29">
        <v>1</v>
      </c>
    </row>
    <row r="74" spans="1:7" x14ac:dyDescent="0.2">
      <c r="A74">
        <v>83</v>
      </c>
      <c r="B74">
        <v>664</v>
      </c>
      <c r="C74" t="s">
        <v>6</v>
      </c>
      <c r="D74">
        <v>1</v>
      </c>
      <c r="F74" s="5">
        <v>947</v>
      </c>
      <c r="G74" s="29">
        <v>1</v>
      </c>
    </row>
    <row r="75" spans="1:7" x14ac:dyDescent="0.2">
      <c r="A75">
        <v>18</v>
      </c>
      <c r="B75">
        <v>664</v>
      </c>
      <c r="C75" t="s">
        <v>6</v>
      </c>
      <c r="D75">
        <v>1</v>
      </c>
      <c r="F75" s="5">
        <v>833</v>
      </c>
      <c r="G75" s="29">
        <v>1</v>
      </c>
    </row>
    <row r="76" spans="1:7" x14ac:dyDescent="0.2">
      <c r="A76">
        <v>946</v>
      </c>
      <c r="B76">
        <v>710</v>
      </c>
      <c r="C76" t="s">
        <v>5</v>
      </c>
      <c r="D76">
        <v>2</v>
      </c>
      <c r="F76" s="5">
        <v>965</v>
      </c>
      <c r="G76" s="29">
        <v>1</v>
      </c>
    </row>
    <row r="77" spans="1:7" x14ac:dyDescent="0.2">
      <c r="A77">
        <v>946</v>
      </c>
      <c r="B77">
        <v>664</v>
      </c>
      <c r="C77" t="s">
        <v>5</v>
      </c>
      <c r="D77">
        <v>1</v>
      </c>
      <c r="F77" s="5">
        <v>310</v>
      </c>
      <c r="G77" s="29">
        <v>1</v>
      </c>
    </row>
    <row r="78" spans="1:7" x14ac:dyDescent="0.2">
      <c r="A78">
        <v>643</v>
      </c>
      <c r="B78">
        <v>664</v>
      </c>
      <c r="C78" t="s">
        <v>6</v>
      </c>
      <c r="D78">
        <v>2</v>
      </c>
      <c r="F78" s="5">
        <v>247</v>
      </c>
      <c r="G78" s="29">
        <v>1</v>
      </c>
    </row>
    <row r="79" spans="1:7" x14ac:dyDescent="0.2">
      <c r="A79">
        <v>593</v>
      </c>
      <c r="B79">
        <v>664</v>
      </c>
      <c r="C79" t="s">
        <v>6</v>
      </c>
      <c r="D79">
        <v>1</v>
      </c>
      <c r="F79" s="5">
        <v>192</v>
      </c>
      <c r="G79" s="29">
        <v>1</v>
      </c>
    </row>
    <row r="80" spans="1:7" x14ac:dyDescent="0.2">
      <c r="A80">
        <v>192</v>
      </c>
      <c r="B80">
        <v>664</v>
      </c>
      <c r="C80" t="s">
        <v>6</v>
      </c>
      <c r="D80">
        <v>1</v>
      </c>
      <c r="F80" s="5">
        <v>679</v>
      </c>
      <c r="G80" s="29">
        <v>1</v>
      </c>
    </row>
    <row r="81" spans="1:7" x14ac:dyDescent="0.2">
      <c r="A81">
        <v>532</v>
      </c>
      <c r="B81">
        <v>664</v>
      </c>
      <c r="C81" t="s">
        <v>5</v>
      </c>
      <c r="D81">
        <v>2</v>
      </c>
      <c r="F81" s="5">
        <v>437</v>
      </c>
      <c r="G81" s="29">
        <v>1</v>
      </c>
    </row>
    <row r="82" spans="1:7" x14ac:dyDescent="0.2">
      <c r="A82">
        <v>532</v>
      </c>
      <c r="B82">
        <v>664</v>
      </c>
      <c r="C82" t="s">
        <v>5</v>
      </c>
      <c r="D82">
        <v>2</v>
      </c>
      <c r="F82" s="5">
        <v>693</v>
      </c>
      <c r="G82" s="29">
        <v>1</v>
      </c>
    </row>
    <row r="83" spans="1:7" x14ac:dyDescent="0.2">
      <c r="A83">
        <v>377</v>
      </c>
      <c r="B83">
        <v>710</v>
      </c>
      <c r="C83" t="s">
        <v>5</v>
      </c>
      <c r="D83">
        <v>2</v>
      </c>
      <c r="F83" s="5">
        <v>795</v>
      </c>
      <c r="G83" s="29">
        <v>1</v>
      </c>
    </row>
    <row r="84" spans="1:7" x14ac:dyDescent="0.2">
      <c r="A84">
        <v>226</v>
      </c>
      <c r="B84">
        <v>664</v>
      </c>
      <c r="C84" t="s">
        <v>6</v>
      </c>
      <c r="D84">
        <v>3</v>
      </c>
      <c r="F84" s="5">
        <v>973</v>
      </c>
      <c r="G84" s="29">
        <v>1</v>
      </c>
    </row>
    <row r="85" spans="1:7" x14ac:dyDescent="0.2">
      <c r="A85">
        <v>226</v>
      </c>
      <c r="B85">
        <v>664</v>
      </c>
      <c r="C85" t="s">
        <v>6</v>
      </c>
      <c r="D85">
        <v>1</v>
      </c>
      <c r="F85" s="5">
        <v>407</v>
      </c>
      <c r="G85" s="29">
        <v>1</v>
      </c>
    </row>
    <row r="86" spans="1:7" x14ac:dyDescent="0.2">
      <c r="A86">
        <v>39</v>
      </c>
      <c r="B86">
        <v>664</v>
      </c>
      <c r="C86" t="s">
        <v>6</v>
      </c>
      <c r="D86">
        <v>1</v>
      </c>
      <c r="F86" s="5">
        <v>715</v>
      </c>
      <c r="G86" s="29">
        <v>1</v>
      </c>
    </row>
    <row r="87" spans="1:7" x14ac:dyDescent="0.2">
      <c r="A87">
        <v>748</v>
      </c>
      <c r="B87">
        <v>664</v>
      </c>
      <c r="C87" t="s">
        <v>6</v>
      </c>
      <c r="D87">
        <v>2</v>
      </c>
      <c r="F87" s="5">
        <v>829</v>
      </c>
      <c r="G87" s="29">
        <v>1</v>
      </c>
    </row>
    <row r="88" spans="1:7" x14ac:dyDescent="0.2">
      <c r="A88">
        <v>500</v>
      </c>
      <c r="B88">
        <v>664</v>
      </c>
      <c r="C88" t="s">
        <v>6</v>
      </c>
      <c r="D88">
        <v>2</v>
      </c>
      <c r="F88" s="5">
        <v>725</v>
      </c>
      <c r="G88" s="29">
        <v>1</v>
      </c>
    </row>
    <row r="89" spans="1:7" x14ac:dyDescent="0.2">
      <c r="A89">
        <v>933</v>
      </c>
      <c r="B89">
        <v>664</v>
      </c>
      <c r="C89" t="s">
        <v>6</v>
      </c>
      <c r="D89">
        <v>4</v>
      </c>
      <c r="F89" s="5">
        <v>834</v>
      </c>
      <c r="G89" s="29">
        <v>1</v>
      </c>
    </row>
    <row r="90" spans="1:7" x14ac:dyDescent="0.2">
      <c r="A90">
        <v>933</v>
      </c>
      <c r="B90">
        <v>664</v>
      </c>
      <c r="C90" t="s">
        <v>6</v>
      </c>
      <c r="D90">
        <v>3</v>
      </c>
      <c r="F90" s="5">
        <v>424</v>
      </c>
      <c r="G90" s="29">
        <v>1</v>
      </c>
    </row>
    <row r="91" spans="1:7" x14ac:dyDescent="0.2">
      <c r="A91">
        <v>36</v>
      </c>
      <c r="B91">
        <v>664</v>
      </c>
      <c r="C91" t="s">
        <v>6</v>
      </c>
      <c r="D91">
        <v>1</v>
      </c>
      <c r="F91" s="5">
        <v>866</v>
      </c>
      <c r="G91" s="29">
        <v>1</v>
      </c>
    </row>
    <row r="92" spans="1:7" x14ac:dyDescent="0.2">
      <c r="A92">
        <v>36</v>
      </c>
      <c r="B92">
        <v>664</v>
      </c>
      <c r="C92" t="s">
        <v>6</v>
      </c>
      <c r="D92">
        <v>1</v>
      </c>
      <c r="F92" s="5">
        <v>132</v>
      </c>
      <c r="G92" s="29">
        <v>1</v>
      </c>
    </row>
    <row r="93" spans="1:7" x14ac:dyDescent="0.2">
      <c r="A93">
        <v>337</v>
      </c>
      <c r="B93">
        <v>664</v>
      </c>
      <c r="C93" t="s">
        <v>6</v>
      </c>
      <c r="D93">
        <v>2</v>
      </c>
      <c r="F93" s="5">
        <v>892</v>
      </c>
      <c r="G93" s="29">
        <v>1</v>
      </c>
    </row>
    <row r="94" spans="1:7" x14ac:dyDescent="0.2">
      <c r="A94">
        <v>411</v>
      </c>
      <c r="B94">
        <v>664</v>
      </c>
      <c r="C94" t="s">
        <v>6</v>
      </c>
      <c r="D94">
        <v>2</v>
      </c>
      <c r="F94" s="5">
        <v>395</v>
      </c>
      <c r="G94" s="29">
        <v>1</v>
      </c>
    </row>
    <row r="95" spans="1:7" x14ac:dyDescent="0.2">
      <c r="A95">
        <v>833</v>
      </c>
      <c r="B95">
        <v>664</v>
      </c>
      <c r="C95" t="s">
        <v>5</v>
      </c>
      <c r="D95">
        <v>1</v>
      </c>
      <c r="F95" s="5">
        <v>967</v>
      </c>
      <c r="G95" s="29">
        <v>1</v>
      </c>
    </row>
    <row r="96" spans="1:7" x14ac:dyDescent="0.2">
      <c r="A96">
        <v>9</v>
      </c>
      <c r="B96">
        <v>664</v>
      </c>
      <c r="C96" t="s">
        <v>5</v>
      </c>
      <c r="D96">
        <v>2</v>
      </c>
      <c r="F96" s="5">
        <v>771</v>
      </c>
      <c r="G96" s="29">
        <v>1</v>
      </c>
    </row>
    <row r="97" spans="1:7" x14ac:dyDescent="0.2">
      <c r="A97">
        <v>9</v>
      </c>
      <c r="B97">
        <v>664</v>
      </c>
      <c r="C97" t="s">
        <v>5</v>
      </c>
      <c r="D97">
        <v>2</v>
      </c>
      <c r="F97" s="5">
        <v>11</v>
      </c>
      <c r="G97" s="29">
        <v>1</v>
      </c>
    </row>
    <row r="98" spans="1:7" x14ac:dyDescent="0.2">
      <c r="A98">
        <v>461</v>
      </c>
      <c r="B98">
        <v>664</v>
      </c>
      <c r="C98" t="s">
        <v>6</v>
      </c>
      <c r="D98">
        <v>1</v>
      </c>
      <c r="F98" s="5">
        <v>772</v>
      </c>
      <c r="G98" s="29">
        <v>1</v>
      </c>
    </row>
    <row r="99" spans="1:7" x14ac:dyDescent="0.2">
      <c r="A99">
        <v>461</v>
      </c>
      <c r="B99">
        <v>664</v>
      </c>
      <c r="C99" t="s">
        <v>6</v>
      </c>
      <c r="D99">
        <v>2</v>
      </c>
      <c r="F99" s="5">
        <v>593</v>
      </c>
      <c r="G99" s="29">
        <v>1</v>
      </c>
    </row>
    <row r="100" spans="1:7" x14ac:dyDescent="0.2">
      <c r="A100">
        <v>513</v>
      </c>
      <c r="B100">
        <v>664</v>
      </c>
      <c r="C100" t="s">
        <v>6</v>
      </c>
      <c r="D100">
        <v>3</v>
      </c>
      <c r="F100" s="5">
        <v>785</v>
      </c>
      <c r="G100" s="29">
        <v>1</v>
      </c>
    </row>
    <row r="101" spans="1:7" x14ac:dyDescent="0.2">
      <c r="A101">
        <v>513</v>
      </c>
      <c r="B101">
        <v>664</v>
      </c>
      <c r="C101" t="s">
        <v>6</v>
      </c>
      <c r="D101">
        <v>1</v>
      </c>
      <c r="F101" s="5">
        <v>386</v>
      </c>
      <c r="G101" s="29">
        <v>1</v>
      </c>
    </row>
    <row r="102" spans="1:7" x14ac:dyDescent="0.2">
      <c r="A102">
        <v>839</v>
      </c>
      <c r="B102">
        <v>664</v>
      </c>
      <c r="C102" t="s">
        <v>6</v>
      </c>
      <c r="D102">
        <v>4</v>
      </c>
      <c r="F102" s="5">
        <v>131</v>
      </c>
      <c r="G102" s="29">
        <v>1</v>
      </c>
    </row>
    <row r="103" spans="1:7" x14ac:dyDescent="0.2">
      <c r="A103">
        <v>595</v>
      </c>
      <c r="B103">
        <v>664</v>
      </c>
      <c r="C103" t="s">
        <v>6</v>
      </c>
      <c r="D103">
        <v>2</v>
      </c>
      <c r="F103" s="5">
        <v>584</v>
      </c>
      <c r="G103" s="29">
        <v>1</v>
      </c>
    </row>
    <row r="104" spans="1:7" x14ac:dyDescent="0.2">
      <c r="A104">
        <v>753</v>
      </c>
      <c r="B104">
        <v>664</v>
      </c>
      <c r="C104" t="s">
        <v>6</v>
      </c>
      <c r="D104">
        <v>4</v>
      </c>
      <c r="F104" s="5">
        <v>516</v>
      </c>
      <c r="G104" s="29">
        <v>1</v>
      </c>
    </row>
    <row r="105" spans="1:7" x14ac:dyDescent="0.2">
      <c r="A105">
        <v>336</v>
      </c>
      <c r="B105">
        <v>664</v>
      </c>
      <c r="C105" t="s">
        <v>6</v>
      </c>
      <c r="D105">
        <v>1</v>
      </c>
      <c r="F105" s="5" t="s">
        <v>1</v>
      </c>
      <c r="G105" s="29">
        <v>231</v>
      </c>
    </row>
    <row r="106" spans="1:7" x14ac:dyDescent="0.2">
      <c r="A106">
        <v>336</v>
      </c>
      <c r="B106">
        <v>664</v>
      </c>
      <c r="C106" t="s">
        <v>6</v>
      </c>
      <c r="D106">
        <v>2</v>
      </c>
    </row>
    <row r="107" spans="1:7" x14ac:dyDescent="0.2">
      <c r="A107">
        <v>565</v>
      </c>
      <c r="B107">
        <v>664</v>
      </c>
      <c r="C107" t="s">
        <v>6</v>
      </c>
      <c r="D107">
        <v>1</v>
      </c>
    </row>
    <row r="108" spans="1:7" x14ac:dyDescent="0.2">
      <c r="A108">
        <v>100</v>
      </c>
      <c r="B108">
        <v>664</v>
      </c>
      <c r="C108" t="s">
        <v>6</v>
      </c>
      <c r="D108">
        <v>1</v>
      </c>
    </row>
    <row r="109" spans="1:7" x14ac:dyDescent="0.2">
      <c r="A109">
        <v>100</v>
      </c>
      <c r="B109">
        <v>664</v>
      </c>
      <c r="C109" t="s">
        <v>6</v>
      </c>
      <c r="D109">
        <v>1</v>
      </c>
    </row>
    <row r="110" spans="1:7" x14ac:dyDescent="0.2">
      <c r="A110">
        <v>928</v>
      </c>
      <c r="B110">
        <v>664</v>
      </c>
      <c r="C110" t="s">
        <v>6</v>
      </c>
      <c r="D110">
        <v>7</v>
      </c>
    </row>
    <row r="111" spans="1:7" x14ac:dyDescent="0.2">
      <c r="A111">
        <v>928</v>
      </c>
      <c r="B111">
        <v>664</v>
      </c>
      <c r="C111" t="s">
        <v>6</v>
      </c>
      <c r="D111">
        <v>1</v>
      </c>
    </row>
    <row r="112" spans="1:7" x14ac:dyDescent="0.2">
      <c r="A112">
        <v>725</v>
      </c>
      <c r="B112">
        <v>664</v>
      </c>
      <c r="C112" t="s">
        <v>6</v>
      </c>
      <c r="D112">
        <v>1</v>
      </c>
    </row>
    <row r="113" spans="1:4" x14ac:dyDescent="0.2">
      <c r="A113">
        <v>829</v>
      </c>
      <c r="B113">
        <v>664</v>
      </c>
      <c r="C113" t="s">
        <v>6</v>
      </c>
      <c r="D113">
        <v>1</v>
      </c>
    </row>
    <row r="114" spans="1:4" x14ac:dyDescent="0.2">
      <c r="A114">
        <v>173</v>
      </c>
      <c r="B114">
        <v>664</v>
      </c>
      <c r="C114" t="s">
        <v>6</v>
      </c>
      <c r="D114">
        <v>1</v>
      </c>
    </row>
    <row r="115" spans="1:4" x14ac:dyDescent="0.2">
      <c r="A115">
        <v>173</v>
      </c>
      <c r="B115">
        <v>664</v>
      </c>
      <c r="C115" t="s">
        <v>6</v>
      </c>
      <c r="D115">
        <v>1</v>
      </c>
    </row>
    <row r="116" spans="1:4" x14ac:dyDescent="0.2">
      <c r="A116">
        <v>238</v>
      </c>
      <c r="B116">
        <v>664</v>
      </c>
      <c r="C116" t="s">
        <v>6</v>
      </c>
      <c r="D116">
        <v>1</v>
      </c>
    </row>
    <row r="117" spans="1:4" x14ac:dyDescent="0.2">
      <c r="A117">
        <v>238</v>
      </c>
      <c r="B117">
        <v>664</v>
      </c>
      <c r="C117" t="s">
        <v>6</v>
      </c>
      <c r="D117">
        <v>2</v>
      </c>
    </row>
    <row r="118" spans="1:4" x14ac:dyDescent="0.2">
      <c r="A118">
        <v>230</v>
      </c>
      <c r="B118">
        <v>664</v>
      </c>
      <c r="C118" t="s">
        <v>6</v>
      </c>
      <c r="D118">
        <v>2</v>
      </c>
    </row>
    <row r="119" spans="1:4" x14ac:dyDescent="0.2">
      <c r="A119">
        <v>230</v>
      </c>
      <c r="B119">
        <v>664</v>
      </c>
      <c r="C119" t="s">
        <v>6</v>
      </c>
      <c r="D119">
        <v>1</v>
      </c>
    </row>
    <row r="120" spans="1:4" x14ac:dyDescent="0.2">
      <c r="A120">
        <v>946</v>
      </c>
      <c r="B120">
        <v>664</v>
      </c>
      <c r="C120" t="s">
        <v>6</v>
      </c>
      <c r="D120">
        <v>3</v>
      </c>
    </row>
    <row r="121" spans="1:4" x14ac:dyDescent="0.2">
      <c r="A121">
        <v>946</v>
      </c>
      <c r="B121">
        <v>664</v>
      </c>
      <c r="C121" t="s">
        <v>6</v>
      </c>
      <c r="D121">
        <v>1</v>
      </c>
    </row>
    <row r="122" spans="1:4" x14ac:dyDescent="0.2">
      <c r="A122">
        <v>241</v>
      </c>
      <c r="B122">
        <v>664</v>
      </c>
      <c r="C122" t="s">
        <v>6</v>
      </c>
      <c r="D122">
        <v>2</v>
      </c>
    </row>
    <row r="123" spans="1:4" x14ac:dyDescent="0.2">
      <c r="A123">
        <v>640</v>
      </c>
      <c r="B123">
        <v>664</v>
      </c>
      <c r="C123" t="s">
        <v>6</v>
      </c>
      <c r="D123">
        <v>1</v>
      </c>
    </row>
    <row r="124" spans="1:4" x14ac:dyDescent="0.2">
      <c r="A124">
        <v>640</v>
      </c>
      <c r="B124">
        <v>664</v>
      </c>
      <c r="C124" t="s">
        <v>6</v>
      </c>
      <c r="D124">
        <v>1</v>
      </c>
    </row>
    <row r="125" spans="1:4" x14ac:dyDescent="0.2">
      <c r="A125">
        <v>821</v>
      </c>
      <c r="B125">
        <v>664</v>
      </c>
      <c r="C125" t="s">
        <v>6</v>
      </c>
      <c r="D125">
        <v>3</v>
      </c>
    </row>
    <row r="126" spans="1:4" x14ac:dyDescent="0.2">
      <c r="A126">
        <v>834</v>
      </c>
      <c r="B126">
        <v>664</v>
      </c>
      <c r="C126" t="s">
        <v>6</v>
      </c>
      <c r="D126">
        <v>1</v>
      </c>
    </row>
    <row r="127" spans="1:4" x14ac:dyDescent="0.2">
      <c r="A127">
        <v>191</v>
      </c>
      <c r="B127">
        <v>664</v>
      </c>
      <c r="C127" t="s">
        <v>6</v>
      </c>
      <c r="D127">
        <v>1</v>
      </c>
    </row>
    <row r="128" spans="1:4" x14ac:dyDescent="0.2">
      <c r="A128">
        <v>191</v>
      </c>
      <c r="B128">
        <v>664</v>
      </c>
      <c r="C128" t="s">
        <v>6</v>
      </c>
      <c r="D128">
        <v>2</v>
      </c>
    </row>
    <row r="129" spans="1:4" x14ac:dyDescent="0.2">
      <c r="A129">
        <v>27</v>
      </c>
      <c r="B129">
        <v>664</v>
      </c>
      <c r="C129" t="s">
        <v>6</v>
      </c>
      <c r="D129">
        <v>2</v>
      </c>
    </row>
    <row r="130" spans="1:4" x14ac:dyDescent="0.2">
      <c r="A130">
        <v>407</v>
      </c>
      <c r="B130">
        <v>664</v>
      </c>
      <c r="C130" t="s">
        <v>6</v>
      </c>
      <c r="D130">
        <v>1</v>
      </c>
    </row>
    <row r="131" spans="1:4" x14ac:dyDescent="0.2">
      <c r="A131">
        <v>390</v>
      </c>
      <c r="B131">
        <v>710</v>
      </c>
      <c r="C131" t="s">
        <v>5</v>
      </c>
      <c r="D131">
        <v>1</v>
      </c>
    </row>
    <row r="132" spans="1:4" x14ac:dyDescent="0.2">
      <c r="A132">
        <v>237</v>
      </c>
      <c r="B132">
        <v>664</v>
      </c>
      <c r="C132" t="s">
        <v>6</v>
      </c>
      <c r="D132">
        <v>2</v>
      </c>
    </row>
    <row r="133" spans="1:4" x14ac:dyDescent="0.2">
      <c r="A133">
        <v>247</v>
      </c>
      <c r="B133">
        <v>664</v>
      </c>
      <c r="C133" t="s">
        <v>6</v>
      </c>
      <c r="D133">
        <v>1</v>
      </c>
    </row>
    <row r="134" spans="1:4" x14ac:dyDescent="0.2">
      <c r="A134">
        <v>947</v>
      </c>
      <c r="B134">
        <v>664</v>
      </c>
      <c r="C134" t="s">
        <v>6</v>
      </c>
      <c r="D134">
        <v>1</v>
      </c>
    </row>
    <row r="135" spans="1:4" x14ac:dyDescent="0.2">
      <c r="A135">
        <v>478</v>
      </c>
      <c r="B135">
        <v>664</v>
      </c>
      <c r="C135" t="s">
        <v>6</v>
      </c>
      <c r="D135">
        <v>1</v>
      </c>
    </row>
    <row r="136" spans="1:4" x14ac:dyDescent="0.2">
      <c r="A136">
        <v>757</v>
      </c>
      <c r="B136">
        <v>664</v>
      </c>
      <c r="C136" t="s">
        <v>6</v>
      </c>
      <c r="D136">
        <v>2</v>
      </c>
    </row>
    <row r="137" spans="1:4" x14ac:dyDescent="0.2">
      <c r="A137">
        <v>584</v>
      </c>
      <c r="B137">
        <v>664</v>
      </c>
      <c r="C137" t="s">
        <v>6</v>
      </c>
      <c r="D137">
        <v>1</v>
      </c>
    </row>
  </sheetData>
  <conditionalFormatting sqref="J31:N31 J33:N33 J35:N35">
    <cfRule type="cellIs" dxfId="3" priority="1" operator="greaterThanOrEqual">
      <formula>0</formula>
    </cfRule>
    <cfRule type="cellIs" dxfId="2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32B9-40C9-7D40-8B7E-ABDCEDED6D63}">
  <dimension ref="A1:O113"/>
  <sheetViews>
    <sheetView workbookViewId="0">
      <selection activeCell="O29" sqref="O29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9.6640625" bestFit="1" customWidth="1"/>
    <col min="9" max="9" width="3.83203125" bestFit="1" customWidth="1"/>
    <col min="10" max="10" width="10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973</v>
      </c>
      <c r="B3">
        <v>664</v>
      </c>
      <c r="C3" t="s">
        <v>6</v>
      </c>
      <c r="D3">
        <v>3</v>
      </c>
      <c r="F3" s="5">
        <v>664</v>
      </c>
      <c r="G3" s="29">
        <v>3</v>
      </c>
      <c r="H3" s="29">
        <v>172</v>
      </c>
      <c r="I3" s="29">
        <v>14</v>
      </c>
      <c r="J3" s="29">
        <v>189</v>
      </c>
    </row>
    <row r="4" spans="1:10" x14ac:dyDescent="0.2">
      <c r="A4">
        <v>377</v>
      </c>
      <c r="B4">
        <v>664</v>
      </c>
      <c r="C4" t="s">
        <v>6</v>
      </c>
      <c r="D4">
        <v>1</v>
      </c>
      <c r="F4" s="5">
        <v>710</v>
      </c>
      <c r="G4" s="29"/>
      <c r="H4" s="29"/>
      <c r="I4" s="29">
        <v>8</v>
      </c>
      <c r="J4" s="29">
        <v>8</v>
      </c>
    </row>
    <row r="5" spans="1:10" x14ac:dyDescent="0.2">
      <c r="A5">
        <v>377</v>
      </c>
      <c r="B5">
        <v>664</v>
      </c>
      <c r="C5" t="s">
        <v>6</v>
      </c>
      <c r="D5">
        <v>2</v>
      </c>
      <c r="F5" s="5" t="s">
        <v>1</v>
      </c>
      <c r="G5" s="29">
        <v>3</v>
      </c>
      <c r="H5" s="29">
        <v>172</v>
      </c>
      <c r="I5" s="29">
        <v>22</v>
      </c>
      <c r="J5" s="29">
        <v>197</v>
      </c>
    </row>
    <row r="6" spans="1:10" x14ac:dyDescent="0.2">
      <c r="A6">
        <v>523</v>
      </c>
      <c r="B6">
        <v>664</v>
      </c>
      <c r="C6" t="s">
        <v>6</v>
      </c>
      <c r="D6">
        <v>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794</v>
      </c>
      <c r="B8">
        <v>664</v>
      </c>
      <c r="C8" t="s">
        <v>6</v>
      </c>
      <c r="D8">
        <v>1</v>
      </c>
      <c r="F8" s="5">
        <v>456</v>
      </c>
      <c r="G8" s="29">
        <v>13</v>
      </c>
      <c r="H8">
        <v>1</v>
      </c>
      <c r="I8">
        <f>COUNTIF($G$8:$G$104,$H8)</f>
        <v>32</v>
      </c>
      <c r="J8">
        <f>I8*H8</f>
        <v>32</v>
      </c>
    </row>
    <row r="9" spans="1:10" x14ac:dyDescent="0.2">
      <c r="A9">
        <v>395</v>
      </c>
      <c r="B9">
        <v>664</v>
      </c>
      <c r="C9" t="s">
        <v>6</v>
      </c>
      <c r="D9">
        <v>1</v>
      </c>
      <c r="F9" s="5">
        <v>544</v>
      </c>
      <c r="G9" s="29">
        <v>10</v>
      </c>
      <c r="H9">
        <v>2</v>
      </c>
      <c r="I9">
        <f t="shared" ref="I9:I26" si="0">COUNTIF($G$8:$G$104,$H9)</f>
        <v>21</v>
      </c>
      <c r="J9">
        <f t="shared" ref="J9:J26" si="1">I9*H9</f>
        <v>42</v>
      </c>
    </row>
    <row r="10" spans="1:10" x14ac:dyDescent="0.2">
      <c r="A10">
        <v>395</v>
      </c>
      <c r="B10">
        <v>664</v>
      </c>
      <c r="C10" t="s">
        <v>6</v>
      </c>
      <c r="D10">
        <v>3</v>
      </c>
      <c r="F10" s="5">
        <v>928</v>
      </c>
      <c r="G10" s="29">
        <v>8</v>
      </c>
      <c r="H10">
        <v>3</v>
      </c>
      <c r="I10">
        <f t="shared" si="0"/>
        <v>12</v>
      </c>
      <c r="J10">
        <f t="shared" si="1"/>
        <v>36</v>
      </c>
    </row>
    <row r="11" spans="1:10" x14ac:dyDescent="0.2">
      <c r="A11">
        <v>715</v>
      </c>
      <c r="B11">
        <v>664</v>
      </c>
      <c r="C11" t="s">
        <v>6</v>
      </c>
      <c r="D11">
        <v>1</v>
      </c>
      <c r="F11" s="5">
        <v>542</v>
      </c>
      <c r="G11" s="29">
        <v>8</v>
      </c>
      <c r="H11">
        <v>4</v>
      </c>
      <c r="I11">
        <f t="shared" si="0"/>
        <v>5</v>
      </c>
      <c r="J11">
        <f t="shared" si="1"/>
        <v>20</v>
      </c>
    </row>
    <row r="12" spans="1:10" x14ac:dyDescent="0.2">
      <c r="A12">
        <v>301</v>
      </c>
      <c r="B12">
        <v>664</v>
      </c>
      <c r="C12" t="s">
        <v>6</v>
      </c>
      <c r="D12">
        <v>2</v>
      </c>
      <c r="F12" s="5">
        <v>933</v>
      </c>
      <c r="G12" s="29">
        <v>7</v>
      </c>
      <c r="H12">
        <v>5</v>
      </c>
      <c r="I12">
        <f t="shared" si="0"/>
        <v>3</v>
      </c>
      <c r="J12">
        <f t="shared" si="1"/>
        <v>15</v>
      </c>
    </row>
    <row r="13" spans="1:10" x14ac:dyDescent="0.2">
      <c r="A13">
        <v>771</v>
      </c>
      <c r="B13">
        <v>664</v>
      </c>
      <c r="C13" t="s">
        <v>6</v>
      </c>
      <c r="D13">
        <v>2</v>
      </c>
      <c r="F13" s="5">
        <v>674</v>
      </c>
      <c r="G13" s="29">
        <v>6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667</v>
      </c>
      <c r="B14">
        <v>664</v>
      </c>
      <c r="C14" t="s">
        <v>6</v>
      </c>
      <c r="D14">
        <v>1</v>
      </c>
      <c r="F14" s="5">
        <v>173</v>
      </c>
      <c r="G14" s="29">
        <v>5</v>
      </c>
      <c r="H14">
        <v>7</v>
      </c>
      <c r="I14">
        <f t="shared" si="0"/>
        <v>1</v>
      </c>
      <c r="J14">
        <f t="shared" si="1"/>
        <v>7</v>
      </c>
    </row>
    <row r="15" spans="1:10" x14ac:dyDescent="0.2">
      <c r="A15">
        <v>427</v>
      </c>
      <c r="B15">
        <v>664</v>
      </c>
      <c r="C15" t="s">
        <v>6</v>
      </c>
      <c r="D15">
        <v>2</v>
      </c>
      <c r="F15" s="5">
        <v>440</v>
      </c>
      <c r="G15" s="29">
        <v>5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>
        <v>125</v>
      </c>
      <c r="B16">
        <v>664</v>
      </c>
      <c r="C16" t="s">
        <v>6</v>
      </c>
      <c r="D16">
        <v>1</v>
      </c>
      <c r="F16" s="5">
        <v>513</v>
      </c>
      <c r="G16" s="29">
        <v>5</v>
      </c>
      <c r="H16">
        <v>9</v>
      </c>
      <c r="I16">
        <f t="shared" si="0"/>
        <v>0</v>
      </c>
      <c r="J16">
        <f t="shared" si="1"/>
        <v>0</v>
      </c>
    </row>
    <row r="17" spans="1:15" x14ac:dyDescent="0.2">
      <c r="A17">
        <v>125</v>
      </c>
      <c r="B17">
        <v>664</v>
      </c>
      <c r="C17" t="s">
        <v>6</v>
      </c>
      <c r="D17">
        <v>2</v>
      </c>
      <c r="F17" s="5">
        <v>753</v>
      </c>
      <c r="G17" s="29">
        <v>4</v>
      </c>
      <c r="H17">
        <v>10</v>
      </c>
      <c r="I17">
        <f t="shared" si="0"/>
        <v>1</v>
      </c>
      <c r="J17">
        <f t="shared" si="1"/>
        <v>10</v>
      </c>
    </row>
    <row r="18" spans="1:15" x14ac:dyDescent="0.2">
      <c r="A18">
        <v>387</v>
      </c>
      <c r="B18">
        <v>664</v>
      </c>
      <c r="C18" t="s">
        <v>6</v>
      </c>
      <c r="D18">
        <v>1</v>
      </c>
      <c r="F18" s="5">
        <v>395</v>
      </c>
      <c r="G18" s="29">
        <v>4</v>
      </c>
      <c r="H18">
        <v>11</v>
      </c>
      <c r="I18">
        <f t="shared" si="0"/>
        <v>0</v>
      </c>
      <c r="J18">
        <f t="shared" si="1"/>
        <v>0</v>
      </c>
    </row>
    <row r="19" spans="1:15" x14ac:dyDescent="0.2">
      <c r="A19">
        <v>456</v>
      </c>
      <c r="B19">
        <v>664</v>
      </c>
      <c r="C19" t="s">
        <v>6</v>
      </c>
      <c r="D19">
        <v>2</v>
      </c>
      <c r="F19" s="5">
        <v>973</v>
      </c>
      <c r="G19" s="29">
        <v>4</v>
      </c>
      <c r="H19">
        <v>12</v>
      </c>
      <c r="I19">
        <f t="shared" si="0"/>
        <v>0</v>
      </c>
      <c r="J19">
        <f t="shared" si="1"/>
        <v>0</v>
      </c>
    </row>
    <row r="20" spans="1:15" x14ac:dyDescent="0.2">
      <c r="A20">
        <v>456</v>
      </c>
      <c r="B20">
        <v>664</v>
      </c>
      <c r="C20" t="s">
        <v>6</v>
      </c>
      <c r="D20">
        <v>1</v>
      </c>
      <c r="F20" s="5">
        <v>230</v>
      </c>
      <c r="G20" s="29">
        <v>4</v>
      </c>
      <c r="H20">
        <v>13</v>
      </c>
      <c r="I20">
        <f t="shared" si="0"/>
        <v>1</v>
      </c>
      <c r="J20">
        <f t="shared" si="1"/>
        <v>13</v>
      </c>
    </row>
    <row r="21" spans="1:15" x14ac:dyDescent="0.2">
      <c r="A21">
        <v>79</v>
      </c>
      <c r="B21">
        <v>664</v>
      </c>
      <c r="C21" t="s">
        <v>6</v>
      </c>
      <c r="D21">
        <v>2</v>
      </c>
      <c r="F21" s="5">
        <v>532</v>
      </c>
      <c r="G21" s="29">
        <v>4</v>
      </c>
      <c r="H21">
        <v>14</v>
      </c>
      <c r="I21">
        <f t="shared" si="0"/>
        <v>0</v>
      </c>
      <c r="J21">
        <f t="shared" si="1"/>
        <v>0</v>
      </c>
    </row>
    <row r="22" spans="1:15" x14ac:dyDescent="0.2">
      <c r="A22">
        <v>131</v>
      </c>
      <c r="B22">
        <v>664</v>
      </c>
      <c r="C22" t="s">
        <v>6</v>
      </c>
      <c r="D22">
        <v>1</v>
      </c>
      <c r="F22" s="5">
        <v>800</v>
      </c>
      <c r="G22" s="29">
        <v>3</v>
      </c>
      <c r="H22">
        <v>15</v>
      </c>
      <c r="I22">
        <f t="shared" si="0"/>
        <v>0</v>
      </c>
      <c r="J22">
        <f t="shared" si="1"/>
        <v>0</v>
      </c>
    </row>
    <row r="23" spans="1:15" x14ac:dyDescent="0.2">
      <c r="A23">
        <v>386</v>
      </c>
      <c r="B23">
        <v>664</v>
      </c>
      <c r="C23" t="s">
        <v>6</v>
      </c>
      <c r="D23">
        <v>1</v>
      </c>
      <c r="F23" s="5">
        <v>965</v>
      </c>
      <c r="G23" s="29">
        <v>3</v>
      </c>
      <c r="H23">
        <v>16</v>
      </c>
      <c r="I23">
        <f t="shared" si="0"/>
        <v>0</v>
      </c>
      <c r="J23">
        <f t="shared" si="1"/>
        <v>0</v>
      </c>
    </row>
    <row r="24" spans="1:15" x14ac:dyDescent="0.2">
      <c r="A24">
        <v>812</v>
      </c>
      <c r="B24">
        <v>664</v>
      </c>
      <c r="C24" t="s">
        <v>6</v>
      </c>
      <c r="D24">
        <v>3</v>
      </c>
      <c r="F24" s="5">
        <v>821</v>
      </c>
      <c r="G24" s="29">
        <v>3</v>
      </c>
      <c r="H24">
        <v>17</v>
      </c>
      <c r="I24">
        <f t="shared" si="0"/>
        <v>0</v>
      </c>
      <c r="J24">
        <f t="shared" si="1"/>
        <v>0</v>
      </c>
    </row>
    <row r="25" spans="1:15" x14ac:dyDescent="0.2">
      <c r="A25">
        <v>421</v>
      </c>
      <c r="B25">
        <v>664</v>
      </c>
      <c r="C25" t="s">
        <v>6</v>
      </c>
      <c r="D25">
        <v>3</v>
      </c>
      <c r="F25" s="5">
        <v>125</v>
      </c>
      <c r="G25" s="29">
        <v>3</v>
      </c>
      <c r="H25">
        <v>18</v>
      </c>
      <c r="I25">
        <f t="shared" si="0"/>
        <v>0</v>
      </c>
      <c r="J25">
        <f t="shared" si="1"/>
        <v>0</v>
      </c>
    </row>
    <row r="26" spans="1:15" x14ac:dyDescent="0.2">
      <c r="A26">
        <v>537</v>
      </c>
      <c r="B26">
        <v>664</v>
      </c>
      <c r="C26" t="s">
        <v>6</v>
      </c>
      <c r="D26">
        <v>1</v>
      </c>
      <c r="F26" s="5">
        <v>705</v>
      </c>
      <c r="G26" s="29">
        <v>3</v>
      </c>
      <c r="H26">
        <v>19</v>
      </c>
      <c r="I26">
        <f t="shared" si="0"/>
        <v>0</v>
      </c>
      <c r="J26">
        <f t="shared" si="1"/>
        <v>0</v>
      </c>
    </row>
    <row r="27" spans="1:15" x14ac:dyDescent="0.2">
      <c r="A27">
        <v>537</v>
      </c>
      <c r="B27">
        <v>664</v>
      </c>
      <c r="C27" t="s">
        <v>6</v>
      </c>
      <c r="D27">
        <v>1</v>
      </c>
      <c r="F27" s="5">
        <v>238</v>
      </c>
      <c r="G27" s="29">
        <v>3</v>
      </c>
      <c r="I27" s="6"/>
      <c r="J27">
        <f>SUM(J8:J26)/SUM(I8:I26)</f>
        <v>2.4936708860759493</v>
      </c>
    </row>
    <row r="28" spans="1:15" x14ac:dyDescent="0.2">
      <c r="A28">
        <v>967</v>
      </c>
      <c r="B28">
        <v>664</v>
      </c>
      <c r="C28" t="s">
        <v>6</v>
      </c>
      <c r="D28">
        <v>1</v>
      </c>
      <c r="F28" s="5">
        <v>812</v>
      </c>
      <c r="G28" s="29">
        <v>3</v>
      </c>
      <c r="I28" s="6"/>
      <c r="J28" s="6"/>
    </row>
    <row r="29" spans="1:15" x14ac:dyDescent="0.2">
      <c r="A29">
        <v>967</v>
      </c>
      <c r="B29">
        <v>664</v>
      </c>
      <c r="C29" t="s">
        <v>6</v>
      </c>
      <c r="D29">
        <v>1</v>
      </c>
      <c r="F29" s="5">
        <v>377</v>
      </c>
      <c r="G29" s="29">
        <v>3</v>
      </c>
      <c r="H29" s="24"/>
      <c r="I29" s="25" t="s">
        <v>218</v>
      </c>
      <c r="J29" s="25" t="s">
        <v>213</v>
      </c>
      <c r="K29" s="24" t="s">
        <v>214</v>
      </c>
      <c r="L29" s="24" t="s">
        <v>215</v>
      </c>
      <c r="M29" s="24" t="s">
        <v>216</v>
      </c>
      <c r="N29" s="24" t="s">
        <v>217</v>
      </c>
      <c r="O29" s="24" t="s">
        <v>219</v>
      </c>
    </row>
    <row r="30" spans="1:15" x14ac:dyDescent="0.2">
      <c r="A30">
        <v>788</v>
      </c>
      <c r="B30">
        <v>664</v>
      </c>
      <c r="C30" t="s">
        <v>6</v>
      </c>
      <c r="D30">
        <v>1</v>
      </c>
      <c r="F30" s="5">
        <v>906</v>
      </c>
      <c r="G30" s="29">
        <v>3</v>
      </c>
      <c r="H30" s="24" t="s">
        <v>203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v>97</v>
      </c>
      <c r="O30" s="24">
        <f>SUM(I8:I26)</f>
        <v>79</v>
      </c>
    </row>
    <row r="31" spans="1:15" x14ac:dyDescent="0.2">
      <c r="A31">
        <v>788</v>
      </c>
      <c r="B31">
        <v>664</v>
      </c>
      <c r="C31" t="s">
        <v>6</v>
      </c>
      <c r="D31">
        <v>1</v>
      </c>
      <c r="F31" s="5">
        <v>421</v>
      </c>
      <c r="G31" s="29">
        <v>3</v>
      </c>
      <c r="H31" s="24" t="s">
        <v>211</v>
      </c>
      <c r="I31" s="26" t="s">
        <v>210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  <c r="M31" s="27">
        <f>(M30/L30)-1</f>
        <v>-7.4380165289256173E-2</v>
      </c>
      <c r="N31" s="27">
        <f>(N30/M30)-1</f>
        <v>-0.1339285714285714</v>
      </c>
      <c r="O31" s="27">
        <f>(O30/N30)-1</f>
        <v>-0.18556701030927836</v>
      </c>
    </row>
    <row r="32" spans="1:15" x14ac:dyDescent="0.2">
      <c r="A32">
        <v>871</v>
      </c>
      <c r="B32">
        <v>664</v>
      </c>
      <c r="C32" t="s">
        <v>6</v>
      </c>
      <c r="D32">
        <v>2</v>
      </c>
      <c r="F32" s="5">
        <v>500</v>
      </c>
      <c r="G32" s="29">
        <v>3</v>
      </c>
      <c r="H32" s="24" t="s">
        <v>204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v>231</v>
      </c>
      <c r="O32" s="24">
        <f>SUM(J8:J26)</f>
        <v>197</v>
      </c>
    </row>
    <row r="33" spans="1:15" x14ac:dyDescent="0.2">
      <c r="A33">
        <v>674</v>
      </c>
      <c r="B33">
        <v>664</v>
      </c>
      <c r="C33" t="s">
        <v>6</v>
      </c>
      <c r="D33">
        <v>4</v>
      </c>
      <c r="F33" s="5">
        <v>9</v>
      </c>
      <c r="G33" s="29">
        <v>3</v>
      </c>
      <c r="H33" s="24" t="s">
        <v>211</v>
      </c>
      <c r="I33" s="26" t="s">
        <v>210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  <c r="M33" s="27">
        <f>(M32/L32)-1</f>
        <v>5.6105610561056007E-2</v>
      </c>
      <c r="N33" s="27">
        <f>(N32/M32)-1</f>
        <v>-0.27812499999999996</v>
      </c>
      <c r="O33" s="27">
        <f>(O32/N32)-1</f>
        <v>-0.1471861471861472</v>
      </c>
    </row>
    <row r="34" spans="1:15" x14ac:dyDescent="0.2">
      <c r="A34">
        <v>674</v>
      </c>
      <c r="B34">
        <v>664</v>
      </c>
      <c r="C34" t="s">
        <v>6</v>
      </c>
      <c r="D34">
        <v>2</v>
      </c>
      <c r="F34" s="5">
        <v>897</v>
      </c>
      <c r="G34" s="29">
        <v>2</v>
      </c>
      <c r="H34" s="24" t="s">
        <v>205</v>
      </c>
      <c r="I34" s="28">
        <f>I32/I30</f>
        <v>3.2510638297872338</v>
      </c>
      <c r="J34" s="28">
        <f t="shared" ref="J34:N34" si="2">J32/J30</f>
        <v>2.6140350877192984</v>
      </c>
      <c r="K34" s="28">
        <f t="shared" si="2"/>
        <v>2.4014598540145986</v>
      </c>
      <c r="L34" s="28">
        <f t="shared" si="2"/>
        <v>2.5041322314049586</v>
      </c>
      <c r="M34" s="28">
        <f t="shared" si="2"/>
        <v>2.8571428571428572</v>
      </c>
      <c r="N34" s="28">
        <f t="shared" si="2"/>
        <v>2.3814432989690721</v>
      </c>
      <c r="O34" s="28">
        <f t="shared" ref="O34" si="3">O32/O30</f>
        <v>2.4936708860759493</v>
      </c>
    </row>
    <row r="35" spans="1:15" x14ac:dyDescent="0.2">
      <c r="A35">
        <v>800</v>
      </c>
      <c r="B35">
        <v>664</v>
      </c>
      <c r="C35" t="s">
        <v>6</v>
      </c>
      <c r="D35">
        <v>1</v>
      </c>
      <c r="F35" s="5">
        <v>336</v>
      </c>
      <c r="G35" s="29">
        <v>2</v>
      </c>
      <c r="H35" s="24" t="s">
        <v>211</v>
      </c>
      <c r="I35" s="26" t="s">
        <v>210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  <c r="M35" s="27">
        <f>(M34/L34)-1</f>
        <v>0.14097123998114114</v>
      </c>
      <c r="N35" s="27">
        <f>(N34/M34)-1</f>
        <v>-0.16649484536082482</v>
      </c>
      <c r="O35" s="27">
        <f>(O34/N34)-1</f>
        <v>4.7125869910680018E-2</v>
      </c>
    </row>
    <row r="36" spans="1:15" x14ac:dyDescent="0.2">
      <c r="A36">
        <v>800</v>
      </c>
      <c r="B36">
        <v>664</v>
      </c>
      <c r="C36" t="s">
        <v>6</v>
      </c>
      <c r="D36">
        <v>2</v>
      </c>
      <c r="F36" s="5">
        <v>245</v>
      </c>
      <c r="G36" s="29">
        <v>2</v>
      </c>
    </row>
    <row r="37" spans="1:15" x14ac:dyDescent="0.2">
      <c r="A37">
        <v>544</v>
      </c>
      <c r="B37">
        <v>664</v>
      </c>
      <c r="C37" t="s">
        <v>6</v>
      </c>
      <c r="D37">
        <v>3</v>
      </c>
      <c r="F37" s="5">
        <v>526</v>
      </c>
      <c r="G37" s="29">
        <v>2</v>
      </c>
    </row>
    <row r="38" spans="1:15" x14ac:dyDescent="0.2">
      <c r="A38">
        <v>544</v>
      </c>
      <c r="B38">
        <v>664</v>
      </c>
      <c r="C38" t="s">
        <v>6</v>
      </c>
      <c r="D38">
        <v>2</v>
      </c>
      <c r="F38" s="5">
        <v>390</v>
      </c>
      <c r="G38" s="29">
        <v>2</v>
      </c>
    </row>
    <row r="39" spans="1:15" x14ac:dyDescent="0.2">
      <c r="A39">
        <v>245</v>
      </c>
      <c r="B39">
        <v>664</v>
      </c>
      <c r="C39" t="s">
        <v>7</v>
      </c>
      <c r="D39">
        <v>2</v>
      </c>
      <c r="F39" s="5">
        <v>100</v>
      </c>
      <c r="G39" s="29">
        <v>2</v>
      </c>
    </row>
    <row r="40" spans="1:15" x14ac:dyDescent="0.2">
      <c r="A40">
        <v>676</v>
      </c>
      <c r="B40">
        <v>664</v>
      </c>
      <c r="C40" t="s">
        <v>6</v>
      </c>
      <c r="D40">
        <v>1</v>
      </c>
      <c r="F40" s="5">
        <v>79</v>
      </c>
      <c r="G40" s="29">
        <v>2</v>
      </c>
    </row>
    <row r="41" spans="1:15" x14ac:dyDescent="0.2">
      <c r="A41">
        <v>11</v>
      </c>
      <c r="B41">
        <v>664</v>
      </c>
      <c r="C41" t="s">
        <v>6</v>
      </c>
      <c r="D41">
        <v>1</v>
      </c>
      <c r="F41" s="5">
        <v>967</v>
      </c>
      <c r="G41" s="29">
        <v>2</v>
      </c>
    </row>
    <row r="42" spans="1:15" x14ac:dyDescent="0.2">
      <c r="A42">
        <v>374</v>
      </c>
      <c r="B42">
        <v>664</v>
      </c>
      <c r="C42" t="s">
        <v>6</v>
      </c>
      <c r="D42">
        <v>1</v>
      </c>
      <c r="F42" s="5">
        <v>788</v>
      </c>
      <c r="G42" s="29">
        <v>2</v>
      </c>
    </row>
    <row r="43" spans="1:15" x14ac:dyDescent="0.2">
      <c r="A43">
        <v>866</v>
      </c>
      <c r="B43">
        <v>664</v>
      </c>
      <c r="C43" t="s">
        <v>6</v>
      </c>
      <c r="D43">
        <v>1</v>
      </c>
      <c r="F43" s="5">
        <v>27</v>
      </c>
      <c r="G43" s="29">
        <v>2</v>
      </c>
    </row>
    <row r="44" spans="1:15" x14ac:dyDescent="0.2">
      <c r="A44">
        <v>965</v>
      </c>
      <c r="B44">
        <v>664</v>
      </c>
      <c r="C44" t="s">
        <v>6</v>
      </c>
      <c r="D44">
        <v>1</v>
      </c>
      <c r="F44" s="5">
        <v>226</v>
      </c>
      <c r="G44" s="29">
        <v>2</v>
      </c>
    </row>
    <row r="45" spans="1:15" x14ac:dyDescent="0.2">
      <c r="A45">
        <v>965</v>
      </c>
      <c r="B45">
        <v>664</v>
      </c>
      <c r="C45" t="s">
        <v>6</v>
      </c>
      <c r="D45">
        <v>2</v>
      </c>
      <c r="F45" s="5">
        <v>643</v>
      </c>
      <c r="G45" s="29">
        <v>2</v>
      </c>
    </row>
    <row r="46" spans="1:15" x14ac:dyDescent="0.2">
      <c r="A46">
        <v>9</v>
      </c>
      <c r="B46">
        <v>664</v>
      </c>
      <c r="C46" t="s">
        <v>6</v>
      </c>
      <c r="D46">
        <v>1</v>
      </c>
      <c r="F46" s="5">
        <v>871</v>
      </c>
      <c r="G46" s="29">
        <v>2</v>
      </c>
    </row>
    <row r="47" spans="1:15" x14ac:dyDescent="0.2">
      <c r="A47">
        <v>9</v>
      </c>
      <c r="B47">
        <v>664</v>
      </c>
      <c r="C47" t="s">
        <v>6</v>
      </c>
      <c r="D47">
        <v>2</v>
      </c>
      <c r="F47" s="5">
        <v>301</v>
      </c>
      <c r="G47" s="29">
        <v>2</v>
      </c>
    </row>
    <row r="48" spans="1:15" x14ac:dyDescent="0.2">
      <c r="A48">
        <v>544</v>
      </c>
      <c r="B48">
        <v>710</v>
      </c>
      <c r="C48" t="s">
        <v>5</v>
      </c>
      <c r="D48">
        <v>5</v>
      </c>
      <c r="F48" s="5">
        <v>241</v>
      </c>
      <c r="G48" s="29">
        <v>2</v>
      </c>
    </row>
    <row r="49" spans="1:7" x14ac:dyDescent="0.2">
      <c r="A49">
        <v>310</v>
      </c>
      <c r="B49">
        <v>664</v>
      </c>
      <c r="C49" t="s">
        <v>6</v>
      </c>
      <c r="D49">
        <v>1</v>
      </c>
      <c r="F49" s="5">
        <v>748</v>
      </c>
      <c r="G49" s="29">
        <v>2</v>
      </c>
    </row>
    <row r="50" spans="1:7" x14ac:dyDescent="0.2">
      <c r="A50">
        <v>440</v>
      </c>
      <c r="B50">
        <v>664</v>
      </c>
      <c r="C50" t="s">
        <v>6</v>
      </c>
      <c r="D50">
        <v>2</v>
      </c>
      <c r="F50" s="5">
        <v>427</v>
      </c>
      <c r="G50" s="29">
        <v>2</v>
      </c>
    </row>
    <row r="51" spans="1:7" x14ac:dyDescent="0.2">
      <c r="A51">
        <v>440</v>
      </c>
      <c r="B51">
        <v>664</v>
      </c>
      <c r="C51" t="s">
        <v>6</v>
      </c>
      <c r="D51">
        <v>3</v>
      </c>
      <c r="F51" s="5">
        <v>757</v>
      </c>
      <c r="G51" s="29">
        <v>2</v>
      </c>
    </row>
    <row r="52" spans="1:7" x14ac:dyDescent="0.2">
      <c r="A52">
        <v>424</v>
      </c>
      <c r="B52">
        <v>664</v>
      </c>
      <c r="C52" t="s">
        <v>6</v>
      </c>
      <c r="D52">
        <v>1</v>
      </c>
      <c r="F52" s="5">
        <v>771</v>
      </c>
      <c r="G52" s="29">
        <v>2</v>
      </c>
    </row>
    <row r="53" spans="1:7" x14ac:dyDescent="0.2">
      <c r="A53">
        <v>679</v>
      </c>
      <c r="B53">
        <v>664</v>
      </c>
      <c r="C53" t="s">
        <v>6</v>
      </c>
      <c r="D53">
        <v>1</v>
      </c>
      <c r="F53" s="5">
        <v>537</v>
      </c>
      <c r="G53" s="29">
        <v>2</v>
      </c>
    </row>
    <row r="54" spans="1:7" x14ac:dyDescent="0.2">
      <c r="A54">
        <v>500</v>
      </c>
      <c r="B54">
        <v>710</v>
      </c>
      <c r="C54" t="s">
        <v>5</v>
      </c>
      <c r="D54">
        <v>2</v>
      </c>
      <c r="F54" s="5">
        <v>36</v>
      </c>
      <c r="G54" s="29">
        <v>2</v>
      </c>
    </row>
    <row r="55" spans="1:7" x14ac:dyDescent="0.2">
      <c r="A55">
        <v>906</v>
      </c>
      <c r="B55">
        <v>664</v>
      </c>
      <c r="C55" t="s">
        <v>6</v>
      </c>
      <c r="D55">
        <v>3</v>
      </c>
      <c r="F55" s="5">
        <v>192</v>
      </c>
      <c r="G55" s="29">
        <v>1</v>
      </c>
    </row>
    <row r="56" spans="1:7" x14ac:dyDescent="0.2">
      <c r="A56">
        <v>542</v>
      </c>
      <c r="B56">
        <v>664</v>
      </c>
      <c r="C56" t="s">
        <v>6</v>
      </c>
      <c r="D56">
        <v>6</v>
      </c>
      <c r="F56" s="5">
        <v>892</v>
      </c>
      <c r="G56" s="29">
        <v>1</v>
      </c>
    </row>
    <row r="57" spans="1:7" x14ac:dyDescent="0.2">
      <c r="A57">
        <v>542</v>
      </c>
      <c r="B57">
        <v>664</v>
      </c>
      <c r="C57" t="s">
        <v>6</v>
      </c>
      <c r="D57">
        <v>2</v>
      </c>
      <c r="F57" s="5">
        <v>7</v>
      </c>
      <c r="G57" s="29">
        <v>1</v>
      </c>
    </row>
    <row r="58" spans="1:7" x14ac:dyDescent="0.2">
      <c r="A58">
        <v>7</v>
      </c>
      <c r="B58">
        <v>664</v>
      </c>
      <c r="C58" t="s">
        <v>6</v>
      </c>
      <c r="D58">
        <v>1</v>
      </c>
      <c r="F58" s="5">
        <v>584</v>
      </c>
      <c r="G58" s="29">
        <v>1</v>
      </c>
    </row>
    <row r="59" spans="1:7" x14ac:dyDescent="0.2">
      <c r="A59">
        <v>390</v>
      </c>
      <c r="B59">
        <v>664</v>
      </c>
      <c r="C59" t="s">
        <v>6</v>
      </c>
      <c r="D59">
        <v>1</v>
      </c>
      <c r="F59" s="5">
        <v>83</v>
      </c>
      <c r="G59" s="29">
        <v>1</v>
      </c>
    </row>
    <row r="60" spans="1:7" x14ac:dyDescent="0.2">
      <c r="A60">
        <v>390</v>
      </c>
      <c r="B60">
        <v>664</v>
      </c>
      <c r="C60" t="s">
        <v>6</v>
      </c>
      <c r="D60">
        <v>1</v>
      </c>
      <c r="F60" s="5">
        <v>593</v>
      </c>
      <c r="G60" s="29">
        <v>1</v>
      </c>
    </row>
    <row r="61" spans="1:7" x14ac:dyDescent="0.2">
      <c r="A61">
        <v>132</v>
      </c>
      <c r="B61">
        <v>664</v>
      </c>
      <c r="C61" t="s">
        <v>6</v>
      </c>
      <c r="D61">
        <v>1</v>
      </c>
      <c r="F61" s="5">
        <v>461</v>
      </c>
      <c r="G61" s="29">
        <v>1</v>
      </c>
    </row>
    <row r="62" spans="1:7" x14ac:dyDescent="0.2">
      <c r="A62">
        <v>897</v>
      </c>
      <c r="B62">
        <v>664</v>
      </c>
      <c r="C62" t="s">
        <v>6</v>
      </c>
      <c r="D62">
        <v>2</v>
      </c>
      <c r="F62" s="5">
        <v>374</v>
      </c>
      <c r="G62" s="29">
        <v>1</v>
      </c>
    </row>
    <row r="63" spans="1:7" x14ac:dyDescent="0.2">
      <c r="A63">
        <v>526</v>
      </c>
      <c r="B63">
        <v>664</v>
      </c>
      <c r="C63" t="s">
        <v>6</v>
      </c>
      <c r="D63">
        <v>1</v>
      </c>
      <c r="F63" s="5">
        <v>866</v>
      </c>
      <c r="G63" s="29">
        <v>1</v>
      </c>
    </row>
    <row r="64" spans="1:7" x14ac:dyDescent="0.2">
      <c r="A64">
        <v>526</v>
      </c>
      <c r="B64">
        <v>664</v>
      </c>
      <c r="C64" t="s">
        <v>6</v>
      </c>
      <c r="D64">
        <v>1</v>
      </c>
      <c r="F64" s="5">
        <v>667</v>
      </c>
      <c r="G64" s="29">
        <v>1</v>
      </c>
    </row>
    <row r="65" spans="1:7" x14ac:dyDescent="0.2">
      <c r="A65">
        <v>456</v>
      </c>
      <c r="B65">
        <v>664</v>
      </c>
      <c r="C65" t="s">
        <v>5</v>
      </c>
      <c r="D65">
        <v>2</v>
      </c>
      <c r="F65" s="5">
        <v>387</v>
      </c>
      <c r="G65" s="29">
        <v>1</v>
      </c>
    </row>
    <row r="66" spans="1:7" x14ac:dyDescent="0.2">
      <c r="A66">
        <v>456</v>
      </c>
      <c r="B66">
        <v>664</v>
      </c>
      <c r="C66" t="s">
        <v>5</v>
      </c>
      <c r="D66">
        <v>4</v>
      </c>
      <c r="F66" s="5">
        <v>39</v>
      </c>
      <c r="G66" s="29">
        <v>1</v>
      </c>
    </row>
    <row r="67" spans="1:7" x14ac:dyDescent="0.2">
      <c r="A67">
        <v>456</v>
      </c>
      <c r="B67">
        <v>664</v>
      </c>
      <c r="C67" t="s">
        <v>5</v>
      </c>
      <c r="D67">
        <v>4</v>
      </c>
      <c r="F67" s="5">
        <v>131</v>
      </c>
      <c r="G67" s="29">
        <v>1</v>
      </c>
    </row>
    <row r="68" spans="1:7" x14ac:dyDescent="0.2">
      <c r="A68">
        <v>705</v>
      </c>
      <c r="B68">
        <v>664</v>
      </c>
      <c r="C68" t="s">
        <v>6</v>
      </c>
      <c r="D68">
        <v>3</v>
      </c>
      <c r="F68" s="5">
        <v>676</v>
      </c>
      <c r="G68" s="29">
        <v>1</v>
      </c>
    </row>
    <row r="69" spans="1:7" x14ac:dyDescent="0.2">
      <c r="A69">
        <v>516</v>
      </c>
      <c r="B69">
        <v>664</v>
      </c>
      <c r="C69" t="s">
        <v>7</v>
      </c>
      <c r="D69">
        <v>1</v>
      </c>
      <c r="F69" s="5">
        <v>794</v>
      </c>
      <c r="G69" s="29">
        <v>1</v>
      </c>
    </row>
    <row r="70" spans="1:7" x14ac:dyDescent="0.2">
      <c r="A70">
        <v>437</v>
      </c>
      <c r="B70">
        <v>664</v>
      </c>
      <c r="C70" t="s">
        <v>6</v>
      </c>
      <c r="D70">
        <v>1</v>
      </c>
      <c r="F70" s="5">
        <v>679</v>
      </c>
      <c r="G70" s="29">
        <v>1</v>
      </c>
    </row>
    <row r="71" spans="1:7" x14ac:dyDescent="0.2">
      <c r="A71">
        <v>83</v>
      </c>
      <c r="B71">
        <v>664</v>
      </c>
      <c r="C71" t="s">
        <v>6</v>
      </c>
      <c r="D71">
        <v>1</v>
      </c>
      <c r="F71" s="5">
        <v>386</v>
      </c>
      <c r="G71" s="29">
        <v>1</v>
      </c>
    </row>
    <row r="72" spans="1:7" x14ac:dyDescent="0.2">
      <c r="A72">
        <v>18</v>
      </c>
      <c r="B72">
        <v>664</v>
      </c>
      <c r="C72" t="s">
        <v>6</v>
      </c>
      <c r="D72">
        <v>1</v>
      </c>
      <c r="F72" s="5">
        <v>424</v>
      </c>
      <c r="G72" s="29">
        <v>1</v>
      </c>
    </row>
    <row r="73" spans="1:7" x14ac:dyDescent="0.2">
      <c r="A73">
        <v>643</v>
      </c>
      <c r="B73">
        <v>664</v>
      </c>
      <c r="C73" t="s">
        <v>6</v>
      </c>
      <c r="D73">
        <v>2</v>
      </c>
      <c r="F73" s="5">
        <v>834</v>
      </c>
      <c r="G73" s="29">
        <v>1</v>
      </c>
    </row>
    <row r="74" spans="1:7" x14ac:dyDescent="0.2">
      <c r="A74">
        <v>593</v>
      </c>
      <c r="B74">
        <v>664</v>
      </c>
      <c r="C74" t="s">
        <v>6</v>
      </c>
      <c r="D74">
        <v>1</v>
      </c>
      <c r="F74" s="5">
        <v>715</v>
      </c>
      <c r="G74" s="29">
        <v>1</v>
      </c>
    </row>
    <row r="75" spans="1:7" x14ac:dyDescent="0.2">
      <c r="A75">
        <v>192</v>
      </c>
      <c r="B75">
        <v>664</v>
      </c>
      <c r="C75" t="s">
        <v>6</v>
      </c>
      <c r="D75">
        <v>1</v>
      </c>
      <c r="F75" s="5">
        <v>516</v>
      </c>
      <c r="G75" s="29">
        <v>1</v>
      </c>
    </row>
    <row r="76" spans="1:7" x14ac:dyDescent="0.2">
      <c r="A76">
        <v>532</v>
      </c>
      <c r="B76">
        <v>664</v>
      </c>
      <c r="C76" t="s">
        <v>5</v>
      </c>
      <c r="D76">
        <v>2</v>
      </c>
      <c r="F76" s="5">
        <v>725</v>
      </c>
      <c r="G76" s="29">
        <v>1</v>
      </c>
    </row>
    <row r="77" spans="1:7" x14ac:dyDescent="0.2">
      <c r="A77">
        <v>532</v>
      </c>
      <c r="B77">
        <v>664</v>
      </c>
      <c r="C77" t="s">
        <v>5</v>
      </c>
      <c r="D77">
        <v>2</v>
      </c>
      <c r="F77" s="5">
        <v>523</v>
      </c>
      <c r="G77" s="29">
        <v>1</v>
      </c>
    </row>
    <row r="78" spans="1:7" x14ac:dyDescent="0.2">
      <c r="A78">
        <v>226</v>
      </c>
      <c r="B78">
        <v>664</v>
      </c>
      <c r="C78" t="s">
        <v>6</v>
      </c>
      <c r="D78">
        <v>2</v>
      </c>
      <c r="F78" s="5">
        <v>310</v>
      </c>
      <c r="G78" s="29">
        <v>1</v>
      </c>
    </row>
    <row r="79" spans="1:7" x14ac:dyDescent="0.2">
      <c r="A79">
        <v>230</v>
      </c>
      <c r="B79">
        <v>710</v>
      </c>
      <c r="C79" t="s">
        <v>5</v>
      </c>
      <c r="D79">
        <v>1</v>
      </c>
      <c r="F79" s="5">
        <v>247</v>
      </c>
      <c r="G79" s="29">
        <v>1</v>
      </c>
    </row>
    <row r="80" spans="1:7" x14ac:dyDescent="0.2">
      <c r="A80">
        <v>39</v>
      </c>
      <c r="B80">
        <v>664</v>
      </c>
      <c r="C80" t="s">
        <v>6</v>
      </c>
      <c r="D80">
        <v>1</v>
      </c>
      <c r="F80" s="5">
        <v>132</v>
      </c>
      <c r="G80" s="29">
        <v>1</v>
      </c>
    </row>
    <row r="81" spans="1:7" x14ac:dyDescent="0.2">
      <c r="A81">
        <v>748</v>
      </c>
      <c r="B81">
        <v>664</v>
      </c>
      <c r="C81" t="s">
        <v>6</v>
      </c>
      <c r="D81">
        <v>2</v>
      </c>
      <c r="F81" s="5">
        <v>947</v>
      </c>
      <c r="G81" s="29">
        <v>1</v>
      </c>
    </row>
    <row r="82" spans="1:7" x14ac:dyDescent="0.2">
      <c r="A82">
        <v>500</v>
      </c>
      <c r="B82">
        <v>664</v>
      </c>
      <c r="C82" t="s">
        <v>6</v>
      </c>
      <c r="D82">
        <v>1</v>
      </c>
      <c r="F82" s="5">
        <v>437</v>
      </c>
      <c r="G82" s="29">
        <v>1</v>
      </c>
    </row>
    <row r="83" spans="1:7" x14ac:dyDescent="0.2">
      <c r="A83">
        <v>933</v>
      </c>
      <c r="B83">
        <v>664</v>
      </c>
      <c r="C83" t="s">
        <v>6</v>
      </c>
      <c r="D83">
        <v>3</v>
      </c>
      <c r="F83" s="5">
        <v>407</v>
      </c>
      <c r="G83" s="29">
        <v>1</v>
      </c>
    </row>
    <row r="84" spans="1:7" x14ac:dyDescent="0.2">
      <c r="A84">
        <v>933</v>
      </c>
      <c r="B84">
        <v>664</v>
      </c>
      <c r="C84" t="s">
        <v>6</v>
      </c>
      <c r="D84">
        <v>4</v>
      </c>
      <c r="F84" s="5">
        <v>11</v>
      </c>
      <c r="G84" s="29">
        <v>1</v>
      </c>
    </row>
    <row r="85" spans="1:7" x14ac:dyDescent="0.2">
      <c r="A85">
        <v>36</v>
      </c>
      <c r="B85">
        <v>664</v>
      </c>
      <c r="C85" t="s">
        <v>6</v>
      </c>
      <c r="D85">
        <v>1</v>
      </c>
      <c r="F85" s="5">
        <v>565</v>
      </c>
      <c r="G85" s="29">
        <v>1</v>
      </c>
    </row>
    <row r="86" spans="1:7" x14ac:dyDescent="0.2">
      <c r="A86">
        <v>36</v>
      </c>
      <c r="B86">
        <v>664</v>
      </c>
      <c r="C86" t="s">
        <v>6</v>
      </c>
      <c r="D86">
        <v>1</v>
      </c>
      <c r="F86" s="5">
        <v>18</v>
      </c>
      <c r="G86" s="29">
        <v>1</v>
      </c>
    </row>
    <row r="87" spans="1:7" x14ac:dyDescent="0.2">
      <c r="A87">
        <v>461</v>
      </c>
      <c r="B87">
        <v>664</v>
      </c>
      <c r="C87" t="s">
        <v>6</v>
      </c>
      <c r="D87">
        <v>1</v>
      </c>
      <c r="F87" s="5" t="s">
        <v>1</v>
      </c>
      <c r="G87" s="29">
        <v>197</v>
      </c>
    </row>
    <row r="88" spans="1:7" x14ac:dyDescent="0.2">
      <c r="A88">
        <v>513</v>
      </c>
      <c r="B88">
        <v>664</v>
      </c>
      <c r="C88" t="s">
        <v>6</v>
      </c>
      <c r="D88">
        <v>3</v>
      </c>
    </row>
    <row r="89" spans="1:7" x14ac:dyDescent="0.2">
      <c r="A89">
        <v>513</v>
      </c>
      <c r="B89">
        <v>664</v>
      </c>
      <c r="C89" t="s">
        <v>6</v>
      </c>
      <c r="D89">
        <v>2</v>
      </c>
    </row>
    <row r="90" spans="1:7" x14ac:dyDescent="0.2">
      <c r="A90">
        <v>753</v>
      </c>
      <c r="B90">
        <v>664</v>
      </c>
      <c r="C90" t="s">
        <v>6</v>
      </c>
      <c r="D90">
        <v>4</v>
      </c>
    </row>
    <row r="91" spans="1:7" x14ac:dyDescent="0.2">
      <c r="A91">
        <v>336</v>
      </c>
      <c r="B91">
        <v>664</v>
      </c>
      <c r="C91" t="s">
        <v>6</v>
      </c>
      <c r="D91">
        <v>1</v>
      </c>
    </row>
    <row r="92" spans="1:7" x14ac:dyDescent="0.2">
      <c r="A92">
        <v>336</v>
      </c>
      <c r="B92">
        <v>664</v>
      </c>
      <c r="C92" t="s">
        <v>6</v>
      </c>
      <c r="D92">
        <v>1</v>
      </c>
    </row>
    <row r="93" spans="1:7" x14ac:dyDescent="0.2">
      <c r="A93">
        <v>565</v>
      </c>
      <c r="B93">
        <v>664</v>
      </c>
      <c r="C93" t="s">
        <v>6</v>
      </c>
      <c r="D93">
        <v>1</v>
      </c>
    </row>
    <row r="94" spans="1:7" x14ac:dyDescent="0.2">
      <c r="A94">
        <v>100</v>
      </c>
      <c r="B94">
        <v>664</v>
      </c>
      <c r="C94" t="s">
        <v>6</v>
      </c>
      <c r="D94">
        <v>1</v>
      </c>
    </row>
    <row r="95" spans="1:7" x14ac:dyDescent="0.2">
      <c r="A95">
        <v>100</v>
      </c>
      <c r="B95">
        <v>664</v>
      </c>
      <c r="C95" t="s">
        <v>6</v>
      </c>
      <c r="D95">
        <v>1</v>
      </c>
    </row>
    <row r="96" spans="1:7" x14ac:dyDescent="0.2">
      <c r="A96">
        <v>928</v>
      </c>
      <c r="B96">
        <v>664</v>
      </c>
      <c r="C96" t="s">
        <v>6</v>
      </c>
      <c r="D96">
        <v>7</v>
      </c>
    </row>
    <row r="97" spans="1:4" x14ac:dyDescent="0.2">
      <c r="A97">
        <v>928</v>
      </c>
      <c r="B97">
        <v>664</v>
      </c>
      <c r="C97" t="s">
        <v>6</v>
      </c>
      <c r="D97">
        <v>1</v>
      </c>
    </row>
    <row r="98" spans="1:4" x14ac:dyDescent="0.2">
      <c r="A98">
        <v>725</v>
      </c>
      <c r="B98">
        <v>664</v>
      </c>
      <c r="C98" t="s">
        <v>6</v>
      </c>
      <c r="D98">
        <v>1</v>
      </c>
    </row>
    <row r="99" spans="1:4" x14ac:dyDescent="0.2">
      <c r="A99">
        <v>173</v>
      </c>
      <c r="B99">
        <v>664</v>
      </c>
      <c r="C99" t="s">
        <v>6</v>
      </c>
      <c r="D99">
        <v>1</v>
      </c>
    </row>
    <row r="100" spans="1:4" x14ac:dyDescent="0.2">
      <c r="A100">
        <v>173</v>
      </c>
      <c r="B100">
        <v>664</v>
      </c>
      <c r="C100" t="s">
        <v>6</v>
      </c>
      <c r="D100">
        <v>4</v>
      </c>
    </row>
    <row r="101" spans="1:4" x14ac:dyDescent="0.2">
      <c r="A101">
        <v>238</v>
      </c>
      <c r="B101">
        <v>664</v>
      </c>
      <c r="C101" t="s">
        <v>6</v>
      </c>
      <c r="D101">
        <v>1</v>
      </c>
    </row>
    <row r="102" spans="1:4" x14ac:dyDescent="0.2">
      <c r="A102">
        <v>238</v>
      </c>
      <c r="B102">
        <v>664</v>
      </c>
      <c r="C102" t="s">
        <v>6</v>
      </c>
      <c r="D102">
        <v>2</v>
      </c>
    </row>
    <row r="103" spans="1:4" x14ac:dyDescent="0.2">
      <c r="A103">
        <v>230</v>
      </c>
      <c r="B103">
        <v>664</v>
      </c>
      <c r="C103" t="s">
        <v>6</v>
      </c>
      <c r="D103">
        <v>2</v>
      </c>
    </row>
    <row r="104" spans="1:4" x14ac:dyDescent="0.2">
      <c r="A104">
        <v>230</v>
      </c>
      <c r="B104">
        <v>664</v>
      </c>
      <c r="C104" t="s">
        <v>6</v>
      </c>
      <c r="D104">
        <v>1</v>
      </c>
    </row>
    <row r="105" spans="1:4" x14ac:dyDescent="0.2">
      <c r="A105">
        <v>241</v>
      </c>
      <c r="B105">
        <v>664</v>
      </c>
      <c r="C105" t="s">
        <v>6</v>
      </c>
      <c r="D105">
        <v>2</v>
      </c>
    </row>
    <row r="106" spans="1:4" x14ac:dyDescent="0.2">
      <c r="A106">
        <v>821</v>
      </c>
      <c r="B106">
        <v>664</v>
      </c>
      <c r="C106" t="s">
        <v>6</v>
      </c>
      <c r="D106">
        <v>3</v>
      </c>
    </row>
    <row r="107" spans="1:4" x14ac:dyDescent="0.2">
      <c r="A107">
        <v>834</v>
      </c>
      <c r="B107">
        <v>664</v>
      </c>
      <c r="C107" t="s">
        <v>6</v>
      </c>
      <c r="D107">
        <v>1</v>
      </c>
    </row>
    <row r="108" spans="1:4" x14ac:dyDescent="0.2">
      <c r="A108">
        <v>27</v>
      </c>
      <c r="B108">
        <v>664</v>
      </c>
      <c r="C108" t="s">
        <v>6</v>
      </c>
      <c r="D108">
        <v>2</v>
      </c>
    </row>
    <row r="109" spans="1:4" x14ac:dyDescent="0.2">
      <c r="A109">
        <v>407</v>
      </c>
      <c r="B109">
        <v>664</v>
      </c>
      <c r="C109" t="s">
        <v>6</v>
      </c>
      <c r="D109">
        <v>1</v>
      </c>
    </row>
    <row r="110" spans="1:4" x14ac:dyDescent="0.2">
      <c r="A110">
        <v>247</v>
      </c>
      <c r="B110">
        <v>664</v>
      </c>
      <c r="C110" t="s">
        <v>6</v>
      </c>
      <c r="D110">
        <v>1</v>
      </c>
    </row>
    <row r="111" spans="1:4" x14ac:dyDescent="0.2">
      <c r="A111">
        <v>947</v>
      </c>
      <c r="B111">
        <v>664</v>
      </c>
      <c r="C111" t="s">
        <v>6</v>
      </c>
      <c r="D111">
        <v>1</v>
      </c>
    </row>
    <row r="112" spans="1:4" x14ac:dyDescent="0.2">
      <c r="A112">
        <v>757</v>
      </c>
      <c r="B112">
        <v>664</v>
      </c>
      <c r="C112" t="s">
        <v>6</v>
      </c>
      <c r="D112">
        <v>2</v>
      </c>
    </row>
    <row r="113" spans="1:4" x14ac:dyDescent="0.2">
      <c r="A113">
        <v>584</v>
      </c>
      <c r="B113">
        <v>664</v>
      </c>
      <c r="C113" t="s">
        <v>6</v>
      </c>
      <c r="D113">
        <v>1</v>
      </c>
    </row>
  </sheetData>
  <conditionalFormatting sqref="J31:O31 J33:O33 J35:O3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5A70-F2AC-574F-BFFC-E7336229DC99}">
  <dimension ref="A1"/>
  <sheetViews>
    <sheetView workbookViewId="0"/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Planilha4</vt:lpstr>
      <vt:lpstr>pca-variance</vt:lpstr>
      <vt:lpstr>weaknesses_cwe.csv</vt:lpstr>
      <vt:lpstr>weaknesses_pillar.csv</vt:lpstr>
      <vt:lpstr>healed_r1</vt:lpstr>
      <vt:lpstr>healed_r2</vt:lpstr>
      <vt:lpstr>healed_r3</vt:lpstr>
      <vt:lpstr>healed_r4</vt:lpstr>
      <vt:lpstr>healed_r5</vt:lpstr>
      <vt:lpstr>healed_r6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Brasilino</dc:creator>
  <cp:lastModifiedBy>Clodoaldo Brasilino</cp:lastModifiedBy>
  <dcterms:created xsi:type="dcterms:W3CDTF">2023-09-25T03:58:15Z</dcterms:created>
  <dcterms:modified xsi:type="dcterms:W3CDTF">2024-01-11T09:35:07Z</dcterms:modified>
</cp:coreProperties>
</file>