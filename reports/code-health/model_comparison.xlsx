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7397e70c1f45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ar modelos" sheetId="1" r:id="Rf62ddcc2452e43fa"/>
    <x:sheet xmlns:r="http://schemas.openxmlformats.org/officeDocument/2006/relationships" name="Recalculados" sheetId="2" r:id="Raaa8c071925e4fe0"/>
    <x:sheet xmlns:r="http://schemas.openxmlformats.org/officeDocument/2006/relationships" name="Registrados" sheetId="3" r:id="R0215417278014f08"/>
    <x:sheet xmlns:r="http://schemas.openxmlformats.org/officeDocument/2006/relationships" name="Diferenças" sheetId="4" r:id="Rf50f41e9bbaa4cd3"/>
  </x:sheets>
</x:workbook>
</file>

<file path=xl/comments1.xml><?xml version="1.0" encoding="utf-8"?>
<x:comments xmlns:x="http://schemas.openxmlformats.org/spreadsheetml/2006/main">
  <x:authors>
    <x:author/>
  </x:authors>
  <x:commentList>
    <x:comment ref="C1" authorId="0">
      <x:text>
        <x:r>
          <x:t>Est.+din.: estático e dinâmico. r, t e p mantêm os valores do nome da configuração. Os caminhos completos estão abaixo.</x:t>
        </x:r>
      </x:text>
    </x:comment>
    <x:comment ref="B2" authorId="0">
      <x:text>
        <x:r>
          <x:t>NV: não verificável. Sem registro: sem valor na planilha original. N/A: não se aplica. Diferença = recalculado − registrado; taxas em pontos percentuais. “Limpo” e aprovação seguem as regras do pipeline. A regra antiga pode contar teste sem veredito como aprovado; o parser pode ignorar alertas do Flawfinder. Fila por rodada: rodada seguida da quantidade de arquivos. Dados de 14/09/2026. Detalhes em report.md. Sem célula: o modelo não tem essa configuração.</x:t>
        </x:r>
      </x:text>
    </x:comment>
    <x:comment ref="C2" authorId="0">
      <x:text>
        <x:r>
          <x:t>Modelo no CSV: claude-fable-5</x:t>
        </x:r>
      </x:text>
    </x:comment>
    <x:comment ref="D2" authorId="0">
      <x:text>
        <x:r>
          <x:t>Modelo no CSV: deepseek-v4-pro</x:t>
        </x:r>
      </x:text>
    </x:comment>
    <x:comment ref="E2" authorId="0">
      <x:text>
        <x:r>
          <x:t>Modelo no CSV: deepseek-v4-pro-thinking</x:t>
        </x:r>
      </x:text>
    </x:comment>
    <x:comment ref="F2" authorId="0">
      <x:text>
        <x:r>
          <x:t>Modelo no CSV: gemini-3-pro</x:t>
        </x:r>
      </x:text>
    </x:comment>
    <x:comment ref="G2" authorId="0">
      <x:text>
        <x:r>
          <x:t>Modelo no CSV: gemini-3-pro-thinking</x:t>
        </x:r>
      </x:text>
    </x:comment>
    <x:comment ref="H2" authorId="0">
      <x:text>
        <x:r>
          <x:t>Modelo no CSV: glm-5.1</x:t>
        </x:r>
      </x:text>
    </x:comment>
    <x:comment ref="I2" authorId="0">
      <x:text>
        <x:r>
          <x:t>Modelo no CSV: glm-5.1-thinking</x:t>
        </x:r>
      </x:text>
    </x:comment>
    <x:comment ref="J2" authorId="0">
      <x:text>
        <x:r>
          <x:t>Modelo no CSV: kimi-k3</x:t>
        </x:r>
      </x:text>
    </x:comment>
    <x:comment ref="K2" authorId="0">
      <x:text>
        <x:r>
          <x:t>Modelo no CSV: kimi-k3-thinking</x:t>
        </x:r>
      </x:text>
    </x:comment>
    <x:comment ref="L2" authorId="0">
      <x:text>
        <x:r>
          <x:t>Modelo no CSV: openai-gpt56-sol</x:t>
        </x:r>
      </x:text>
    </x:comment>
    <x:comment ref="M2" authorId="0">
      <x:text>
        <x:r>
          <x:t>Modelo no CSV: openai-gpt56-sol-thinking</x:t>
        </x:r>
      </x:text>
    </x:comment>
    <x:comment ref="N2" authorId="0">
      <x:text>
        <x:r>
          <x:t>Modelo no CSV: qwen-max</x:t>
        </x:r>
      </x:text>
    </x:comment>
    <x:comment ref="B3" authorId="0">
      <x:text>
        <x:r>
          <x:t>Nome no CSV: n_generated</x:t>
        </x:r>
      </x:text>
    </x:comment>
    <x:comment ref="B4" authorId="0">
      <x:text>
        <x:r>
          <x:t>Nome no CSV: compile_rate</x:t>
        </x:r>
      </x:text>
    </x:comment>
    <x:comment ref="B5" authorId="0">
      <x:text>
        <x:r>
          <x:t>Nome no CSV: clean_at_start</x:t>
        </x:r>
      </x:text>
    </x:comment>
    <x:comment ref="B6" authorId="0">
      <x:text>
        <x:r>
          <x:t>Nome no CSV: cleaned</x:t>
        </x:r>
      </x:text>
    </x:comment>
    <x:comment ref="B7" authorId="0">
      <x:text>
        <x:r>
          <x:t>Nome no CSV: final_clean_rate</x:t>
        </x:r>
      </x:text>
    </x:comment>
    <x:comment ref="B8" authorId="0">
      <x:text>
        <x:r>
          <x:t>Nome no CSV: n_compilable</x:t>
        </x:r>
      </x:text>
    </x:comment>
    <x:comment ref="B9" authorId="0">
      <x:text>
        <x:r>
          <x:t>Nome no CSV: flagged_gcc</x:t>
        </x:r>
      </x:text>
    </x:comment>
    <x:comment ref="B10" authorId="0">
      <x:text>
        <x:r>
          <x:t>Nome no CSV: flagged_clang</x:t>
        </x:r>
      </x:text>
    </x:comment>
    <x:comment ref="B11" authorId="0">
      <x:text>
        <x:r>
          <x:t>Nome no CSV: flagged_cppcheck</x:t>
        </x:r>
      </x:text>
    </x:comment>
    <x:comment ref="B12" authorId="0">
      <x:text>
        <x:r>
          <x:t>Nome no CSV: flagged_flawfinder</x:t>
        </x:r>
      </x:text>
    </x:comment>
    <x:comment ref="B13" authorId="0">
      <x:text>
        <x:r>
          <x:t>Nome no CSV: flagged_asan</x:t>
        </x:r>
      </x:text>
    </x:comment>
    <x:comment ref="B14" authorId="0">
      <x:text>
        <x:r>
          <x:t>Nome no CSV: flagged_fuzz</x:t>
        </x:r>
      </x:text>
    </x:comment>
    <x:comment ref="B15" authorId="0">
      <x:text>
        <x:r>
          <x:t>Nome no CSV: flagged_test</x:t>
        </x:r>
      </x:text>
    </x:comment>
    <x:comment ref="B16" authorId="0">
      <x:text>
        <x:r>
          <x:t>Nome no CSV: oracle_absent</x:t>
        </x:r>
      </x:text>
    </x:comment>
    <x:comment ref="B17" authorId="0">
      <x:text>
        <x:r>
          <x:t>Nome no CSV: oracle_passed</x:t>
        </x:r>
      </x:text>
    </x:comment>
    <x:comment ref="B18" authorId="0">
      <x:text>
        <x:r>
          <x:t>Nome no CSV: oracle_failed</x:t>
        </x:r>
      </x:text>
    </x:comment>
    <x:comment ref="B19" authorId="0">
      <x:text>
        <x:r>
          <x:t>Nome no CSV: oracle_pass_rate</x:t>
        </x:r>
      </x:text>
    </x:comment>
    <x:comment ref="B20" authorId="0">
      <x:text>
        <x:r>
          <x:t>Nome no CSV: initial_flagged</x:t>
        </x:r>
      </x:text>
    </x:comment>
    <x:comment ref="B21" authorId="0">
      <x:text>
        <x:r>
          <x:t>Nome no CSV: initial_defect_rate</x:t>
        </x:r>
      </x:text>
    </x:comment>
    <x:comment ref="B22" authorId="0">
      <x:text>
        <x:r>
          <x:t>Nome no CSV: initial_defect_rate_static_only</x:t>
        </x:r>
      </x:text>
    </x:comment>
    <x:comment ref="B23" authorId="0">
      <x:text>
        <x:r>
          <x:t>Nome no CSV: not_cleaned</x:t>
        </x:r>
      </x:text>
    </x:comment>
    <x:comment ref="B24" authorId="0">
      <x:text>
        <x:r>
          <x:t>Nome no CSV: heal_failed</x:t>
        </x:r>
      </x:text>
    </x:comment>
    <x:comment ref="B25" authorId="0">
      <x:text>
        <x:r>
          <x:t>Nome no CSV: max_rounds</x:t>
        </x:r>
      </x:text>
    </x:comment>
    <x:comment ref="B26" authorId="0">
      <x:text>
        <x:r>
          <x:t>Nome no CSV: mean_rounds_to_clean</x:t>
        </x:r>
      </x:text>
    </x:comment>
    <x:comment ref="B27" authorId="0">
      <x:text>
        <x:r>
          <x:t>Nome no CSV: median_rounds_to_clean</x:t>
        </x:r>
      </x:text>
    </x:comment>
    <x:comment ref="B28" authorId="0">
      <x:text>
        <x:r>
          <x:t>Nome no CSV: survival_counts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B2" authorId="0">
      <x:text>
        <x:r>
          <x:t>NV: não verificável. Sem registro: sem valor na planilha original. N/A: não se aplica. Diferença = recalculado − registrado; taxas em pontos percentuais. “Limpo” e aprovação seguem as regras do pipeline. A regra antiga pode contar teste sem veredito como aprovado; o parser pode ignorar alertas do Flawfinder. Fila por rodada: rodada seguida da quantidade de arquivos. Dados de 14/09/2026. Detalhes em report.md.</x:t>
        </x:r>
      </x:text>
    </x:comment>
    <x:comment ref="C3" authorId="0">
      <x:text>
        <x:r>
          <x:t>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C4" authorId="0">
      <x:text>
        <x:r>
          <x:t>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C5" authorId="0">
      <x:text>
        <x:r>
          <x:t>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C6" authorId="0">
      <x:text>
        <x:r>
          <x:t>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C7" authorId="0">
      <x:text>
        <x:r>
          <x:t>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C8" authorId="0">
      <x:text>
        <x:r>
          <x:t>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C9" authorId="0">
      <x:text>
        <x:r>
          <x:t>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C10" authorId="0">
      <x:text>
        <x:r>
          <x:t>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C11" authorId="0">
      <x:text>
        <x:r>
          <x:t>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C12" authorId="0">
      <x:text>
        <x:r>
          <x:t>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C13" authorId="0">
      <x:text>
        <x:r>
          <x:t>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C14" authorId="0">
      <x:text>
        <x:r>
          <x:t>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C15" authorId="0">
      <x:text>
        <x:r>
          <x:t>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C16" authorId="0">
      <x:text>
        <x:r>
          <x:t>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C17" authorId="0">
      <x:text>
        <x:r>
          <x:t>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C18" authorId="0">
      <x:text>
        <x:r>
          <x:t>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C19" authorId="0">
      <x:text>
        <x:r>
          <x:t>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C20" authorId="0">
      <x:text>
        <x:r>
          <x:t>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C21" authorId="0">
      <x:text>
        <x:r>
          <x:t>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C22" authorId="0">
      <x:text>
        <x:r>
          <x:t>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C23" authorId="0">
      <x:text>
        <x:r>
          <x:t>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C24" authorId="0">
      <x:text>
        <x:r>
          <x:t>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C25" authorId="0">
      <x:text>
        <x:r>
          <x:t>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C26" authorId="0">
      <x:text>
        <x:r>
          <x:t>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C27" authorId="0">
      <x:text>
        <x:r>
          <x:t>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C28" authorId="0">
      <x:text>
        <x:r>
          <x:t>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C29" authorId="0">
      <x:text>
        <x:r>
          <x:t>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C30" authorId="0">
      <x:text>
        <x:r>
          <x:t>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C31" authorId="0">
      <x:text>
        <x:r>
          <x:t>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C32" authorId="0">
      <x:text>
        <x:r>
          <x:t>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D3" authorId="0">
      <x:text>
        <x:r>
          <x:t>Métrica: n_generated
Registrado: Sem registro
Recalculado: 26
Diferença no CSV: não calculável
Comparação: missing_cell
Validade: artifact_count
Motivo: Contagem de artefatos/manifest conforme definição do pipeline.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E3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F3" authorId="0">
      <x:text>
        <x:r>
          <x:t>Métrica: clean_at_start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G3" authorId="0">
      <x:text>
        <x:r>
          <x:t>Métrica: cleaned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H3" authorId="0">
      <x:text>
        <x:r>
          <x:t>Métrica: final_clean_rate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I3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J3" authorId="0">
      <x:text>
        <x:r>
          <x:t>Métrica: flagged_gcc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K3" authorId="0">
      <x:text>
        <x:r>
          <x:t>Métrica: flagged_clang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L3" authorId="0">
      <x:text>
        <x:r>
          <x:t>Métrica: flagged_cppcheck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M3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N3" authorId="0">
      <x:text>
        <x:r>
          <x:t>Métrica: flagged_asan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O3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P3" authorId="0">
      <x:text>
        <x:r>
          <x:t>Métrica: flagged_test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Q3" authorId="0">
      <x:text>
        <x:r>
          <x:t>Métrica: oracle_absent
Registrado: Sem registro
Recalculado: 26
Diferença no CSV: não calculável
Comparação: missing_cell
Validade: artifact_count
Motivo: Contagem de artefatos/manifest conforme definição do pipeline.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R3" authorId="0">
      <x:text>
        <x:r>
          <x:t>Métrica: oracle_passed
Registrado: Sem registro
Recalculado: 0
Diferença no CSV: não calculável
Comparação: missing_cell
Validade: legacy_definition_only
Motivo: A regra antiga pode contar testes sem veredito como aprovados. Ver test_states_initial.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S3" authorId="0">
      <x:text>
        <x:r>
          <x:t>Métrica: oracle_failed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T3" authorId="0">
      <x:text>
        <x:r>
          <x:t>Métrica: oracle_pass_rate
Registrado: Sem registro
Recalculado: NV
Diferença no CSV: não calculável
Comparação: not_verifiable
Validade: not_verifiable
Motivo: A regra antiga pode contar testes sem veredito como aprovados. Ver test_states_initial.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U3" authorId="0">
      <x:text>
        <x:r>
          <x:t>Métrica: initial_flagged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V3" authorId="0">
      <x:text>
        <x:r>
          <x:t>Métrica: initial_defect_rate
Registrado: Sem registro
Recalculado: 0.0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W3" authorId="0">
      <x:text>
        <x:r>
          <x:t>Métrica: initial_defect_rate_static_only
Registrado: Sem registro
Recalculado: 0.0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X3" authorId="0">
      <x:text>
        <x:r>
          <x:t>Métrica: not_cleaned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Y3" authorId="0">
      <x:text>
        <x:r>
          <x:t>Métrica: heal_failed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Z3" authorId="0">
      <x:text>
        <x:r>
          <x:t>Métrica: max_rounds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AA3" authorId="0">
      <x:text>
        <x:r>
          <x:t>Métrica: mean_rounds_to_clean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AB3" authorId="0">
      <x:text>
        <x:r>
          <x:t>Métrica: median_rounds_to_clean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AC3" authorId="0">
      <x:text>
        <x:r>
          <x:t>Métrica: survival_counts
Registrado: Sem registro
Recalculado: {"0": 0}
Diferença no CSV: não calculável
Comparação: missing_cell
Validade: legacy_definition_only
Motivo: Rodada 0 conta todos os relatórios. As seguintes contam a fila de cura: são bases diferentes.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D4" authorId="0">
      <x:text>
        <x:r>
          <x:t>Métrica: n_generated
Registrado: Sem registro
Recalculado: 600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E4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F4" authorId="0">
      <x:text>
        <x:r>
          <x:t>Métrica: clean_at_start
Registrado: Sem registro
Recalculado: 559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G4" authorId="0">
      <x:text>
        <x:r>
          <x:t>Métrica: cleaned
Registrado: Sem registro
Recalculado: 13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H4" authorId="0">
      <x:text>
        <x:r>
          <x:t>Métrica: final_clean_rate
Registrado: Sem registro
Recalculado: 0.9533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I4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J4" authorId="0">
      <x:text>
        <x:r>
          <x:t>Métrica: flagged_gcc
Registrado: Sem registro
Recalculado: 22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K4" authorId="0">
      <x:text>
        <x:r>
          <x:t>Métrica: flagged_clang
Registrado: Sem registro
Recalculado: 24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L4" authorId="0">
      <x:text>
        <x:r>
          <x:t>Métrica: flagged_cppcheck
Registrado: Sem registro
Recalculado: 222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M4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N4" authorId="0">
      <x:text>
        <x:r>
          <x:t>Métrica: flagged_asan
Registrado: Sem registro
Recalculado: 4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O4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P4" authorId="0">
      <x:text>
        <x:r>
          <x:t>Métrica: flagged_test
Registrado: Sem registro
Recalculado: 37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Q4" authorId="0">
      <x:text>
        <x:r>
          <x:t>Métrica: oracle_absent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R4" authorId="0">
      <x:text>
        <x:r>
          <x:t>Métrica: oracle_passed
Registrado: Sem registro
Recalculado: 563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S4" authorId="0">
      <x:text>
        <x:r>
          <x:t>Métrica: oracle_failed
Registrado: Sem registro
Recalculado: 37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T4" authorId="0">
      <x:text>
        <x:r>
          <x:t>Métrica: oracle_pass_rate
Registrado: Sem registro
Recalculado: 0.9383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U4" authorId="0">
      <x:text>
        <x:r>
          <x:t>Métrica: initial_flagged
Registrado: Sem registro
Recalculado: 257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V4" authorId="0">
      <x:text>
        <x:r>
          <x:t>Métrica: initial_defect_rate
Registrado: Sem registro
Recalculado: 0.4283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W4" authorId="0">
      <x:text>
        <x:r>
          <x:t>Métrica: initial_defect_rate_static_only
Registrado: Sem registro
Recalculado: 0.395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X4" authorId="0">
      <x:text>
        <x:r>
          <x:t>Métrica: not_cleaned
Registrado: Sem registro
Recalculado: 28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Y4" authorId="0">
      <x:text>
        <x:r>
          <x:t>Métrica: heal_failed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Z4" authorId="0">
      <x:text>
        <x:r>
          <x:t>Métrica: max_rounds
Registrado: Sem registro
Recalculado: 10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AA4" authorId="0">
      <x:text>
        <x:r>
          <x:t>Métrica: mean_rounds_to_clean
Registrado: Sem registro
Recalculado: 1.692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AB4" authorId="0">
      <x:text>
        <x:r>
          <x:t>Métrica: median_rounds_to_clean
Registrado: Sem registro
Recalculado: 1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AC4" authorId="0">
      <x:text>
        <x:r>
          <x:t>Métrica: survival_counts
Registrado: Sem registro
Recalculado: {"0": 257, "1": 41, "10": 28, "11": 28, "2": 31, "3": 29, "4": 29, "5": 29, "6": 29, "7": 29, "8": 29, "9": 28}
Diferença no CSV: não calculável
Comparação: missing_cell
Validade: legacy_definition_only
Motivo: Rodada 0 conta todos os relatórios. As seguintes contam a fila de cura: são bases diferentes.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D5" authorId="0">
      <x:text>
        <x:r>
          <x:t>Métrica: n_generated
Registrado: 200
Recalculado: 200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E5" authorId="0">
      <x:text>
        <x:r>
          <x:t>Métrica: compile_rate
Registrado: 0.98
Recalculado: NV
Diferença no CSV: não calculável
Comparação: not_verifiable
Validade: not_verifiable
Motivo: Faltam arquivos .o. Não dá para conferir a compilação nesta cópia.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F5" authorId="0">
      <x:text>
        <x:r>
          <x:t>Métrica: clean_at_start
Registrado: 139
Recalculado: 139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G5" authorId="0">
      <x:text>
        <x:r>
          <x:t>Métrica: cleaned
Registrado: 57
Recalculado: 57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H5" authorId="0">
      <x:text>
        <x:r>
          <x:t>Métrica: final_clean_rate
Registrado: 0.98
Recalculado: 0.98
Diferença no CSV: 0.0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I5" authorId="0">
      <x:text>
        <x:r>
          <x:t>Métrica: n_compilable
Registrado: 196
Recalculado: NV
Diferença no CSV: não calculável
Comparação: not_verifiable
Validade: not_verifiable
Motivo: Faltam arquivos .o. Não dá para conferir a compilação nesta cópia.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J5" authorId="0">
      <x:text>
        <x:r>
          <x:t>Métrica: flagged_gcc
Registrado: 4
Recalculado: 4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K5" authorId="0">
      <x:text>
        <x:r>
          <x:t>Métrica: flagged_clang
Registrado: 6
Recalculado: 6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L5" authorId="0">
      <x:text>
        <x:r>
          <x:t>Métrica: flagged_cppcheck
Registrado: 58
Recalculado: 58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M5" authorId="0">
      <x:text>
        <x:r>
          <x:t>Métrica: flagged_flawfinder
Registrado: 0
Recalculado: 0
Diferença no CSV: 0
Comparação: match
Validade: legacy_definition_only
Motivo: O parser atual pode ignorar alertas do Flawfinder. A contagem não confirma defeitos reais.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N5" authorId="0">
      <x:text>
        <x:r>
          <x:t>Métrica: flagged_asan
Registrado: 0
Recalculado: 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O5" authorId="0">
      <x:text>
        <x:r>
          <x:t>Métrica: flagged_fuzz
Registrado: 0
Recalculado: 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P5" authorId="0">
      <x:text>
        <x:r>
          <x:t>Métrica: flagged_test
Registrado: 0
Recalculado: 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Q5" authorId="0">
      <x:text>
        <x:r>
          <x:t>Métrica: oracle_absent
Registrado: 200
Recalculado: 200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R5" authorId="0">
      <x:text>
        <x:r>
          <x:t>Métrica: oracle_passed
Registrado: 0
Recalculado: 0
Diferença no CSV: 0
Comparação: match
Validade: legacy_definition_only
Motivo: A regra antiga pode contar testes sem veredito como aprovados. Ver test_states_initial.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S5" authorId="0">
      <x:text>
        <x:r>
          <x:t>Métrica: oracle_failed
Registrado: 0
Recalculado: 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T5" authorId="0">
      <x:text>
        <x:r>
          <x:t>Métrica: oracle_pass_rate
Registrado: Sem registro
Recalculado: NV
Diferença no CSV: não calculável
Comparação: not_verifiable
Validade: not_verifiable
Motivo: A regra antiga pode contar testes sem veredito como aprovados. Ver test_states_initial.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U5" authorId="0">
      <x:text>
        <x:r>
          <x:t>Métrica: initial_flagged
Registrado: 61
Recalculado: 61
Diferença no CSV: 0
Comparação: match
Validade: legacy_definition_only
Motivo: O parser atual pode ignorar alertas do Flawfinder. A contagem não confirma defeitos reais.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V5" authorId="0">
      <x:text>
        <x:r>
          <x:t>Métrica: initial_defect_rate
Registrado: 0.305
Recalculado: 0.305
Diferença no CSV: 0.0
Comparação: match
Validade: legacy_definition_only
Motivo: O parser atual pode ignorar alertas do Flawfinder. A contagem não confirma defeitos reais.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W5" authorId="0">
      <x:text>
        <x:r>
          <x:t>Métrica: initial_defect_rate_static_only
Registrado: 0.305
Recalculado: 0.305
Diferença no CSV: 0.0
Comparação: match
Validade: legacy_definition_only
Motivo: O parser atual pode ignorar alertas do Flawfinder. A contagem não confirma defeitos reais.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X5" authorId="0">
      <x:text>
        <x:r>
          <x:t>Métrica: not_cleaned
Registrado: 4
Recalculado: 4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Y5" authorId="0">
      <x:text>
        <x:r>
          <x:t>Métrica: heal_failed
Registrado: 0
Recalculado: 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Z5" authorId="0">
      <x:text>
        <x:r>
          <x:t>Métrica: max_rounds
Registrado: 10
Recalculado: 10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AA5" authorId="0">
      <x:text>
        <x:r>
          <x:t>Métrica: mean_rounds_to_clean
Registrado: 1.386
Recalculado: 1.386
Diferença no CSV: 0.0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AB5" authorId="0">
      <x:text>
        <x:r>
          <x:t>Métrica: median_rounds_to_clean
Registrado: 1.0
Recalculado: 1
Diferença no CSV: 0.0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AC5" authorId="0">
      <x:text>
        <x:r>
          <x:t>Métrica: survival_counts
Registrado: {"0": 61, "1": 61, "10": 4, "11": 4, "2": 17, "3": 7, "4": 6, "5": 5, "6": 5, "7": 5, "8": 5, "9": 4}
Recalculado: {"0": 61, "1": 61, "10": 4, "11": 4, "2": 17, "3": 7, "4": 6, "5": 5, "6": 5, "7": 5, "8": 5, "9": 4}
Diferença no CSV: não calculável
Comparação: match
Validade: legacy_definition_only
Motivo: Rodada 0 conta todos os relatórios. As seguintes contam a fila de cura: são bases diferentes.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D6" authorId="0">
      <x:text>
        <x:r>
          <x:t>Métrica: n_generated
Registrado: 200
Recalculado: 200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E6" authorId="0">
      <x:text>
        <x:r>
          <x:t>Métrica: compile_rate
Registrado: 0.975
Recalculado: NV
Diferença no CSV: não calculável
Comparação: not_verifiable
Validade: not_verifiable
Motivo: Faltam arquivos .o. Não dá para conferir a compilação nesta cópia.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F6" authorId="0">
      <x:text>
        <x:r>
          <x:t>Métrica: clean_at_start
Registrado: 127
Recalculado: 127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G6" authorId="0">
      <x:text>
        <x:r>
          <x:t>Métrica: cleaned
Registrado: 69
Recalculado: 69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H6" authorId="0">
      <x:text>
        <x:r>
          <x:t>Métrica: final_clean_rate
Registrado: 0.98
Recalculado: 0.98
Diferença no CSV: 0.0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I6" authorId="0">
      <x:text>
        <x:r>
          <x:t>Métrica: n_compilable
Registrado: 195
Recalculado: NV
Diferença no CSV: não calculável
Comparação: not_verifiable
Validade: not_verifiable
Motivo: Faltam arquivos .o. Não dá para conferir a compilação nesta cópia.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J6" authorId="0">
      <x:text>
        <x:r>
          <x:t>Métrica: flagged_gcc
Registrado: 5
Recalculado: 5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K6" authorId="0">
      <x:text>
        <x:r>
          <x:t>Métrica: flagged_clang
Registrado: 9
Recalculado: 9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L6" authorId="0">
      <x:text>
        <x:r>
          <x:t>Métrica: flagged_cppcheck
Registrado: 69
Recalculado: 69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M6" authorId="0">
      <x:text>
        <x:r>
          <x:t>Métrica: flagged_flawfinder
Registrado: 0
Recalculado: 0
Diferença no CSV: 0
Comparação: match
Validade: legacy_definition_only
Motivo: O parser atual pode ignorar alertas do Flawfinder. A contagem não confirma defeitos reais.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N6" authorId="0">
      <x:text>
        <x:r>
          <x:t>Métrica: flagged_asan
Registrado: 0
Recalculado: 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O6" authorId="0">
      <x:text>
        <x:r>
          <x:t>Métrica: flagged_fuzz
Registrado: 0
Recalculado: 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P6" authorId="0">
      <x:text>
        <x:r>
          <x:t>Métrica: flagged_test
Registrado: 0
Recalculado: 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Q6" authorId="0">
      <x:text>
        <x:r>
          <x:t>Métrica: oracle_absent
Registrado: 200
Recalculado: 200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R6" authorId="0">
      <x:text>
        <x:r>
          <x:t>Métrica: oracle_passed
Registrado: 0
Recalculado: 0
Diferença no CSV: 0
Comparação: match
Validade: legacy_definition_only
Motivo: A regra antiga pode contar testes sem veredito como aprovados. Ver test_states_initial.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S6" authorId="0">
      <x:text>
        <x:r>
          <x:t>Métrica: oracle_failed
Registrado: 0
Recalculado: 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T6" authorId="0">
      <x:text>
        <x:r>
          <x:t>Métrica: oracle_pass_rate
Registrado: Sem registro
Recalculado: NV
Diferença no CSV: não calculável
Comparação: not_verifiable
Validade: not_verifiable
Motivo: A regra antiga pode contar testes sem veredito como aprovados. Ver test_states_initial.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U6" authorId="0">
      <x:text>
        <x:r>
          <x:t>Métrica: initial_flagged
Registrado: 73
Recalculado: 73
Diferença no CSV: 0
Comparação: match
Validade: legacy_definition_only
Motivo: O parser atual pode ignorar alertas do Flawfinder. A contagem não confirma defeitos reais.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V6" authorId="0">
      <x:text>
        <x:r>
          <x:t>Métrica: initial_defect_rate
Registrado: 0.365
Recalculado: 0.365
Diferença no CSV: 0.0
Comparação: match
Validade: legacy_definition_only
Motivo: O parser atual pode ignorar alertas do Flawfinder. A contagem não confirma defeitos reais.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W6" authorId="0">
      <x:text>
        <x:r>
          <x:t>Métrica: initial_defect_rate_static_only
Registrado: 0.365
Recalculado: 0.365
Diferença no CSV: 0.0
Comparação: match
Validade: legacy_definition_only
Motivo: O parser atual pode ignorar alertas do Flawfinder. A contagem não confirma defeitos reais.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X6" authorId="0">
      <x:text>
        <x:r>
          <x:t>Métrica: not_cleaned
Registrado: 4
Recalculado: 4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Y6" authorId="0">
      <x:text>
        <x:r>
          <x:t>Métrica: heal_failed
Registrado: 0
Recalculado: 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Z6" authorId="0">
      <x:text>
        <x:r>
          <x:t>Métrica: max_rounds
Registrado: 10
Recalculado: 10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AA6" authorId="0">
      <x:text>
        <x:r>
          <x:t>Métrica: mean_rounds_to_clean
Registrado: 1.319
Recalculado: 1.319
Diferença no CSV: 0.0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AB6" authorId="0">
      <x:text>
        <x:r>
          <x:t>Métrica: median_rounds_to_clean
Registrado: 1.0
Recalculado: 1
Diferença no CSV: 0.0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AC6" authorId="0">
      <x:text>
        <x:r>
          <x:t>Métrica: survival_counts
Registrado: {"0": 73, "1": 73, "10": 4, "11": 4, "2": 22, "3": 7, "4": 5, "5": 4, "6": 4, "7": 4, "8": 4, "9": 4}
Recalculado: {"0": 73, "1": 73, "10": 4, "11": 4, "2": 22, "3": 7, "4": 5, "5": 4, "6": 4, "7": 4, "8": 4, "9": 4}
Diferença no CSV: não calculável
Comparação: match
Validade: legacy_definition_only
Motivo: Rodada 0 conta todos os relatórios. As seguintes contam a fila de cura: são bases diferentes.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D7" authorId="0">
      <x:text>
        <x:r>
          <x:t>Métrica: n_generated
Registrado: 2922
Recalculado: 2922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E7" authorId="0">
      <x:text>
        <x:r>
          <x:t>Métrica: compile_rate
Registrado: 0.9795
Recalculado: NV
Diferença no CSV: não calculável
Comparação: not_verifiable
Validade: not_verifiable
Motivo: Faltam arquivos .o. Não dá para conferir a compilação nesta cópia.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F7" authorId="0">
      <x:text>
        <x:r>
          <x:t>Métrica: clean_at_start
Registrado: 1916
Recalculado: 1916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G7" authorId="0">
      <x:text>
        <x:r>
          <x:t>Métrica: cleaned
Registrado: 916
Recalculado: 916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H7" authorId="0">
      <x:text>
        <x:r>
          <x:t>Métrica: final_clean_rate
Registrado: 0.9692
Recalculado: 0.9692
Diferença no CSV: 0.0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I7" authorId="0">
      <x:text>
        <x:r>
          <x:t>Métrica: n_compilable
Registrado: 2862
Recalculado: NV
Diferença no CSV: não calculável
Comparação: not_verifiable
Validade: not_verifiable
Motivo: Faltam arquivos .o. Não dá para conferir a compilação nesta cópia.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J7" authorId="0">
      <x:text>
        <x:r>
          <x:t>Métrica: flagged_gcc
Registrado: 60
Recalculado: 60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K7" authorId="0">
      <x:text>
        <x:r>
          <x:t>Métrica: flagged_clang
Registrado: 71
Recalculado: 71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L7" authorId="0">
      <x:text>
        <x:r>
          <x:t>Métrica: flagged_cppcheck
Registrado: 968
Recalculado: 968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M7" authorId="0">
      <x:text>
        <x:r>
          <x:t>Métrica: flagged_flawfinder
Registrado: 0
Recalculado: 0
Diferença no CSV: 0
Comparação: match
Validade: legacy_definition_only
Motivo: O parser atual pode ignorar alertas do Flawfinder. A contagem não confirma defeitos reais.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N7" authorId="0">
      <x:text>
        <x:r>
          <x:t>Métrica: flagged_asan
Registrado: 0
Recalculado: 0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O7" authorId="0">
      <x:text>
        <x:r>
          <x:t>Métrica: flagged_fuzz
Registrado: 0
Recalculado: 0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P7" authorId="0">
      <x:text>
        <x:r>
          <x:t>Métrica: flagged_test
Registrado: 0
Recalculado: 0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Q7" authorId="0">
      <x:text>
        <x:r>
          <x:t>Métrica: oracle_absent
Registrado: 2922
Recalculado: 2922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R7" authorId="0">
      <x:text>
        <x:r>
          <x:t>Métrica: oracle_passed
Registrado: 0
Recalculado: 0
Diferença no CSV: 0
Comparação: match
Validade: legacy_definition_only
Motivo: A regra antiga pode contar testes sem veredito como aprovados. Ver test_states_initial.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S7" authorId="0">
      <x:text>
        <x:r>
          <x:t>Métrica: oracle_failed
Registrado: 0
Recalculado: 0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T7" authorId="0">
      <x:text>
        <x:r>
          <x:t>Métrica: oracle_pass_rate
Registrado: Sem registro
Recalculado: NV
Diferença no CSV: não calculável
Comparação: not_verifiable
Validade: not_verifiable
Motivo: A regra antiga pode contar testes sem veredito como aprovados. Ver test_states_initial.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U7" authorId="0">
      <x:text>
        <x:r>
          <x:t>Métrica: initial_flagged
Registrado: 1006
Recalculado: 1006
Diferença no CSV: 0
Comparação: match
Validade: legacy_definition_only
Motivo: O parser atual pode ignorar alertas do Flawfinder. A contagem não confirma defeitos reais.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V7" authorId="0">
      <x:text>
        <x:r>
          <x:t>Métrica: initial_defect_rate
Registrado: 0.3443
Recalculado: 0.3443
Diferença no CSV: 0.0
Comparação: match
Validade: legacy_definition_only
Motivo: O parser atual pode ignorar alertas do Flawfinder. A contagem não confirma defeitos reais.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W7" authorId="0">
      <x:text>
        <x:r>
          <x:t>Métrica: initial_defect_rate_static_only
Registrado: 0.3443
Recalculado: 0.3443
Diferença no CSV: 0.0
Comparação: match
Validade: legacy_definition_only
Motivo: O parser atual pode ignorar alertas do Flawfinder. A contagem não confirma defeitos reais.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X7" authorId="0">
      <x:text>
        <x:r>
          <x:t>Métrica: not_cleaned
Registrado: 90
Recalculado: 90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Y7" authorId="0">
      <x:text>
        <x:r>
          <x:t>Métrica: heal_failed
Registrado: 0
Recalculado: 0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Z7" authorId="0">
      <x:text>
        <x:r>
          <x:t>Métrica: max_rounds
Registrado: 10
Recalculado: 10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AA7" authorId="0">
      <x:text>
        <x:r>
          <x:t>Métrica: mean_rounds_to_clean
Registrado: 1.442
Recalculado: 1.442
Diferença no CSV: 0.0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AB7" authorId="0">
      <x:text>
        <x:r>
          <x:t>Métrica: median_rounds_to_clean
Registrado: 1.0
Recalculado: 1.0
Diferença no CSV: 0.0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AC7" authorId="0">
      <x:text>
        <x:r>
          <x:t>Métrica: survival_counts
Registrado: {"0": 1006, "1": 1006, "10": 93, "11": 90, "2": 293, "3": 155, "4": 137, "5": 122, "6": 116, "7": 106, "8": 98, "9": 95}
Recalculado: {"0": 1006, "1": 1006, "10": 93, "11": 90, "2": 293, "3": 155, "4": 137, "5": 122, "6": 116, "7": 106, "8": 98, "9": 95}
Diferença no CSV: não calculável
Comparação: match
Validade: legacy_definition_only
Motivo: Rodada 0 conta todos os relatórios. As seguintes contam a fila de cura: são bases diferentes.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D8" authorId="0">
      <x:text>
        <x:r>
          <x:t>Métrica: n_generated
Registrado: Sem registro
Recalculado: 600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E8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F8" authorId="0">
      <x:text>
        <x:r>
          <x:t>Métrica: clean_at_start
Registrado: Sem registro
Recalculado: 367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G8" authorId="0">
      <x:text>
        <x:r>
          <x:t>Métrica: cleaned
Registrado: Sem registro
Recalculado: 196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H8" authorId="0">
      <x:text>
        <x:r>
          <x:t>Métrica: final_clean_rate
Registrado: Sem registro
Recalculado: 0.9383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I8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J8" authorId="0">
      <x:text>
        <x:r>
          <x:t>Métrica: flagged_gcc
Registrado: Sem registro
Recalculado: 13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K8" authorId="0">
      <x:text>
        <x:r>
          <x:t>Métrica: flagged_clang
Registrado: Sem registro
Recalculado: 19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L8" authorId="0">
      <x:text>
        <x:r>
          <x:t>Métrica: flagged_cppcheck
Registrado: Sem registro
Recalculado: 193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M8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N8" authorId="0">
      <x:text>
        <x:r>
          <x:t>Métrica: flagged_asan
Registrado: Sem registro
Recalculado: 7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O8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P8" authorId="0">
      <x:text>
        <x:r>
          <x:t>Métrica: flagged_test
Registrado: Sem registro
Recalculado: 40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Q8" authorId="0">
      <x:text>
        <x:r>
          <x:t>Métrica: oracle_absent
Registrado: Sem registro
Recalculado: 2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R8" authorId="0">
      <x:text>
        <x:r>
          <x:t>Métrica: oracle_passed
Registrado: Sem registro
Recalculado: 558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S8" authorId="0">
      <x:text>
        <x:r>
          <x:t>Métrica: oracle_failed
Registrado: Sem registro
Recalculado: 40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T8" authorId="0">
      <x:text>
        <x:r>
          <x:t>Métrica: oracle_pass_rate
Registrado: Sem registro
Recalculado: 0.9331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U8" authorId="0">
      <x:text>
        <x:r>
          <x:t>Métrica: initial_flagged
Registrado: Sem registro
Recalculado: 233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V8" authorId="0">
      <x:text>
        <x:r>
          <x:t>Métrica: initial_defect_rate
Registrado: Sem registro
Recalculado: 0.3883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W8" authorId="0">
      <x:text>
        <x:r>
          <x:t>Métrica: initial_defect_rate_static_only
Registrado: Sem registro
Recalculado: 0.3417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X8" authorId="0">
      <x:text>
        <x:r>
          <x:t>Métrica: not_cleaned
Registrado: Sem registro
Recalculado: 37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Y8" authorId="0">
      <x:text>
        <x:r>
          <x:t>Métrica: heal_failed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Z8" authorId="0">
      <x:text>
        <x:r>
          <x:t>Métrica: max_rounds
Registrado: Sem registro
Recalculado: 10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AA8" authorId="0">
      <x:text>
        <x:r>
          <x:t>Métrica: mean_rounds_to_clean
Registrado: Sem registro
Recalculado: 1.745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AB8" authorId="0">
      <x:text>
        <x:r>
          <x:t>Métrica: median_rounds_to_clean
Registrado: Sem registro
Recalculado: 1.0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AC8" authorId="0">
      <x:text>
        <x:r>
          <x:t>Métrica: survival_counts
Registrado: Sem registro
Recalculado: {"0": 233, "1": 233, "10": 38, "11": 37, "2": 94, "3": 60, "4": 55, "5": 50, "6": 50, "7": 47, "8": 45, "9": 40}
Diferença no CSV: não calculável
Comparação: missing_cell
Validade: legacy_definition_only
Motivo: Rodada 0 conta todos os relatórios. As seguintes contam a fila de cura: são bases diferentes.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D9" authorId="0">
      <x:text>
        <x:r>
          <x:t>Métrica: n_generated
Registrado: Sem registro
Recalculado: 600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E9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F9" authorId="0">
      <x:text>
        <x:r>
          <x:t>Métrica: clean_at_start
Registrado: Sem registro
Recalculado: 362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G9" authorId="0">
      <x:text>
        <x:r>
          <x:t>Métrica: cleaned
Registrado: Sem registro
Recalculado: 206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H9" authorId="0">
      <x:text>
        <x:r>
          <x:t>Métrica: final_clean_rate
Registrado: Sem registro
Recalculado: 0.9467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I9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J9" authorId="0">
      <x:text>
        <x:r>
          <x:t>Métrica: flagged_gcc
Registrado: Sem registro
Recalculado: 18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K9" authorId="0">
      <x:text>
        <x:r>
          <x:t>Métrica: flagged_clang
Registrado: Sem registro
Recalculado: 27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L9" authorId="0">
      <x:text>
        <x:r>
          <x:t>Métrica: flagged_cppcheck
Registrado: Sem registro
Recalculado: 198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M9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N9" authorId="0">
      <x:text>
        <x:r>
          <x:t>Métrica: flagged_asan
Registrado: Sem registro
Recalculado: 7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O9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P9" authorId="0">
      <x:text>
        <x:r>
          <x:t>Métrica: flagged_test
Registrado: Sem registro
Recalculado: 39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Q9" authorId="0">
      <x:text>
        <x:r>
          <x:t>Métrica: oracle_absent
Registrado: Sem registro
Recalculado: 2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R9" authorId="0">
      <x:text>
        <x:r>
          <x:t>Métrica: oracle_passed
Registrado: Sem registro
Recalculado: 559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S9" authorId="0">
      <x:text>
        <x:r>
          <x:t>Métrica: oracle_failed
Registrado: Sem registro
Recalculado: 39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T9" authorId="0">
      <x:text>
        <x:r>
          <x:t>Métrica: oracle_pass_rate
Registrado: Sem registro
Recalculado: 0.9348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U9" authorId="0">
      <x:text>
        <x:r>
          <x:t>Métrica: initial_flagged
Registrado: Sem registro
Recalculado: 238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V9" authorId="0">
      <x:text>
        <x:r>
          <x:t>Métrica: initial_defect_rate
Registrado: Sem registro
Recalculado: 0.3967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W9" authorId="0">
      <x:text>
        <x:r>
          <x:t>Métrica: initial_defect_rate_static_only
Registrado: Sem registro
Recalculado: 0.35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X9" authorId="0">
      <x:text>
        <x:r>
          <x:t>Métrica: not_cleaned
Registrado: Sem registro
Recalculado: 32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Y9" authorId="0">
      <x:text>
        <x:r>
          <x:t>Métrica: heal_failed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Z9" authorId="0">
      <x:text>
        <x:r>
          <x:t>Métrica: max_rounds
Registrado: Sem registro
Recalculado: 10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AA9" authorId="0">
      <x:text>
        <x:r>
          <x:t>Métrica: mean_rounds_to_clean
Registrado: Sem registro
Recalculado: 1.631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AB9" authorId="0">
      <x:text>
        <x:r>
          <x:t>Métrica: median_rounds_to_clean
Registrado: Sem registro
Recalculado: 1.0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AC9" authorId="0">
      <x:text>
        <x:r>
          <x:t>Métrica: survival_counts
Registrado: Sem registro
Recalculado: {"0": 238, "1": 238, "10": 34, "11": 32, "2": 102, "3": 49, "4": 45, "5": 42, "6": 38, "7": 37, "8": 36, "9": 35}
Diferença no CSV: não calculável
Comparação: missing_cell
Validade: legacy_definition_only
Motivo: Rodada 0 conta todos os relatórios. As seguintes contam a fila de cura: são bases diferentes.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D10" authorId="0">
      <x:text>
        <x:r>
          <x:t>Métrica: n_generated
Registrado: Sem registro
Recalculado: 600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E10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F10" authorId="0">
      <x:text>
        <x:r>
          <x:t>Métrica: clean_at_start
Registrado: Sem registro
Recalculado: 337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G10" authorId="0">
      <x:text>
        <x:r>
          <x:t>Métrica: cleaned
Registrado: Sem registro
Recalculado: 230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H10" authorId="0">
      <x:text>
        <x:r>
          <x:t>Métrica: final_clean_rate
Registrado: Sem registro
Recalculado: 0.945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I10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J10" authorId="0">
      <x:text>
        <x:r>
          <x:t>Métrica: flagged_gcc
Registrado: Sem registro
Recalculado: 22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K10" authorId="0">
      <x:text>
        <x:r>
          <x:t>Métrica: flagged_clang
Registrado: Sem registro
Recalculado: 24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L10" authorId="0">
      <x:text>
        <x:r>
          <x:t>Métrica: flagged_cppcheck
Registrado: Sem registro
Recalculado: 222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M10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N10" authorId="0">
      <x:text>
        <x:r>
          <x:t>Métrica: flagged_asan
Registrado: Sem registro
Recalculado: 8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O10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P10" authorId="0">
      <x:text>
        <x:r>
          <x:t>Métrica: flagged_test
Registrado: Sem registro
Recalculado: 41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Q10" authorId="0">
      <x:text>
        <x:r>
          <x:t>Métrica: oracle_absent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R10" authorId="0">
      <x:text>
        <x:r>
          <x:t>Métrica: oracle_passed
Registrado: Sem registro
Recalculado: 559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S10" authorId="0">
      <x:text>
        <x:r>
          <x:t>Métrica: oracle_failed
Registrado: Sem registro
Recalculado: 41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T10" authorId="0">
      <x:text>
        <x:r>
          <x:t>Métrica: oracle_pass_rate
Registrado: Sem registro
Recalculado: 0.9317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U10" authorId="0">
      <x:text>
        <x:r>
          <x:t>Métrica: initial_flagged
Registrado: Sem registro
Recalculado: 262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V10" authorId="0">
      <x:text>
        <x:r>
          <x:t>Métrica: initial_defect_rate
Registrado: Sem registro
Recalculado: 0.4367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W10" authorId="0">
      <x:text>
        <x:r>
          <x:t>Métrica: initial_defect_rate_static_only
Registrado: Sem registro
Recalculado: 0.395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X10" authorId="0">
      <x:text>
        <x:r>
          <x:t>Métrica: not_cleaned
Registrado: Sem registro
Recalculado: 33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Y10" authorId="0">
      <x:text>
        <x:r>
          <x:t>Métrica: heal_failed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Z10" authorId="0">
      <x:text>
        <x:r>
          <x:t>Métrica: max_rounds
Registrado: Sem registro
Recalculado: 10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AA10" authorId="0">
      <x:text>
        <x:r>
          <x:t>Métrica: mean_rounds_to_clean
Registrado: Sem registro
Recalculado: 1.383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AB10" authorId="0">
      <x:text>
        <x:r>
          <x:t>Métrica: median_rounds_to_clean
Registrado: Sem registro
Recalculado: 1.0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AC10" authorId="0">
      <x:text>
        <x:r>
          <x:t>Métrica: survival_counts
Registrado: Sem registro
Recalculado: {"0": 262, "1": 263, "10": 33, "11": 33, "2": 95, "3": 42, "4": 41, "5": 37, "6": 36, "7": 34, "8": 34, "9": 33}
Diferença no CSV: não calculável
Comparação: missing_cell
Validade: legacy_definition_only
Motivo: Rodada 0 conta todos os relatórios. As seguintes contam a fila de cura: são bases diferentes.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D11" authorId="0">
      <x:text>
        <x:r>
          <x:t>Métrica: n_generated
Registrado: 2
Recalculado: 598
Diferença no CSV: 596
Comparação: different
Validade: artifact_count
Motivo: Contagem de artefatos/manifest conforme definição do pipeline.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E11" authorId="0">
      <x:text>
        <x:r>
          <x:t>Métrica: compile_rate
Registrado: 1.0
Recalculado: NV
Diferença no CSV: não calculável
Comparação: not_verifiable
Validade: not_verifiable
Motivo: Faltam arquivos .o. Não dá para conferir a compilação nesta cópia.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F11" authorId="0">
      <x:text>
        <x:r>
          <x:t>Métrica: clean_at_start
Registrado: 2
Recalculado: 462
Diferença no CSV: 460
Comparação: different
Validade: artifact_count
Motivo: Contagem de artefatos/manifest conforme definição do pipeline.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G11" authorId="0">
      <x:text>
        <x:r>
          <x:t>Métrica: cleaned
Registrado: 0
Recalculado: 133
Diferença no CSV: 133
Comparação: different
Validade: artifact_count
Motivo: Contagem de artefatos/manifest conforme definição do pipeline.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H11" authorId="0">
      <x:text>
        <x:r>
          <x:t>Métrica: final_clean_rate
Registrado: 1.0
Recalculado: 0.9983
Diferença no CSV: -0.0017
Comparação: different
Validade: artifact_count
Motivo: Contagem de artefatos/manifest conforme definição do pipeline.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I11" authorId="0">
      <x:text>
        <x:r>
          <x:t>Métrica: n_compilable
Registrado: 2
Recalculado: NV
Diferença no CSV: não calculável
Comparação: not_verifiable
Validade: not_verifiable
Motivo: Faltam arquivos .o. Não dá para conferir a compilação nesta cópia.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J11" authorId="0">
      <x:text>
        <x:r>
          <x:t>Métrica: flagged_gcc
Registrado: 0
Recalculado: 12
Diferença no CSV: 12
Comparação: different
Validade: artifact_count
Motivo: Contagem de artefatos/manifest conforme definição do pipeline.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K11" authorId="0">
      <x:text>
        <x:r>
          <x:t>Métrica: flagged_clang
Registrado: 0
Recalculado: 15
Diferença no CSV: 15
Comparação: different
Validade: artifact_count
Motivo: Contagem de artefatos/manifest conforme definição do pipeline.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L11" authorId="0">
      <x:text>
        <x:r>
          <x:t>Métrica: flagged_cppcheck
Registrado: 0
Recalculado: 133
Diferença no CSV: 133
Comparação: different
Validade: artifact_count
Motivo: Contagem de artefatos/manifest conforme definição do pipeline.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M11" authorId="0">
      <x:text>
        <x:r>
          <x:t>Métrica: flagged_flawfinder
Registrado: 0
Recalculado: 0
Diferença no CSV: 0
Comparação: match
Validade: legacy_definition_only
Motivo: O parser atual pode ignorar alertas do Flawfinder. A contagem não confirma defeitos reais.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N11" authorId="0">
      <x:text>
        <x:r>
          <x:t>Métrica: flagged_asan
Registrado: 0
Recalculado: 0
Diferença no CSV: 0
Comparação: match
Validade: artifact_count
Motivo: Contagem de artefatos/manifest conforme definição do pipeline.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O11" authorId="0">
      <x:text>
        <x:r>
          <x:t>Métrica: flagged_fuzz
Registrado: 0
Recalculado: 0
Diferença no CSV: 0
Comparação: match
Validade: artifact_count
Motivo: Contagem de artefatos/manifest conforme definição do pipeline.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P11" authorId="0">
      <x:text>
        <x:r>
          <x:t>Métrica: flagged_test
Registrado: 0
Recalculado: 0
Diferença no CSV: 0
Comparação: match
Validade: artifact_count
Motivo: Contagem de artefatos/manifest conforme definição do pipeline.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Q11" authorId="0">
      <x:text>
        <x:r>
          <x:t>Métrica: oracle_absent
Registrado: 0
Recalculado: 596
Diferença no CSV: 596
Comparação: different
Validade: artifact_count
Motivo: Contagem de artefatos/manifest conforme definição do pipeline.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R11" authorId="0">
      <x:text>
        <x:r>
          <x:t>Métrica: oracle_passed
Registrado: 2
Recalculado: 2
Diferença no CSV: 0
Comparação: match
Validade: legacy_definition_only
Motivo: A regra antiga pode contar testes sem veredito como aprovados. Ver test_states_initial.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S11" authorId="0">
      <x:text>
        <x:r>
          <x:t>Métrica: oracle_failed
Registrado: 0
Recalculado: 0
Diferença no CSV: 0
Comparação: match
Validade: artifact_count
Motivo: Contagem de artefatos/manifest conforme definição do pipeline.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T11" authorId="0">
      <x:text>
        <x:r>
          <x:t>Métrica: oracle_pass_rate
Registrado: 1.0
Recalculado: 1.0
Diferença no CSV: 0.0
Comparação: match
Validade: legacy_definition_only
Motivo: A regra antiga pode contar testes sem veredito como aprovados. Ver test_states_initial.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U11" authorId="0">
      <x:text>
        <x:r>
          <x:t>Métrica: initial_flagged
Registrado: 0
Recalculado: 136
Diferença no CSV: 136
Comparação: different
Validade: legacy_definition_only
Motivo: O parser atual pode ignorar alertas do Flawfinder. A contagem não confirma defeitos reais.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V11" authorId="0">
      <x:text>
        <x:r>
          <x:t>Métrica: initial_defect_rate
Registrado: 0.0
Recalculado: 0.2274
Diferença no CSV: 0.2274
Comparação: different
Validade: legacy_definition_only
Motivo: O parser atual pode ignorar alertas do Flawfinder. A contagem não confirma defeitos reais.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W11" authorId="0">
      <x:text>
        <x:r>
          <x:t>Métrica: initial_defect_rate_static_only
Registrado: 0.0
Recalculado: 0.2274
Diferença no CSV: 0.2274
Comparação: different
Validade: legacy_definition_only
Motivo: O parser atual pode ignorar alertas do Flawfinder. A contagem não confirma defeitos reais.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X11" authorId="0">
      <x:text>
        <x:r>
          <x:t>Métrica: not_cleaned
Registrado: 0
Recalculado: 1
Diferença no CSV: 1
Comparação: different
Validade: artifact_count
Motivo: Contagem de artefatos/manifest conforme definição do pipeline.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Y11" authorId="0">
      <x:text>
        <x:r>
          <x:t>Métrica: heal_failed
Registrado: 0
Recalculado: 2
Diferença no CSV: 2
Comparação: different
Validade: artifact_count
Motivo: Contagem de artefatos/manifest conforme definição do pipeline.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Z11" authorId="0">
      <x:text>
        <x:r>
          <x:t>Métrica: max_rounds
Registrado: 1
Recalculado: 10
Diferença no CSV: 9
Comparação: different
Validade: artifact_count
Motivo: Contagem de artefatos/manifest conforme definição do pipeline.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AA11" authorId="0">
      <x:text>
        <x:r>
          <x:t>Métrica: mean_rounds_to_clean
Registrado: Sem registro
Recalculado: 1.083
Diferença no CSV: não calculável
Comparação: different
Validade: artifact_count
Motivo: Contagem de artefatos/manifest conforme definição do pipeline.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AB11" authorId="0">
      <x:text>
        <x:r>
          <x:t>Métrica: median_rounds_to_clean
Registrado: Sem registro
Recalculado: 1
Diferença no CSV: não calculável
Comparação: different
Validade: artifact_count
Motivo: Contagem de artefatos/manifest conforme definição do pipeline.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AC11" authorId="0">
      <x:text>
        <x:r>
          <x:t>Métrica: survival_counts
Registrado: {"0": 0}
Recalculado: {"0": 136, "1": 136, "10": 1, "11": 1, "2": 12, "3": 3, "4": 2, "5": 1, "6": 1, "7": 1, "8": 1, "9": 1}
Diferença no CSV: não calculável
Comparação: different
Validade: legacy_definition_only
Motivo: Rodada 0 conta todos os relatórios. As seguintes contam a fila de cura: são bases diferentes.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D12" authorId="0">
      <x:text>
        <x:r>
          <x:t>Métrica: n_generated
Registrado: Sem registro
Recalculado: 8
Diferença no CSV: não calculável
Comparação: missing_cell
Validade: artifact_count
Motivo: Contagem de artefatos/manifest conforme definição do pipeline.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E12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F12" authorId="0">
      <x:text>
        <x:r>
          <x:t>Métrica: clean_at_start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G12" authorId="0">
      <x:text>
        <x:r>
          <x:t>Métrica: cleaned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H12" authorId="0">
      <x:text>
        <x:r>
          <x:t>Métrica: final_clean_rate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I12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J12" authorId="0">
      <x:text>
        <x:r>
          <x:t>Métrica: flagged_gcc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K12" authorId="0">
      <x:text>
        <x:r>
          <x:t>Métrica: flagged_clang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L12" authorId="0">
      <x:text>
        <x:r>
          <x:t>Métrica: flagged_cppcheck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M12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N12" authorId="0">
      <x:text>
        <x:r>
          <x:t>Métrica: flagged_asan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O12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P12" authorId="0">
      <x:text>
        <x:r>
          <x:t>Métrica: flagged_test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Q12" authorId="0">
      <x:text>
        <x:r>
          <x:t>Métrica: oracle_absent
Registrado: Sem registro
Recalculado: 8
Diferença no CSV: não calculável
Comparação: missing_cell
Validade: artifact_count
Motivo: Contagem de artefatos/manifest conforme definição do pipeline.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R12" authorId="0">
      <x:text>
        <x:r>
          <x:t>Métrica: oracle_passed
Registrado: Sem registro
Recalculado: 0
Diferença no CSV: não calculável
Comparação: missing_cell
Validade: legacy_definition_only
Motivo: A regra antiga pode contar testes sem veredito como aprovados. Ver test_states_initial.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S12" authorId="0">
      <x:text>
        <x:r>
          <x:t>Métrica: oracle_failed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T12" authorId="0">
      <x:text>
        <x:r>
          <x:t>Métrica: oracle_pass_rate
Registrado: Sem registro
Recalculado: NV
Diferença no CSV: não calculável
Comparação: not_verifiable
Validade: not_verifiable
Motivo: A regra antiga pode contar testes sem veredito como aprovados. Ver test_states_initial.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U12" authorId="0">
      <x:text>
        <x:r>
          <x:t>Métrica: initial_flagged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V12" authorId="0">
      <x:text>
        <x:r>
          <x:t>Métrica: initial_defect_rate
Registrado: Sem registro
Recalculado: 0.0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W12" authorId="0">
      <x:text>
        <x:r>
          <x:t>Métrica: initial_defect_rate_static_only
Registrado: Sem registro
Recalculado: 0.0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X12" authorId="0">
      <x:text>
        <x:r>
          <x:t>Métrica: not_cleaned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Y12" authorId="0">
      <x:text>
        <x:r>
          <x:t>Métrica: heal_failed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Z12" authorId="0">
      <x:text>
        <x:r>
          <x:t>Métrica: max_rounds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AA12" authorId="0">
      <x:text>
        <x:r>
          <x:t>Métrica: mean_rounds_to_clean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AB12" authorId="0">
      <x:text>
        <x:r>
          <x:t>Métrica: median_rounds_to_clean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AC12" authorId="0">
      <x:text>
        <x:r>
          <x:t>Métrica: survival_counts
Registrado: Sem registro
Recalculado: {"0": 0}
Diferença no CSV: não calculável
Comparação: missing_cell
Validade: legacy_definition_only
Motivo: Rodada 0 conta todos os relatórios. As seguintes contam a fila de cura: são bases diferentes.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D13" authorId="0">
      <x:text>
        <x:r>
          <x:t>Métrica: n_generated
Registrado: Sem registro
Recalculado: 1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E13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F13" authorId="0">
      <x:text>
        <x:r>
          <x:t>Métrica: clean_at_start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G13" authorId="0">
      <x:text>
        <x:r>
          <x:t>Métrica: cleaned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H13" authorId="0">
      <x:text>
        <x:r>
          <x:t>Métrica: final_clean_rate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I13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J13" authorId="0">
      <x:text>
        <x:r>
          <x:t>Métrica: flagged_gcc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K13" authorId="0">
      <x:text>
        <x:r>
          <x:t>Métrica: flagged_clang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L13" authorId="0">
      <x:text>
        <x:r>
          <x:t>Métrica: flagged_cppcheck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M13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N13" authorId="0">
      <x:text>
        <x:r>
          <x:t>Métrica: flagged_asan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O13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P13" authorId="0">
      <x:text>
        <x:r>
          <x:t>Métrica: flagged_test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Q13" authorId="0">
      <x:text>
        <x:r>
          <x:t>Métrica: oracle_absent
Registrado: Sem registro
Recalculado: 1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R13" authorId="0">
      <x:text>
        <x:r>
          <x:t>Métrica: oracle_passed
Registrado: Sem registro
Recalculado: 0
Diferença no CSV: não calculável
Comparação: missing_cell
Validade: legacy_definition_only
Motivo: A regra antiga pode contar testes sem veredito como aprovados. Ver test_states_initial.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S13" authorId="0">
      <x:text>
        <x:r>
          <x:t>Métrica: oracle_failed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T13" authorId="0">
      <x:text>
        <x:r>
          <x:t>Métrica: oracle_pass_rate
Registrado: Sem registro
Recalculado: NV
Diferença no CSV: não calculável
Comparação: not_verifiable
Validade: not_verifiable
Motivo: A regra antiga pode contar testes sem veredito como aprovados. Ver test_states_initial.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U13" authorId="0">
      <x:text>
        <x:r>
          <x:t>Métrica: initial_flagged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V13" authorId="0">
      <x:text>
        <x:r>
          <x:t>Métrica: initial_defect_rate
Registrado: Sem registro
Recalculado: 0.0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W13" authorId="0">
      <x:text>
        <x:r>
          <x:t>Métrica: initial_defect_rate_static_only
Registrado: Sem registro
Recalculado: 0.0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X13" authorId="0">
      <x:text>
        <x:r>
          <x:t>Métrica: not_cleaned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Y13" authorId="0">
      <x:text>
        <x:r>
          <x:t>Métrica: heal_failed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Z13" authorId="0">
      <x:text>
        <x:r>
          <x:t>Métrica: max_rounds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AA13" authorId="0">
      <x:text>
        <x:r>
          <x:t>Métrica: mean_rounds_to_clean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AB13" authorId="0">
      <x:text>
        <x:r>
          <x:t>Métrica: median_rounds_to_clean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AC13" authorId="0">
      <x:text>
        <x:r>
          <x:t>Métrica: survival_counts
Registrado: Sem registro
Recalculado: {"0": 0}
Diferença no CSV: não calculável
Comparação: missing_cell
Validade: legacy_definition_only
Motivo: Rodada 0 conta todos os relatórios. As seguintes contam a fila de cura: são bases diferentes.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D14" authorId="0">
      <x:text>
        <x:r>
          <x:t>Métrica: n_generated
Registrado: Sem registro
Recalculado: 600
Diferença no CSV: não calculável
Comparação: missing_cell
Validade: artifact_count
Motivo: Contagem de artefatos/manifest conforme definição do pipeline.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E14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F14" authorId="0">
      <x:text>
        <x:r>
          <x:t>Métrica: clean_at_start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G14" authorId="0">
      <x:text>
        <x:r>
          <x:t>Métrica: cleaned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H14" authorId="0">
      <x:text>
        <x:r>
          <x:t>Métrica: final_clean_rate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I14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J14" authorId="0">
      <x:text>
        <x:r>
          <x:t>Métrica: flagged_gcc
Registrado: Sem registro
Recalculado: 23
Diferença no CSV: não calculável
Comparação: missing_cell
Validade: artifact_count
Motivo: Contagem de artefatos/manifest conforme definição do pipeline.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K14" authorId="0">
      <x:text>
        <x:r>
          <x:t>Métrica: flagged_clang
Registrado: Sem registro
Recalculado: 31
Diferença no CSV: não calculável
Comparação: missing_cell
Validade: artifact_count
Motivo: Contagem de artefatos/manifest conforme definição do pipeline.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L14" authorId="0">
      <x:text>
        <x:r>
          <x:t>Métrica: flagged_cppcheck
Registrado: Sem registro
Recalculado: 225
Diferença no CSV: não calculável
Comparação: missing_cell
Validade: artifact_count
Motivo: Contagem de artefatos/manifest conforme definição do pipeline.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M14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N14" authorId="0">
      <x:text>
        <x:r>
          <x:t>Métrica: flagged_asan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O14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P14" authorId="0">
      <x:text>
        <x:r>
          <x:t>Métrica: flagged_test
Registrado: Sem registro
Recalculado: 36
Diferença no CSV: não calculável
Comparação: missing_cell
Validade: artifact_count
Motivo: Contagem de artefatos/manifest conforme definição do pipeline.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Q14" authorId="0">
      <x:text>
        <x:r>
          <x:t>Métrica: oracle_absent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R14" authorId="0">
      <x:text>
        <x:r>
          <x:t>Métrica: oracle_passed
Registrado: Sem registro
Recalculado: 564
Diferença no CSV: não calculável
Comparação: missing_cell
Validade: legacy_definition_only
Motivo: A regra antiga pode contar testes sem veredito como aprovados. Ver test_states_initial.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S14" authorId="0">
      <x:text>
        <x:r>
          <x:t>Métrica: oracle_failed
Registrado: Sem registro
Recalculado: 36
Diferença no CSV: não calculável
Comparação: missing_cell
Validade: artifact_count
Motivo: Contagem de artefatos/manifest conforme definição do pipeline.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T14" authorId="0">
      <x:text>
        <x:r>
          <x:t>Métrica: oracle_pass_rate
Registrado: Sem registro
Recalculado: 0.94
Diferença no CSV: não calculável
Comparação: missing_cell
Validade: legacy_definition_only
Motivo: A regra antiga pode contar testes sem veredito como aprovados. Ver test_states_initial.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U14" authorId="0">
      <x:text>
        <x:r>
          <x:t>Métrica: initial_flagged
Registrado: Sem registro
Recalculado: 264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V14" authorId="0">
      <x:text>
        <x:r>
          <x:t>Métrica: initial_defect_rate
Registrado: Sem registro
Recalculado: 0.44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W14" authorId="0">
      <x:text>
        <x:r>
          <x:t>Métrica: initial_defect_rate_static_only
Registrado: Sem registro
Recalculado: 0.4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X14" authorId="0">
      <x:text>
        <x:r>
          <x:t>Métrica: not_cleaned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Y14" authorId="0">
      <x:text>
        <x:r>
          <x:t>Métrica: heal_failed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Z14" authorId="0">
      <x:text>
        <x:r>
          <x:t>Métrica: max_rounds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AA14" authorId="0">
      <x:text>
        <x:r>
          <x:t>Métrica: mean_rounds_to_clean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AB14" authorId="0">
      <x:text>
        <x:r>
          <x:t>Métrica: median_rounds_to_clean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AC14" authorId="0">
      <x:text>
        <x:r>
          <x:t>Métrica: survival_counts
Registrado: Sem registro
Recalculado: {"0": 264, "1": 36}
Diferença no CSV: não calculável
Comparação: missing_cell
Validade: legacy_definition_only
Motivo: Rodada 0 conta todos os relatórios. As seguintes contam a fila de cura: são bases diferentes.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D15" authorId="0">
      <x:text>
        <x:r>
          <x:t>Métrica: n_generated
Registrado: Sem registro
Recalculado: 2922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E15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F15" authorId="0">
      <x:text>
        <x:r>
          <x:t>Métrica: clean_at_start
Registrado: Sem registro
Recalculado: 1431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G15" authorId="0">
      <x:text>
        <x:r>
          <x:t>Métrica: cleaned
Registrado: Sem registro
Recalculado: 1337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H15" authorId="0">
      <x:text>
        <x:r>
          <x:t>Métrica: final_clean_rate
Registrado: Sem registro
Recalculado: 0.9473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I15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J15" authorId="0">
      <x:text>
        <x:r>
          <x:t>Métrica: flagged_gcc
Registrado: Sem registro
Recalculado: 173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K15" authorId="0">
      <x:text>
        <x:r>
          <x:t>Métrica: flagged_clang
Registrado: Sem registro
Recalculado: 199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L15" authorId="0">
      <x:text>
        <x:r>
          <x:t>Métrica: flagged_cppcheck
Registrado: Sem registro
Recalculado: 1447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M15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N15" authorId="0">
      <x:text>
        <x:r>
          <x:t>Métrica: flagged_asan
Registrado: Sem registro
Recalculado: 0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O15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P15" authorId="0">
      <x:text>
        <x:r>
          <x:t>Métrica: flagged_test
Registrado: Sem registro
Recalculado: 0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Q15" authorId="0">
      <x:text>
        <x:r>
          <x:t>Métrica: oracle_absent
Registrado: Sem registro
Recalculado: 2922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R15" authorId="0">
      <x:text>
        <x:r>
          <x:t>Métrica: oracle_passed
Registrado: Sem registro
Recalculado: 0
Diferença no CSV: não calculável
Comparação: missing_cell
Validade: legacy_definition_only
Motivo: A regra antiga pode contar testes sem veredito como aprovados. Ver test_states_initial.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S15" authorId="0">
      <x:text>
        <x:r>
          <x:t>Métrica: oracle_failed
Registrado: Sem registro
Recalculado: 0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T15" authorId="0">
      <x:text>
        <x:r>
          <x:t>Métrica: oracle_pass_rate
Registrado: Sem registro
Recalculado: NV
Diferença no CSV: não calculável
Comparação: not_verifiable
Validade: not_verifiable
Motivo: A regra antiga pode contar testes sem veredito como aprovados. Ver test_states_initial.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U15" authorId="0">
      <x:text>
        <x:r>
          <x:t>Métrica: initial_flagged
Registrado: Sem registro
Recalculado: 1491
Diferença no CSV: não calculável
Comparação: missing_cell
Validade: legacy_definition_only
Motivo: O parser atual pode ignorar alertas do Flawfinder. A contagem não confirma defeitos reais.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V15" authorId="0">
      <x:text>
        <x:r>
          <x:t>Métrica: initial_defect_rate
Registrado: Sem registro
Recalculado: 0.5103
Diferença no CSV: não calculável
Comparação: missing_cell
Validade: legacy_definition_only
Motivo: O parser atual pode ignorar alertas do Flawfinder. A contagem não confirma defeitos reais.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W15" authorId="0">
      <x:text>
        <x:r>
          <x:t>Métrica: initial_defect_rate_static_only
Registrado: Sem registro
Recalculado: 0.5103
Diferença no CSV: não calculável
Comparação: missing_cell
Validade: legacy_definition_only
Motivo: O parser atual pode ignorar alertas do Flawfinder. A contagem não confirma defeitos reais.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X15" authorId="0">
      <x:text>
        <x:r>
          <x:t>Métrica: not_cleaned
Registrado: Sem registro
Recalculado: 154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Y15" authorId="0">
      <x:text>
        <x:r>
          <x:t>Métrica: heal_failed
Registrado: Sem registro
Recalculado: 0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Z15" authorId="0">
      <x:text>
        <x:r>
          <x:t>Métrica: max_rounds
Registrado: Sem registro
Recalculado: 10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AA15" authorId="0">
      <x:text>
        <x:r>
          <x:t>Métrica: mean_rounds_to_clean
Registrado: Sem registro
Recalculado: 2.339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AB15" authorId="0">
      <x:text>
        <x:r>
          <x:t>Métrica: median_rounds_to_clean
Registrado: Sem registro
Recalculado: 2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AC15" authorId="0">
      <x:text>
        <x:r>
          <x:t>Métrica: survival_counts
Registrado: Sem registro
Recalculado: {"0": 1491, "1": 1491, "10": 167, "11": 154, "2": 934, "3": 508, "4": 377, "5": 303, "6": 264, "7": 232, "8": 206, "9": 185}
Diferença no CSV: não calculável
Comparação: missing_cell
Validade: legacy_definition_only
Motivo: Rodada 0 conta todos os relatórios. As seguintes contam a fila de cura: são bases diferentes.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D16" authorId="0">
      <x:text>
        <x:r>
          <x:t>Métrica: n_generated
Registrado: Sem registro
Recalculado: 600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E16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F16" authorId="0">
      <x:text>
        <x:r>
          <x:t>Métrica: clean_at_start
Registrado: Sem registro
Recalculado: 337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G16" authorId="0">
      <x:text>
        <x:r>
          <x:t>Métrica: cleaned
Registrado: Sem registro
Recalculado: 218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H16" authorId="0">
      <x:text>
        <x:r>
          <x:t>Métrica: final_clean_rate
Registrado: Sem registro
Recalculado: 0.925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I16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J16" authorId="0">
      <x:text>
        <x:r>
          <x:t>Métrica: flagged_gcc
Registrado: Sem registro
Recalculado: 11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K16" authorId="0">
      <x:text>
        <x:r>
          <x:t>Métrica: flagged_clang
Registrado: Sem registro
Recalculado: 20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L16" authorId="0">
      <x:text>
        <x:r>
          <x:t>Métrica: flagged_cppcheck
Registrado: Sem registro
Recalculado: 227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M16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N16" authorId="0">
      <x:text>
        <x:r>
          <x:t>Métrica: flagged_asan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O16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P16" authorId="0">
      <x:text>
        <x:r>
          <x:t>Métrica: flagged_test
Registrado: Sem registro
Recalculado: 38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Q16" authorId="0">
      <x:text>
        <x:r>
          <x:t>Métrica: oracle_absent
Registrado: Sem registro
Recalculado: 1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R16" authorId="0">
      <x:text>
        <x:r>
          <x:t>Métrica: oracle_passed
Registrado: Sem registro
Recalculado: 561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S16" authorId="0">
      <x:text>
        <x:r>
          <x:t>Métrica: oracle_failed
Registrado: Sem registro
Recalculado: 38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T16" authorId="0">
      <x:text>
        <x:r>
          <x:t>Métrica: oracle_pass_rate
Registrado: Sem registro
Recalculado: 0.9366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U16" authorId="0">
      <x:text>
        <x:r>
          <x:t>Métrica: initial_flagged
Registrado: Sem registro
Recalculado: 263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V16" authorId="0">
      <x:text>
        <x:r>
          <x:t>Métrica: initial_defect_rate
Registrado: Sem registro
Recalculado: 0.4383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W16" authorId="0">
      <x:text>
        <x:r>
          <x:t>Métrica: initial_defect_rate_static_only
Registrado: Sem registro
Recalculado: 0.3933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X16" authorId="0">
      <x:text>
        <x:r>
          <x:t>Métrica: not_cleaned
Registrado: Sem registro
Recalculado: 45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Y16" authorId="0">
      <x:text>
        <x:r>
          <x:t>Métrica: heal_failed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Z16" authorId="0">
      <x:text>
        <x:r>
          <x:t>Métrica: max_rounds
Registrado: Sem registro
Recalculado: 10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AA16" authorId="0">
      <x:text>
        <x:r>
          <x:t>Métrica: mean_rounds_to_clean
Registrado: Sem registro
Recalculado: 2.229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AB16" authorId="0">
      <x:text>
        <x:r>
          <x:t>Métrica: median_rounds_to_clean
Registrado: Sem registro
Recalculado: 1.0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AC16" authorId="0">
      <x:text>
        <x:r>
          <x:t>Métrica: survival_counts
Registrado: Sem registro
Recalculado: {"0": 263, "1": 263, "10": 47, "11": 45, "2": 148, "3": 98, "4": 84, "5": 71, "6": 63, "7": 57, "8": 53, "9": 52}
Diferença no CSV: não calculável
Comparação: missing_cell
Validade: legacy_definition_only
Motivo: Rodada 0 conta todos os relatórios. As seguintes contam a fila de cura: são bases diferentes.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D17" authorId="0">
      <x:text>
        <x:r>
          <x:t>Métrica: n_generated
Registrado: Sem registro
Recalculado: 600
Diferença no CSV: não calculável
Comparação: missing_cell
Validade: artifact_count
Motivo: Contagem de artefatos/manifest conforme definição do pipeline.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E17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F17" authorId="0">
      <x:text>
        <x:r>
          <x:t>Métrica: clean_at_start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G17" authorId="0">
      <x:text>
        <x:r>
          <x:t>Métrica: cleaned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H17" authorId="0">
      <x:text>
        <x:r>
          <x:t>Métrica: final_clean_rate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I17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J17" authorId="0">
      <x:text>
        <x:r>
          <x:t>Métrica: flagged_gcc
Registrado: Sem registro
Recalculado: 16
Diferença no CSV: não calculável
Comparação: missing_cell
Validade: artifact_count
Motivo: Contagem de artefatos/manifest conforme definição do pipeline.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K17" authorId="0">
      <x:text>
        <x:r>
          <x:t>Métrica: flagged_clang
Registrado: Sem registro
Recalculado: 20
Diferença no CSV: não calculável
Comparação: missing_cell
Validade: artifact_count
Motivo: Contagem de artefatos/manifest conforme definição do pipeline.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L17" authorId="0">
      <x:text>
        <x:r>
          <x:t>Métrica: flagged_cppcheck
Registrado: Sem registro
Recalculado: 220
Diferença no CSV: não calculável
Comparação: missing_cell
Validade: artifact_count
Motivo: Contagem de artefatos/manifest conforme definição do pipeline.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M17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N17" authorId="0">
      <x:text>
        <x:r>
          <x:t>Métrica: flagged_asan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O17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P17" authorId="0">
      <x:text>
        <x:r>
          <x:t>Métrica: flagged_test
Registrado: Sem registro
Recalculado: 38
Diferença no CSV: não calculável
Comparação: missing_cell
Validade: artifact_count
Motivo: Contagem de artefatos/manifest conforme definição do pipeline.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Q17" authorId="0">
      <x:text>
        <x:r>
          <x:t>Métrica: oracle_absent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R17" authorId="0">
      <x:text>
        <x:r>
          <x:t>Métrica: oracle_passed
Registrado: Sem registro
Recalculado: 562
Diferença no CSV: não calculável
Comparação: missing_cell
Validade: legacy_definition_only
Motivo: A regra antiga pode contar testes sem veredito como aprovados. Ver test_states_initial.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S17" authorId="0">
      <x:text>
        <x:r>
          <x:t>Métrica: oracle_failed
Registrado: Sem registro
Recalculado: 38
Diferença no CSV: não calculável
Comparação: missing_cell
Validade: artifact_count
Motivo: Contagem de artefatos/manifest conforme definição do pipeline.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T17" authorId="0">
      <x:text>
        <x:r>
          <x:t>Métrica: oracle_pass_rate
Registrado: Sem registro
Recalculado: 0.9367
Diferença no CSV: não calculável
Comparação: missing_cell
Validade: legacy_definition_only
Motivo: A regra antiga pode contar testes sem veredito como aprovados. Ver test_states_initial.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U17" authorId="0">
      <x:text>
        <x:r>
          <x:t>Métrica: initial_flagged
Registrado: Sem registro
Recalculado: 255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V17" authorId="0">
      <x:text>
        <x:r>
          <x:t>Métrica: initial_defect_rate
Registrado: Sem registro
Recalculado: 0.425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W17" authorId="0">
      <x:text>
        <x:r>
          <x:t>Métrica: initial_defect_rate_static_only
Registrado: Sem registro
Recalculado: 0.3817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X17" authorId="0">
      <x:text>
        <x:r>
          <x:t>Métrica: not_cleaned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Y17" authorId="0">
      <x:text>
        <x:r>
          <x:t>Métrica: heal_failed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Z17" authorId="0">
      <x:text>
        <x:r>
          <x:t>Métrica: max_rounds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AA17" authorId="0">
      <x:text>
        <x:r>
          <x:t>Métrica: mean_rounds_to_clean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AB17" authorId="0">
      <x:text>
        <x:r>
          <x:t>Métrica: median_rounds_to_clean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AC17" authorId="0">
      <x:text>
        <x:r>
          <x:t>Métrica: survival_counts
Registrado: Sem registro
Recalculado: {"0": 255, "1": 255, "2": 79}
Diferença no CSV: não calculável
Comparação: missing_cell
Validade: legacy_definition_only
Motivo: Rodada 0 conta todos os relatórios. As seguintes contam a fila de cura: são bases diferentes.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D18" authorId="0">
      <x:text>
        <x:r>
          <x:t>Métrica: n_generated
Registrado: Sem registro
Recalculado: 600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E18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F18" authorId="0">
      <x:text>
        <x:r>
          <x:t>Métrica: clean_at_start
Registrado: Sem registro
Recalculado: 336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G18" authorId="0">
      <x:text>
        <x:r>
          <x:t>Métrica: cleaned
Registrado: Sem registro
Recalculado: 222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H18" authorId="0">
      <x:text>
        <x:r>
          <x:t>Métrica: final_clean_rate
Registrado: Sem registro
Recalculado: 0.93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I18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J18" authorId="0">
      <x:text>
        <x:r>
          <x:t>Métrica: flagged_gcc
Registrado: Sem registro
Recalculado: 23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K18" authorId="0">
      <x:text>
        <x:r>
          <x:t>Métrica: flagged_clang
Registrado: Sem registro
Recalculado: 31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L18" authorId="0">
      <x:text>
        <x:r>
          <x:t>Métrica: flagged_cppcheck
Registrado: Sem registro
Recalculado: 225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M18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N18" authorId="0">
      <x:text>
        <x:r>
          <x:t>Métrica: flagged_asan
Registrado: Sem registro
Recalculado: 1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O18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P18" authorId="0">
      <x:text>
        <x:r>
          <x:t>Métrica: flagged_test
Registrado: Sem registro
Recalculado: 36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Q18" authorId="0">
      <x:text>
        <x:r>
          <x:t>Métrica: oracle_absent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R18" authorId="0">
      <x:text>
        <x:r>
          <x:t>Métrica: oracle_passed
Registrado: Sem registro
Recalculado: 564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S18" authorId="0">
      <x:text>
        <x:r>
          <x:t>Métrica: oracle_failed
Registrado: Sem registro
Recalculado: 36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T18" authorId="0">
      <x:text>
        <x:r>
          <x:t>Métrica: oracle_pass_rate
Registrado: Sem registro
Recalculado: 0.94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U18" authorId="0">
      <x:text>
        <x:r>
          <x:t>Métrica: initial_flagged
Registrado: Sem registro
Recalculado: 264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V18" authorId="0">
      <x:text>
        <x:r>
          <x:t>Métrica: initial_defect_rate
Registrado: Sem registro
Recalculado: 0.44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W18" authorId="0">
      <x:text>
        <x:r>
          <x:t>Métrica: initial_defect_rate_static_only
Registrado: Sem registro
Recalculado: 0.4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X18" authorId="0">
      <x:text>
        <x:r>
          <x:t>Métrica: not_cleaned
Registrado: Sem registro
Recalculado: 42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Y18" authorId="0">
      <x:text>
        <x:r>
          <x:t>Métrica: heal_failed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Z18" authorId="0">
      <x:text>
        <x:r>
          <x:t>Métrica: max_rounds
Registrado: Sem registro
Recalculado: 10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AA18" authorId="0">
      <x:text>
        <x:r>
          <x:t>Métrica: mean_rounds_to_clean
Registrado: Sem registro
Recalculado: 1.982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AB18" authorId="0">
      <x:text>
        <x:r>
          <x:t>Métrica: median_rounds_to_clean
Registrado: Sem registro
Recalculado: 1.0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AC18" authorId="0">
      <x:text>
        <x:r>
          <x:t>Métrica: survival_counts
Registrado: Sem registro
Recalculado: {"0": 264, "1": 264, "10": 43, "11": 42, "2": 129, "3": 81, "4": 74, "5": 66, "6": 62, "7": 50, "8": 46, "9": 45}
Diferença no CSV: não calculável
Comparação: missing_cell
Validade: legacy_definition_only
Motivo: Rodada 0 conta todos os relatórios. As seguintes contam a fila de cura: são bases diferentes.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D19" authorId="0">
      <x:text>
        <x:r>
          <x:t>Métrica: n_generated
Registrado: Sem registro
Recalculado: 1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E19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F19" authorId="0">
      <x:text>
        <x:r>
          <x:t>Métrica: clean_at_start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G19" authorId="0">
      <x:text>
        <x:r>
          <x:t>Métrica: cleaned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H19" authorId="0">
      <x:text>
        <x:r>
          <x:t>Métrica: final_clean_rate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I19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J19" authorId="0">
      <x:text>
        <x:r>
          <x:t>Métrica: flagged_gcc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K19" authorId="0">
      <x:text>
        <x:r>
          <x:t>Métrica: flagged_clang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L19" authorId="0">
      <x:text>
        <x:r>
          <x:t>Métrica: flagged_cppcheck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M19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N19" authorId="0">
      <x:text>
        <x:r>
          <x:t>Métrica: flagged_asan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O19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P19" authorId="0">
      <x:text>
        <x:r>
          <x:t>Métrica: flagged_test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Q19" authorId="0">
      <x:text>
        <x:r>
          <x:t>Métrica: oracle_absent
Registrado: Sem registro
Recalculado: 1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R19" authorId="0">
      <x:text>
        <x:r>
          <x:t>Métrica: oracle_passed
Registrado: Sem registro
Recalculado: 0
Diferença no CSV: não calculável
Comparação: missing_cell
Validade: legacy_definition_only
Motivo: A regra antiga pode contar testes sem veredito como aprovados. Ver test_states_initial.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S19" authorId="0">
      <x:text>
        <x:r>
          <x:t>Métrica: oracle_failed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T19" authorId="0">
      <x:text>
        <x:r>
          <x:t>Métrica: oracle_pass_rate
Registrado: Sem registro
Recalculado: NV
Diferença no CSV: não calculável
Comparação: not_verifiable
Validade: not_verifiable
Motivo: A regra antiga pode contar testes sem veredito como aprovados. Ver test_states_initial.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U19" authorId="0">
      <x:text>
        <x:r>
          <x:t>Métrica: initial_flagged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V19" authorId="0">
      <x:text>
        <x:r>
          <x:t>Métrica: initial_defect_rate
Registrado: Sem registro
Recalculado: 0.0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W19" authorId="0">
      <x:text>
        <x:r>
          <x:t>Métrica: initial_defect_rate_static_only
Registrado: Sem registro
Recalculado: 0.0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X19" authorId="0">
      <x:text>
        <x:r>
          <x:t>Métrica: not_cleaned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Y19" authorId="0">
      <x:text>
        <x:r>
          <x:t>Métrica: heal_failed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Z19" authorId="0">
      <x:text>
        <x:r>
          <x:t>Métrica: max_rounds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AA19" authorId="0">
      <x:text>
        <x:r>
          <x:t>Métrica: mean_rounds_to_clean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AB19" authorId="0">
      <x:text>
        <x:r>
          <x:t>Métrica: median_rounds_to_clean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AC19" authorId="0">
      <x:text>
        <x:r>
          <x:t>Métrica: survival_counts
Registrado: Sem registro
Recalculado: {"0": 0}
Diferença no CSV: não calculável
Comparação: missing_cell
Validade: legacy_definition_only
Motivo: Rodada 0 conta todos os relatórios. As seguintes contam a fila de cura: são bases diferentes.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D20" authorId="0">
      <x:text>
        <x:r>
          <x:t>Métrica: n_generated
Registrado: Sem registro
Recalculado: 600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E20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F20" authorId="0">
      <x:text>
        <x:r>
          <x:t>Métrica: clean_at_start
Registrado: Sem registro
Recalculado: 564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G20" authorId="0">
      <x:text>
        <x:r>
          <x:t>Métrica: cleaned
Registrado: Sem registro
Recalculado: 16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H20" authorId="0">
      <x:text>
        <x:r>
          <x:t>Métrica: final_clean_rate
Registrado: Sem registro
Recalculado: 0.9667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I20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J20" authorId="0">
      <x:text>
        <x:r>
          <x:t>Métrica: flagged_gcc
Registrado: Sem registro
Recalculado: 4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K20" authorId="0">
      <x:text>
        <x:r>
          <x:t>Métrica: flagged_clang
Registrado: Sem registro
Recalculado: 7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L20" authorId="0">
      <x:text>
        <x:r>
          <x:t>Métrica: flagged_cppcheck
Registrado: Sem registro
Recalculado: 173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M20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N20" authorId="0">
      <x:text>
        <x:r>
          <x:t>Métrica: flagged_asan
Registrado: Sem registro
Recalculado: 2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O20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P20" authorId="0">
      <x:text>
        <x:r>
          <x:t>Métrica: flagged_test
Registrado: Sem registro
Recalculado: 34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Q20" authorId="0">
      <x:text>
        <x:r>
          <x:t>Métrica: oracle_absent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R20" authorId="0">
      <x:text>
        <x:r>
          <x:t>Métrica: oracle_passed
Registrado: Sem registro
Recalculado: 566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S20" authorId="0">
      <x:text>
        <x:r>
          <x:t>Métrica: oracle_failed
Registrado: Sem registro
Recalculado: 34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T20" authorId="0">
      <x:text>
        <x:r>
          <x:t>Métrica: oracle_pass_rate
Registrado: Sem registro
Recalculado: 0.9433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U20" authorId="0">
      <x:text>
        <x:r>
          <x:t>Métrica: initial_flagged
Registrado: Sem registro
Recalculado: 200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V20" authorId="0">
      <x:text>
        <x:r>
          <x:t>Métrica: initial_defect_rate
Registrado: Sem registro
Recalculado: 0.3333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W20" authorId="0">
      <x:text>
        <x:r>
          <x:t>Métrica: initial_defect_rate_static_only
Registrado: Sem registro
Recalculado: 0.2933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X20" authorId="0">
      <x:text>
        <x:r>
          <x:t>Métrica: not_cleaned
Registrado: Sem registro
Recalculado: 20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Y20" authorId="0">
      <x:text>
        <x:r>
          <x:t>Métrica: heal_failed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Z20" authorId="0">
      <x:text>
        <x:r>
          <x:t>Métrica: max_rounds
Registrado: Sem registro
Recalculado: 10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AA20" authorId="0">
      <x:text>
        <x:r>
          <x:t>Métrica: mean_rounds_to_clean
Registrado: Sem registro
Recalculado: 3.625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AB20" authorId="0">
      <x:text>
        <x:r>
          <x:t>Métrica: median_rounds_to_clean
Registrado: Sem registro
Recalculado: 1.5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AC20" authorId="0">
      <x:text>
        <x:r>
          <x:t>Métrica: survival_counts
Registrado: Sem registro
Recalculado: {"0": 200, "1": 36, "10": 21, "11": 20, "2": 28, "3": 26, "4": 26, "5": 26, "6": 24, "7": 24, "8": 24, "9": 23}
Diferença no CSV: não calculável
Comparação: missing_cell
Validade: legacy_definition_only
Motivo: Rodada 0 conta todos os relatórios. As seguintes contam a fila de cura: são bases diferentes.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D21" authorId="0">
      <x:text>
        <x:r>
          <x:t>Métrica: n_generated
Registrado: Sem registro
Recalculado: 2922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E21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F21" authorId="0">
      <x:text>
        <x:r>
          <x:t>Métrica: clean_at_start
Registrado: Sem registro
Recalculado: 2284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G21" authorId="0">
      <x:text>
        <x:r>
          <x:t>Métrica: cleaned
Registrado: Sem registro
Recalculado: 629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H21" authorId="0">
      <x:text>
        <x:r>
          <x:t>Métrica: final_clean_rate
Registrado: Sem registro
Recalculado: 0.9969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I21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J21" authorId="0">
      <x:text>
        <x:r>
          <x:t>Métrica: flagged_gcc
Registrado: Sem registro
Recalculado: 30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K21" authorId="0">
      <x:text>
        <x:r>
          <x:t>Métrica: flagged_clang
Registrado: Sem registro
Recalculado: 45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L21" authorId="0">
      <x:text>
        <x:r>
          <x:t>Métrica: flagged_cppcheck
Registrado: Sem registro
Recalculado: 615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M21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N21" authorId="0">
      <x:text>
        <x:r>
          <x:t>Métrica: flagged_asan
Registrado: Sem registro
Recalculado: 0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O21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P21" authorId="0">
      <x:text>
        <x:r>
          <x:t>Métrica: flagged_test
Registrado: Sem registro
Recalculado: 0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Q21" authorId="0">
      <x:text>
        <x:r>
          <x:t>Métrica: oracle_absent
Registrado: Sem registro
Recalculado: 2922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R21" authorId="0">
      <x:text>
        <x:r>
          <x:t>Métrica: oracle_passed
Registrado: Sem registro
Recalculado: 0
Diferença no CSV: não calculável
Comparação: missing_cell
Validade: legacy_definition_only
Motivo: A regra antiga pode contar testes sem veredito como aprovados. Ver test_states_initial.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S21" authorId="0">
      <x:text>
        <x:r>
          <x:t>Métrica: oracle_failed
Registrado: Sem registro
Recalculado: 0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T21" authorId="0">
      <x:text>
        <x:r>
          <x:t>Métrica: oracle_pass_rate
Registrado: Sem registro
Recalculado: NV
Diferença no CSV: não calculável
Comparação: not_verifiable
Validade: not_verifiable
Motivo: A regra antiga pode contar testes sem veredito como aprovados. Ver test_states_initial.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U21" authorId="0">
      <x:text>
        <x:r>
          <x:t>Métrica: initial_flagged
Registrado: Sem registro
Recalculado: 638
Diferença no CSV: não calculável
Comparação: missing_cell
Validade: legacy_definition_only
Motivo: O parser atual pode ignorar alertas do Flawfinder. A contagem não confirma defeitos reais.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V21" authorId="0">
      <x:text>
        <x:r>
          <x:t>Métrica: initial_defect_rate
Registrado: Sem registro
Recalculado: 0.2183
Diferença no CSV: não calculável
Comparação: missing_cell
Validade: legacy_definition_only
Motivo: O parser atual pode ignorar alertas do Flawfinder. A contagem não confirma defeitos reais.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W21" authorId="0">
      <x:text>
        <x:r>
          <x:t>Métrica: initial_defect_rate_static_only
Registrado: Sem registro
Recalculado: 0.2183
Diferença no CSV: não calculável
Comparação: missing_cell
Validade: legacy_definition_only
Motivo: O parser atual pode ignorar alertas do Flawfinder. A contagem não confirma defeitos reais.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X21" authorId="0">
      <x:text>
        <x:r>
          <x:t>Métrica: not_cleaned
Registrado: Sem registro
Recalculado: 9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Y21" authorId="0">
      <x:text>
        <x:r>
          <x:t>Métrica: heal_failed
Registrado: Sem registro
Recalculado: 0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Z21" authorId="0">
      <x:text>
        <x:r>
          <x:t>Métrica: max_rounds
Registrado: Sem registro
Recalculado: 10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AA21" authorId="0">
      <x:text>
        <x:r>
          <x:t>Métrica: mean_rounds_to_clean
Registrado: Sem registro
Recalculado: 1.151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AB21" authorId="0">
      <x:text>
        <x:r>
          <x:t>Métrica: median_rounds_to_clean
Registrado: Sem registro
Recalculado: 1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AC21" authorId="0">
      <x:text>
        <x:r>
          <x:t>Métrica: survival_counts
Registrado: Sem registro
Recalculado: {"0": 638, "1": 638, "10": 10, "11": 9, "2": 66, "3": 22, "4": 14, "5": 14, "6": 14, "7": 13, "8": 12, "9": 11}
Diferença no CSV: não calculável
Comparação: missing_cell
Validade: legacy_definition_only
Motivo: Rodada 0 conta todos os relatórios. As seguintes contam a fila de cura: são bases diferentes.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D22" authorId="0">
      <x:text>
        <x:r>
          <x:t>Métrica: n_generated
Registrado: Sem registro
Recalculado: 600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E22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F22" authorId="0">
      <x:text>
        <x:r>
          <x:t>Métrica: clean_at_start
Registrado: Sem registro
Recalculado: 400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G22" authorId="0">
      <x:text>
        <x:r>
          <x:t>Métrica: cleaned
Registrado: Sem registro
Recalculado: 173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H22" authorId="0">
      <x:text>
        <x:r>
          <x:t>Métrica: final_clean_rate
Registrado: Sem registro
Recalculado: 0.955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I22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J22" authorId="0">
      <x:text>
        <x:r>
          <x:t>Métrica: flagged_gcc
Registrado: Sem registro
Recalculado: 4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K22" authorId="0">
      <x:text>
        <x:r>
          <x:t>Métrica: flagged_clang
Registrado: Sem registro
Recalculado: 7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L22" authorId="0">
      <x:text>
        <x:r>
          <x:t>Métrica: flagged_cppcheck
Registrado: Sem registro
Recalculado: 173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M22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N22" authorId="0">
      <x:text>
        <x:r>
          <x:t>Métrica: flagged_asan
Registrado: Sem registro
Recalculado: 1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O22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P22" authorId="0">
      <x:text>
        <x:r>
          <x:t>Métrica: flagged_test
Registrado: Sem registro
Recalculado: 35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Q22" authorId="0">
      <x:text>
        <x:r>
          <x:t>Métrica: oracle_absent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R22" authorId="0">
      <x:text>
        <x:r>
          <x:t>Métrica: oracle_passed
Registrado: Sem registro
Recalculado: 565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S22" authorId="0">
      <x:text>
        <x:r>
          <x:t>Métrica: oracle_failed
Registrado: Sem registro
Recalculado: 35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T22" authorId="0">
      <x:text>
        <x:r>
          <x:t>Métrica: oracle_pass_rate
Registrado: Sem registro
Recalculado: 0.9417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U22" authorId="0">
      <x:text>
        <x:r>
          <x:t>Métrica: initial_flagged
Registrado: Sem registro
Recalculado: 200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V22" authorId="0">
      <x:text>
        <x:r>
          <x:t>Métrica: initial_defect_rate
Registrado: Sem registro
Recalculado: 0.3333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W22" authorId="0">
      <x:text>
        <x:r>
          <x:t>Métrica: initial_defect_rate_static_only
Registrado: Sem registro
Recalculado: 0.2933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X22" authorId="0">
      <x:text>
        <x:r>
          <x:t>Métrica: not_cleaned
Registrado: Sem registro
Recalculado: 27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Y22" authorId="0">
      <x:text>
        <x:r>
          <x:t>Métrica: heal_failed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Z22" authorId="0">
      <x:text>
        <x:r>
          <x:t>Métrica: max_rounds
Registrado: Sem registro
Recalculado: 10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AA22" authorId="0">
      <x:text>
        <x:r>
          <x:t>Métrica: mean_rounds_to_clean
Registrado: Sem registro
Recalculado: 1.329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AB22" authorId="0">
      <x:text>
        <x:r>
          <x:t>Métrica: median_rounds_to_clean
Registrado: Sem registro
Recalculado: 1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AC22" authorId="0">
      <x:text>
        <x:r>
          <x:t>Métrica: survival_counts
Registrado: Sem registro
Recalculado: {"0": 200, "1": 200, "10": 27, "11": 27, "2": 53, "3": 35, "4": 34, "5": 33, "6": 32, "7": 29, "8": 29, "9": 28}
Diferença no CSV: não calculável
Comparação: missing_cell
Validade: legacy_definition_only
Motivo: Rodada 0 conta todos os relatórios. As seguintes contam a fila de cura: são bases diferentes.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D23" authorId="0">
      <x:text>
        <x:r>
          <x:t>Métrica: n_generated
Registrado: Sem registro
Recalculado: 171
Diferença no CSV: não calculável
Comparação: missing_cell
Validade: artifact_count
Motivo: Contagem de artefatos/manifest conforme definição do pipeline.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E23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F23" authorId="0">
      <x:text>
        <x:r>
          <x:t>Métrica: clean_at_start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G23" authorId="0">
      <x:text>
        <x:r>
          <x:t>Métrica: cleaned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H23" authorId="0">
      <x:text>
        <x:r>
          <x:t>Métrica: final_clean_rate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I23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J23" authorId="0">
      <x:text>
        <x:r>
          <x:t>Métrica: flagged_gcc
Registrado: Sem registro
Recalculado: 2
Diferença no CSV: não calculável
Comparação: missing_cell
Validade: artifact_count
Motivo: Contagem de artefatos/manifest conforme definição do pipeline.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K23" authorId="0">
      <x:text>
        <x:r>
          <x:t>Métrica: flagged_clang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L23" authorId="0">
      <x:text>
        <x:r>
          <x:t>Métrica: flagged_cppcheck
Registrado: Sem registro
Recalculado: 58
Diferença no CSV: não calculável
Comparação: missing_cell
Validade: artifact_count
Motivo: Contagem de artefatos/manifest conforme definição do pipeline.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M23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N23" authorId="0">
      <x:text>
        <x:r>
          <x:t>Métrica: flagged_asan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O23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P23" authorId="0">
      <x:text>
        <x:r>
          <x:t>Métrica: flagged_test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Q23" authorId="0">
      <x:text>
        <x:r>
          <x:t>Métrica: oracle_absent
Registrado: Sem registro
Recalculado: 171
Diferença no CSV: não calculável
Comparação: missing_cell
Validade: artifact_count
Motivo: Contagem de artefatos/manifest conforme definição do pipeline.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R23" authorId="0">
      <x:text>
        <x:r>
          <x:t>Métrica: oracle_passed
Registrado: Sem registro
Recalculado: 0
Diferença no CSV: não calculável
Comparação: missing_cell
Validade: legacy_definition_only
Motivo: A regra antiga pode contar testes sem veredito como aprovados. Ver test_states_initial.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S23" authorId="0">
      <x:text>
        <x:r>
          <x:t>Métrica: oracle_failed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T23" authorId="0">
      <x:text>
        <x:r>
          <x:t>Métrica: oracle_pass_rate
Registrado: Sem registro
Recalculado: NV
Diferença no CSV: não calculável
Comparação: not_verifiable
Validade: not_verifiable
Motivo: A regra antiga pode contar testes sem veredito como aprovados. Ver test_states_initial.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U23" authorId="0">
      <x:text>
        <x:r>
          <x:t>Métrica: initial_flagged
Registrado: Sem registro
Recalculado: 60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V23" authorId="0">
      <x:text>
        <x:r>
          <x:t>Métrica: initial_defect_rate
Registrado: Sem registro
Recalculado: 0.3509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W23" authorId="0">
      <x:text>
        <x:r>
          <x:t>Métrica: initial_defect_rate_static_only
Registrado: Sem registro
Recalculado: 0.3509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X23" authorId="0">
      <x:text>
        <x:r>
          <x:t>Métrica: not_cleaned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Y23" authorId="0">
      <x:text>
        <x:r>
          <x:t>Métrica: heal_failed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Z23" authorId="0">
      <x:text>
        <x:r>
          <x:t>Métrica: max_rounds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AA23" authorId="0">
      <x:text>
        <x:r>
          <x:t>Métrica: mean_rounds_to_clean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AB23" authorId="0">
      <x:text>
        <x:r>
          <x:t>Métrica: median_rounds_to_clean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AC23" authorId="0">
      <x:text>
        <x:r>
          <x:t>Métrica: survival_counts
Registrado: Sem registro
Recalculado: {"0": 60, "1": 60}
Diferença no CSV: não calculável
Comparação: missing_cell
Validade: legacy_definition_only
Motivo: Rodada 0 conta todos os relatórios. As seguintes contam a fila de cura: são bases diferentes.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D24" authorId="0">
      <x:text>
        <x:r>
          <x:t>Métrica: n_generated
Registrado: Sem registro
Recalculado: 19
Diferença no CSV: não calculável
Comparação: missing_cell
Validade: artifact_count
Motivo: Contagem de artefatos/manifest conforme definição do pipeline.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E24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F24" authorId="0">
      <x:text>
        <x:r>
          <x:t>Métrica: clean_at_start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G24" authorId="0">
      <x:text>
        <x:r>
          <x:t>Métrica: cleaned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H24" authorId="0">
      <x:text>
        <x:r>
          <x:t>Métrica: final_clean_rate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I24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J24" authorId="0">
      <x:text>
        <x:r>
          <x:t>Métrica: flagged_gcc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K24" authorId="0">
      <x:text>
        <x:r>
          <x:t>Métrica: flagged_clang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L24" authorId="0">
      <x:text>
        <x:r>
          <x:t>Métrica: flagged_cppcheck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M24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N24" authorId="0">
      <x:text>
        <x:r>
          <x:t>Métrica: flagged_asan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O24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P24" authorId="0">
      <x:text>
        <x:r>
          <x:t>Métrica: flagged_test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Q24" authorId="0">
      <x:text>
        <x:r>
          <x:t>Métrica: oracle_absent
Registrado: Sem registro
Recalculado: 19
Diferença no CSV: não calculável
Comparação: missing_cell
Validade: artifact_count
Motivo: Contagem de artefatos/manifest conforme definição do pipeline.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R24" authorId="0">
      <x:text>
        <x:r>
          <x:t>Métrica: oracle_passed
Registrado: Sem registro
Recalculado: 0
Diferença no CSV: não calculável
Comparação: missing_cell
Validade: legacy_definition_only
Motivo: A regra antiga pode contar testes sem veredito como aprovados. Ver test_states_initial.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S24" authorId="0">
      <x:text>
        <x:r>
          <x:t>Métrica: oracle_failed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T24" authorId="0">
      <x:text>
        <x:r>
          <x:t>Métrica: oracle_pass_rate
Registrado: Sem registro
Recalculado: NV
Diferença no CSV: não calculável
Comparação: not_verifiable
Validade: not_verifiable
Motivo: A regra antiga pode contar testes sem veredito como aprovados. Ver test_states_initial.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U24" authorId="0">
      <x:text>
        <x:r>
          <x:t>Métrica: initial_flagged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V24" authorId="0">
      <x:text>
        <x:r>
          <x:t>Métrica: initial_defect_rate
Registrado: Sem registro
Recalculado: 0.0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W24" authorId="0">
      <x:text>
        <x:r>
          <x:t>Métrica: initial_defect_rate_static_only
Registrado: Sem registro
Recalculado: 0.0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X24" authorId="0">
      <x:text>
        <x:r>
          <x:t>Métrica: not_cleaned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Y24" authorId="0">
      <x:text>
        <x:r>
          <x:t>Métrica: heal_failed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Z24" authorId="0">
      <x:text>
        <x:r>
          <x:t>Métrica: max_rounds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AA24" authorId="0">
      <x:text>
        <x:r>
          <x:t>Métrica: mean_rounds_to_clean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AB24" authorId="0">
      <x:text>
        <x:r>
          <x:t>Métrica: median_rounds_to_clean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AC24" authorId="0">
      <x:text>
        <x:r>
          <x:t>Métrica: survival_counts
Registrado: Sem registro
Recalculado: {"0": 0}
Diferença no CSV: não calculável
Comparação: missing_cell
Validade: legacy_definition_only
Motivo: Rodada 0 conta todos os relatórios. As seguintes contam a fila de cura: são bases diferentes.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D25" authorId="0">
      <x:text>
        <x:r>
          <x:t>Métrica: n_generated
Registrado: Sem registro
Recalculado: 1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E25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F25" authorId="0">
      <x:text>
        <x:r>
          <x:t>Métrica: clean_at_start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G25" authorId="0">
      <x:text>
        <x:r>
          <x:t>Métrica: cleaned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H25" authorId="0">
      <x:text>
        <x:r>
          <x:t>Métrica: final_clean_rate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I25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J25" authorId="0">
      <x:text>
        <x:r>
          <x:t>Métrica: flagged_gcc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K25" authorId="0">
      <x:text>
        <x:r>
          <x:t>Métrica: flagged_clang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L25" authorId="0">
      <x:text>
        <x:r>
          <x:t>Métrica: flagged_cppcheck
Registrado: Sem registro
Recalculado: 1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M25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N25" authorId="0">
      <x:text>
        <x:r>
          <x:t>Métrica: flagged_asan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O25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P25" authorId="0">
      <x:text>
        <x:r>
          <x:t>Métrica: flagged_test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Q25" authorId="0">
      <x:text>
        <x:r>
          <x:t>Métrica: oracle_absent
Registrado: Sem registro
Recalculado: 1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R25" authorId="0">
      <x:text>
        <x:r>
          <x:t>Métrica: oracle_passed
Registrado: Sem registro
Recalculado: 0
Diferença no CSV: não calculável
Comparação: missing_cell
Validade: legacy_definition_only
Motivo: A regra antiga pode contar testes sem veredito como aprovados. Ver test_states_initial.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S25" authorId="0">
      <x:text>
        <x:r>
          <x:t>Métrica: oracle_failed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T25" authorId="0">
      <x:text>
        <x:r>
          <x:t>Métrica: oracle_pass_rate
Registrado: Sem registro
Recalculado: NV
Diferença no CSV: não calculável
Comparação: not_verifiable
Validade: not_verifiable
Motivo: A regra antiga pode contar testes sem veredito como aprovados. Ver test_states_initial.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U25" authorId="0">
      <x:text>
        <x:r>
          <x:t>Métrica: initial_flagged
Registrado: Sem registro
Recalculado: 1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V25" authorId="0">
      <x:text>
        <x:r>
          <x:t>Métrica: initial_defect_rate
Registrado: Sem registro
Recalculado: 1.0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W25" authorId="0">
      <x:text>
        <x:r>
          <x:t>Métrica: initial_defect_rate_static_only
Registrado: Sem registro
Recalculado: 1.0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X25" authorId="0">
      <x:text>
        <x:r>
          <x:t>Métrica: not_cleaned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Y25" authorId="0">
      <x:text>
        <x:r>
          <x:t>Métrica: heal_failed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Z25" authorId="0">
      <x:text>
        <x:r>
          <x:t>Métrica: max_rounds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AA25" authorId="0">
      <x:text>
        <x:r>
          <x:t>Métrica: mean_rounds_to_clean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AB25" authorId="0">
      <x:text>
        <x:r>
          <x:t>Métrica: median_rounds_to_clean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AC25" authorId="0">
      <x:text>
        <x:r>
          <x:t>Métrica: survival_counts
Registrado: Sem registro
Recalculado: {"0": 1, "1": 1}
Diferença no CSV: não calculável
Comparação: missing_cell
Validade: legacy_definition_only
Motivo: Rodada 0 conta todos os relatórios. As seguintes contam a fila de cura: são bases diferentes.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D26" authorId="0">
      <x:text>
        <x:r>
          <x:t>Métrica: n_generated
Registrado: Sem registro
Recalculado: 600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E26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F26" authorId="0">
      <x:text>
        <x:r>
          <x:t>Métrica: clean_at_start
Registrado: Sem registro
Recalculado: 532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G26" authorId="0">
      <x:text>
        <x:r>
          <x:t>Métrica: cleaned
Registrado: Sem registro
Recalculado: 50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H26" authorId="0">
      <x:text>
        <x:r>
          <x:t>Métrica: final_clean_rate
Registrado: Sem registro
Recalculado: 0.97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I26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J26" authorId="0">
      <x:text>
        <x:r>
          <x:t>Métrica: flagged_gcc
Registrado: Sem registro
Recalculado: 70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K26" authorId="0">
      <x:text>
        <x:r>
          <x:t>Métrica: flagged_clang
Registrado: Sem registro
Recalculado: 60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L26" authorId="0">
      <x:text>
        <x:r>
          <x:t>Métrica: flagged_cppcheck
Registrado: Sem registro
Recalculado: 205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M26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N26" authorId="0">
      <x:text>
        <x:r>
          <x:t>Métrica: flagged_asan
Registrado: Sem registro
Recalculado: 34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O26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P26" authorId="0">
      <x:text>
        <x:r>
          <x:t>Métrica: flagged_test
Registrado: Sem registro
Recalculado: 34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Q26" authorId="0">
      <x:text>
        <x:r>
          <x:t>Métrica: oracle_absent
Registrado: Sem registro
Recalculado: 3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R26" authorId="0">
      <x:text>
        <x:r>
          <x:t>Métrica: oracle_passed
Registrado: Sem registro
Recalculado: 563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S26" authorId="0">
      <x:text>
        <x:r>
          <x:t>Métrica: oracle_failed
Registrado: Sem registro
Recalculado: 34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T26" authorId="0">
      <x:text>
        <x:r>
          <x:t>Métrica: oracle_pass_rate
Registrado: Sem registro
Recalculado: 0.943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U26" authorId="0">
      <x:text>
        <x:r>
          <x:t>Métrica: initial_flagged
Registrado: Sem registro
Recalculado: 285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V26" authorId="0">
      <x:text>
        <x:r>
          <x:t>Métrica: initial_defect_rate
Registrado: Sem registro
Recalculado: 0.475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W26" authorId="0">
      <x:text>
        <x:r>
          <x:t>Métrica: initial_defect_rate_static_only
Registrado: Sem registro
Recalculado: 0.4133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X26" authorId="0">
      <x:text>
        <x:r>
          <x:t>Métrica: not_cleaned
Registrado: Sem registro
Recalculado: 18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Y26" authorId="0">
      <x:text>
        <x:r>
          <x:t>Métrica: heal_failed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Z26" authorId="0">
      <x:text>
        <x:r>
          <x:t>Métrica: max_rounds
Registrado: Sem registro
Recalculado: 10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AA26" authorId="0">
      <x:text>
        <x:r>
          <x:t>Métrica: mean_rounds_to_clean
Registrado: Sem registro
Recalculado: 2.26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AB26" authorId="0">
      <x:text>
        <x:r>
          <x:t>Métrica: median_rounds_to_clean
Registrado: Sem registro
Recalculado: 1.0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AC26" authorId="0">
      <x:text>
        <x:r>
          <x:t>Métrica: survival_counts
Registrado: Sem registro
Recalculado: {"0": 285, "1": 68, "10": 18, "11": 18, "2": 36, "3": 31, "4": 28, "5": 25, "6": 24, "7": 22, "8": 21, "9": 20}
Diferença no CSV: não calculável
Comparação: missing_cell
Validade: legacy_definition_only
Motivo: Rodada 0 conta todos os relatórios. As seguintes contam a fila de cura: são bases diferentes.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D27" authorId="0">
      <x:text>
        <x:r>
          <x:t>Métrica: n_generated
Registrado: 200
Recalculado: 200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E27" authorId="0">
      <x:text>
        <x:r>
          <x:t>Métrica: compile_rate
Registrado: 0.915
Recalculado: NV
Diferença no CSV: não calculável
Comparação: not_verifiable
Validade: not_verifiable
Motivo: Faltam arquivos .o. Não dá para conferir a compilação nesta cópia.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F27" authorId="0">
      <x:text>
        <x:r>
          <x:t>Métrica: clean_at_start
Registrado: 126
Recalculado: 126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G27" authorId="0">
      <x:text>
        <x:r>
          <x:t>Métrica: cleaned
Registrado: 72
Recalculado: 72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H27" authorId="0">
      <x:text>
        <x:r>
          <x:t>Métrica: final_clean_rate
Registrado: 0.99
Recalculado: 0.99
Diferença no CSV: 0.0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I27" authorId="0">
      <x:text>
        <x:r>
          <x:t>Métrica: n_compilable
Registrado: 183
Recalculado: NV
Diferença no CSV: não calculável
Comparação: not_verifiable
Validade: not_verifiable
Motivo: Faltam arquivos .o. Não dá para conferir a compilação nesta cópia.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J27" authorId="0">
      <x:text>
        <x:r>
          <x:t>Métrica: flagged_gcc
Registrado: 17
Recalculado: 17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K27" authorId="0">
      <x:text>
        <x:r>
          <x:t>Métrica: flagged_clang
Registrado: 17
Recalculado: 17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L27" authorId="0">
      <x:text>
        <x:r>
          <x:t>Métrica: flagged_cppcheck
Registrado: 64
Recalculado: 64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M27" authorId="0">
      <x:text>
        <x:r>
          <x:t>Métrica: flagged_flawfinder
Registrado: 0
Recalculado: 0
Diferença no CSV: 0
Comparação: match
Validade: legacy_definition_only
Motivo: O parser atual pode ignorar alertas do Flawfinder. A contagem não confirma defeitos reais.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N27" authorId="0">
      <x:text>
        <x:r>
          <x:t>Métrica: flagged_asan
Registrado: 0
Recalculado: 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O27" authorId="0">
      <x:text>
        <x:r>
          <x:t>Métrica: flagged_fuzz
Registrado: 0
Recalculado: 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P27" authorId="0">
      <x:text>
        <x:r>
          <x:t>Métrica: flagged_test
Registrado: 0
Recalculado: 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Q27" authorId="0">
      <x:text>
        <x:r>
          <x:t>Métrica: oracle_absent
Registrado: 200
Recalculado: 200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R27" authorId="0">
      <x:text>
        <x:r>
          <x:t>Métrica: oracle_passed
Registrado: 0
Recalculado: 0
Diferença no CSV: 0
Comparação: match
Validade: legacy_definition_only
Motivo: A regra antiga pode contar testes sem veredito como aprovados. Ver test_states_initial.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S27" authorId="0">
      <x:text>
        <x:r>
          <x:t>Métrica: oracle_failed
Registrado: 0
Recalculado: 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T27" authorId="0">
      <x:text>
        <x:r>
          <x:t>Métrica: oracle_pass_rate
Registrado: Sem registro
Recalculado: NV
Diferença no CSV: não calculável
Comparação: not_verifiable
Validade: not_verifiable
Motivo: A regra antiga pode contar testes sem veredito como aprovados. Ver test_states_initial.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U27" authorId="0">
      <x:text>
        <x:r>
          <x:t>Métrica: initial_flagged
Registrado: 74
Recalculado: 74
Diferença no CSV: 0
Comparação: match
Validade: legacy_definition_only
Motivo: O parser atual pode ignorar alertas do Flawfinder. A contagem não confirma defeitos reais.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V27" authorId="0">
      <x:text>
        <x:r>
          <x:t>Métrica: initial_defect_rate
Registrado: 0.37
Recalculado: 0.37
Diferença no CSV: 0.0
Comparação: match
Validade: legacy_definition_only
Motivo: O parser atual pode ignorar alertas do Flawfinder. A contagem não confirma defeitos reais.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W27" authorId="0">
      <x:text>
        <x:r>
          <x:t>Métrica: initial_defect_rate_static_only
Registrado: 0.37
Recalculado: 0.37
Diferença no CSV: 0.0
Comparação: match
Validade: legacy_definition_only
Motivo: O parser atual pode ignorar alertas do Flawfinder. A contagem não confirma defeitos reais.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X27" authorId="0">
      <x:text>
        <x:r>
          <x:t>Métrica: not_cleaned
Registrado: 2
Recalculado: 2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Y27" authorId="0">
      <x:text>
        <x:r>
          <x:t>Métrica: heal_failed
Registrado: 0
Recalculado: 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Z27" authorId="0">
      <x:text>
        <x:r>
          <x:t>Métrica: max_rounds
Registrado: 10
Recalculado: 10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AA27" authorId="0">
      <x:text>
        <x:r>
          <x:t>Métrica: mean_rounds_to_clean
Registrado: 1.194
Recalculado: 1.194
Diferença no CSV: 0.0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AB27" authorId="0">
      <x:text>
        <x:r>
          <x:t>Métrica: median_rounds_to_clean
Registrado: 1.0
Recalculado: 1.0
Diferença no CSV: 0.0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AC27" authorId="0">
      <x:text>
        <x:r>
          <x:t>Métrica: survival_counts
Registrado: {"0": 74, "1": 74, "10": 2, "11": 2, "2": 13, "3": 4, "4": 3, "5": 2, "6": 2, "7": 2, "8": 2, "9": 2}
Recalculado: {"0": 74, "1": 74, "10": 2, "11": 2, "2": 13, "3": 4, "4": 3, "5": 2, "6": 2, "7": 2, "8": 2, "9": 2}
Diferença no CSV: não calculável
Comparação: match
Validade: legacy_definition_only
Motivo: Rodada 0 conta todos os relatórios. As seguintes contam a fila de cura: são bases diferentes.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D28" authorId="0">
      <x:text>
        <x:r>
          <x:t>Métrica: n_generated
Registrado: 200
Recalculado: 200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E28" authorId="0">
      <x:text>
        <x:r>
          <x:t>Métrica: compile_rate
Registrado: 0.935
Recalculado: NV
Diferença no CSV: não calculável
Comparação: not_verifiable
Validade: not_verifiable
Motivo: Faltam arquivos .o. Não dá para conferir a compilação nesta cópia.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F28" authorId="0">
      <x:text>
        <x:r>
          <x:t>Métrica: clean_at_start
Registrado: 142
Recalculado: 142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G28" authorId="0">
      <x:text>
        <x:r>
          <x:t>Métrica: cleaned
Registrado: 55
Recalculado: 55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H28" authorId="0">
      <x:text>
        <x:r>
          <x:t>Métrica: final_clean_rate
Registrado: 0.985
Recalculado: 0.985
Diferença no CSV: 0.0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I28" authorId="0">
      <x:text>
        <x:r>
          <x:t>Métrica: n_compilable
Registrado: 187
Recalculado: NV
Diferença no CSV: não calculável
Comparação: not_verifiable
Validade: not_verifiable
Motivo: Faltam arquivos .o. Não dá para conferir a compilação nesta cópia.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J28" authorId="0">
      <x:text>
        <x:r>
          <x:t>Métrica: flagged_gcc
Registrado: 13
Recalculado: 13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K28" authorId="0">
      <x:text>
        <x:r>
          <x:t>Métrica: flagged_clang
Registrado: 14
Recalculado: 14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L28" authorId="0">
      <x:text>
        <x:r>
          <x:t>Métrica: flagged_cppcheck
Registrado: 49
Recalculado: 49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M28" authorId="0">
      <x:text>
        <x:r>
          <x:t>Métrica: flagged_flawfinder
Registrado: 0
Recalculado: 0
Diferença no CSV: 0
Comparação: match
Validade: legacy_definition_only
Motivo: O parser atual pode ignorar alertas do Flawfinder. A contagem não confirma defeitos reais.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N28" authorId="0">
      <x:text>
        <x:r>
          <x:t>Métrica: flagged_asan
Registrado: 0
Recalculado: 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O28" authorId="0">
      <x:text>
        <x:r>
          <x:t>Métrica: flagged_fuzz
Registrado: 0
Recalculado: 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P28" authorId="0">
      <x:text>
        <x:r>
          <x:t>Métrica: flagged_test
Registrado: 0
Recalculado: 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Q28" authorId="0">
      <x:text>
        <x:r>
          <x:t>Métrica: oracle_absent
Registrado: 200
Recalculado: 200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R28" authorId="0">
      <x:text>
        <x:r>
          <x:t>Métrica: oracle_passed
Registrado: 0
Recalculado: 0
Diferença no CSV: 0
Comparação: match
Validade: legacy_definition_only
Motivo: A regra antiga pode contar testes sem veredito como aprovados. Ver test_states_initial.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S28" authorId="0">
      <x:text>
        <x:r>
          <x:t>Métrica: oracle_failed
Registrado: 0
Recalculado: 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T28" authorId="0">
      <x:text>
        <x:r>
          <x:t>Métrica: oracle_pass_rate
Registrado: Sem registro
Recalculado: NV
Diferença no CSV: não calculável
Comparação: not_verifiable
Validade: not_verifiable
Motivo: A regra antiga pode contar testes sem veredito como aprovados. Ver test_states_initial.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U28" authorId="0">
      <x:text>
        <x:r>
          <x:t>Métrica: initial_flagged
Registrado: 58
Recalculado: 58
Diferença no CSV: 0
Comparação: match
Validade: legacy_definition_only
Motivo: O parser atual pode ignorar alertas do Flawfinder. A contagem não confirma defeitos reais.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V28" authorId="0">
      <x:text>
        <x:r>
          <x:t>Métrica: initial_defect_rate
Registrado: 0.29
Recalculado: 0.29
Diferença no CSV: 0.0
Comparação: match
Validade: legacy_definition_only
Motivo: O parser atual pode ignorar alertas do Flawfinder. A contagem não confirma defeitos reais.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W28" authorId="0">
      <x:text>
        <x:r>
          <x:t>Métrica: initial_defect_rate_static_only
Registrado: 0.29
Recalculado: 0.29
Diferença no CSV: 0.0
Comparação: match
Validade: legacy_definition_only
Motivo: O parser atual pode ignorar alertas do Flawfinder. A contagem não confirma defeitos reais.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X28" authorId="0">
      <x:text>
        <x:r>
          <x:t>Métrica: not_cleaned
Registrado: 3
Recalculado: 3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Y28" authorId="0">
      <x:text>
        <x:r>
          <x:t>Métrica: heal_failed
Registrado: 0
Recalculado: 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Z28" authorId="0">
      <x:text>
        <x:r>
          <x:t>Métrica: max_rounds
Registrado: 10
Recalculado: 10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AA28" authorId="0">
      <x:text>
        <x:r>
          <x:t>Métrica: mean_rounds_to_clean
Registrado: 1.4
Recalculado: 1.4
Diferença no CSV: 0.0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AB28" authorId="0">
      <x:text>
        <x:r>
          <x:t>Métrica: median_rounds_to_clean
Registrado: 1.0
Recalculado: 1
Diferença no CSV: 0.0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AC28" authorId="0">
      <x:text>
        <x:r>
          <x:t>Métrica: survival_counts
Registrado: {"0": 58, "1": 58, "10": 3, "11": 3, "2": 15, "3": 8, "4": 4, "5": 4, "6": 4, "7": 4, "8": 4, "9": 3}
Recalculado: {"0": 58, "1": 58, "10": 3, "11": 3, "2": 15, "3": 8, "4": 4, "5": 4, "6": 4, "7": 4, "8": 4, "9": 3}
Diferença no CSV: não calculável
Comparação: match
Validade: legacy_definition_only
Motivo: Rodada 0 conta todos os relatórios. As seguintes contam a fila de cura: são bases diferentes.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D29" authorId="0">
      <x:text>
        <x:r>
          <x:t>Métrica: n_generated
Registrado: 2922
Recalculado: 2922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E29" authorId="0">
      <x:text>
        <x:r>
          <x:t>Métrica: compile_rate
Registrado: 0.9387
Recalculado: NV
Diferença no CSV: não calculável
Comparação: not_verifiable
Validade: not_verifiable
Motivo: Faltam arquivos .o. Não dá para conferir a compilação nesta cópia.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F29" authorId="0">
      <x:text>
        <x:r>
          <x:t>Métrica: clean_at_start
Registrado: 1804
Recalculado: 1804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G29" authorId="0">
      <x:text>
        <x:r>
          <x:t>Métrica: cleaned
Registrado: 1082
Recalculado: 1082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H29" authorId="0">
      <x:text>
        <x:r>
          <x:t>Métrica: final_clean_rate
Registrado: 0.9877
Recalculado: 0.9877
Diferença no CSV: 0.0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I29" authorId="0">
      <x:text>
        <x:r>
          <x:t>Métrica: n_compilable
Registrado: 2743
Recalculado: NV
Diferença no CSV: não calculável
Comparação: not_verifiable
Validade: not_verifiable
Motivo: Faltam arquivos .o. Não dá para conferir a compilação nesta cópia.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J29" authorId="0">
      <x:text>
        <x:r>
          <x:t>Métrica: flagged_gcc
Registrado: 179
Recalculado: 179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K29" authorId="0">
      <x:text>
        <x:r>
          <x:t>Métrica: flagged_clang
Registrado: 176
Recalculado: 176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L29" authorId="0">
      <x:text>
        <x:r>
          <x:t>Métrica: flagged_cppcheck
Registrado: 1007
Recalculado: 1007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M29" authorId="0">
      <x:text>
        <x:r>
          <x:t>Métrica: flagged_flawfinder
Registrado: 0
Recalculado: 0
Diferença no CSV: 0
Comparação: match
Validade: legacy_definition_only
Motivo: O parser atual pode ignorar alertas do Flawfinder. A contagem não confirma defeitos reais.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N29" authorId="0">
      <x:text>
        <x:r>
          <x:t>Métrica: flagged_asan
Registrado: 0
Recalculado: 0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O29" authorId="0">
      <x:text>
        <x:r>
          <x:t>Métrica: flagged_fuzz
Registrado: 0
Recalculado: 0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P29" authorId="0">
      <x:text>
        <x:r>
          <x:t>Métrica: flagged_test
Registrado: 0
Recalculado: 0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Q29" authorId="0">
      <x:text>
        <x:r>
          <x:t>Métrica: oracle_absent
Registrado: 2922
Recalculado: 2922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R29" authorId="0">
      <x:text>
        <x:r>
          <x:t>Métrica: oracle_passed
Registrado: 0
Recalculado: 0
Diferença no CSV: 0
Comparação: match
Validade: legacy_definition_only
Motivo: A regra antiga pode contar testes sem veredito como aprovados. Ver test_states_initial.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S29" authorId="0">
      <x:text>
        <x:r>
          <x:t>Métrica: oracle_failed
Registrado: 0
Recalculado: 0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T29" authorId="0">
      <x:text>
        <x:r>
          <x:t>Métrica: oracle_pass_rate
Registrado: Sem registro
Recalculado: NV
Diferença no CSV: não calculável
Comparação: not_verifiable
Validade: not_verifiable
Motivo: A regra antiga pode contar testes sem veredito como aprovados. Ver test_states_initial.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U29" authorId="0">
      <x:text>
        <x:r>
          <x:t>Métrica: initial_flagged
Registrado: 1118
Recalculado: 1118
Diferença no CSV: 0
Comparação: match
Validade: legacy_definition_only
Motivo: O parser atual pode ignorar alertas do Flawfinder. A contagem não confirma defeitos reais.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V29" authorId="0">
      <x:text>
        <x:r>
          <x:t>Métrica: initial_defect_rate
Registrado: 0.3826
Recalculado: 0.3826
Diferença no CSV: 0.0
Comparação: match
Validade: legacy_definition_only
Motivo: O parser atual pode ignorar alertas do Flawfinder. A contagem não confirma defeitos reais.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W29" authorId="0">
      <x:text>
        <x:r>
          <x:t>Métrica: initial_defect_rate_static_only
Registrado: 0.3826
Recalculado: 0.3826
Diferença no CSV: 0.0
Comparação: match
Validade: legacy_definition_only
Motivo: O parser atual pode ignorar alertas do Flawfinder. A contagem não confirma defeitos reais.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X29" authorId="0">
      <x:text>
        <x:r>
          <x:t>Métrica: not_cleaned
Registrado: 36
Recalculado: 36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Y29" authorId="0">
      <x:text>
        <x:r>
          <x:t>Métrica: heal_failed
Registrado: 0
Recalculado: 0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Z29" authorId="0">
      <x:text>
        <x:r>
          <x:t>Métrica: max_rounds
Registrado: 10
Recalculado: 10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AA29" authorId="0">
      <x:text>
        <x:r>
          <x:t>Métrica: mean_rounds_to_clean
Registrado: 1.25
Recalculado: 1.25
Diferença no CSV: 0.0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AB29" authorId="0">
      <x:text>
        <x:r>
          <x:t>Métrica: median_rounds_to_clean
Registrado: 1.0
Recalculado: 1.0
Diferença no CSV: 0.0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AC29" authorId="0">
      <x:text>
        <x:r>
          <x:t>Métrica: survival_counts
Registrado: {"0": 1118, "1": 1118, "10": 39, "11": 36, "2": 198, "3": 74, "4": 60, "5": 54, "6": 47, "7": 43, "8": 40, "9": 39}
Recalculado: {"0": 1118, "1": 1118, "10": 39, "11": 36, "2": 198, "3": 74, "4": 60, "5": 54, "6": 47, "7": 43, "8": 40, "9": 39}
Diferença no CSV: não calculável
Comparação: match
Validade: legacy_definition_only
Motivo: Rodada 0 conta todos os relatórios. As seguintes contam a fila de cura: são bases diferentes.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D30" authorId="0">
      <x:text>
        <x:r>
          <x:t>Métrica: n_generated
Registrado: Sem registro
Recalculado: 600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E30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F30" authorId="0">
      <x:text>
        <x:r>
          <x:t>Métrica: clean_at_start
Registrado: Sem registro
Recalculado: 326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G30" authorId="0">
      <x:text>
        <x:r>
          <x:t>Métrica: cleaned
Registrado: Sem registro
Recalculado: 236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H30" authorId="0">
      <x:text>
        <x:r>
          <x:t>Métrica: final_clean_rate
Registrado: Sem registro
Recalculado: 0.9367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I30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J30" authorId="0">
      <x:text>
        <x:r>
          <x:t>Métrica: flagged_gcc
Registrado: Sem registro
Recalculado: 49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K30" authorId="0">
      <x:text>
        <x:r>
          <x:t>Métrica: flagged_clang
Registrado: Sem registro
Recalculado: 51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L30" authorId="0">
      <x:text>
        <x:r>
          <x:t>Métrica: flagged_cppcheck
Registrado: Sem registro
Recalculado: 189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M30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N30" authorId="0">
      <x:text>
        <x:r>
          <x:t>Métrica: flagged_asan
Registrado: Sem registro
Recalculado: 35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O30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P30" authorId="0">
      <x:text>
        <x:r>
          <x:t>Métrica: flagged_test
Registrado: Sem registro
Recalculado: 45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Q30" authorId="0">
      <x:text>
        <x:r>
          <x:t>Métrica: oracle_absent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R30" authorId="0">
      <x:text>
        <x:r>
          <x:t>Métrica: oracle_passed
Registrado: Sem registro
Recalculado: 555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S30" authorId="0">
      <x:text>
        <x:r>
          <x:t>Métrica: oracle_failed
Registrado: Sem registro
Recalculado: 45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T30" authorId="0">
      <x:text>
        <x:r>
          <x:t>Métrica: oracle_pass_rate
Registrado: Sem registro
Recalculado: 0.925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U30" authorId="0">
      <x:text>
        <x:r>
          <x:t>Métrica: initial_flagged
Registrado: Sem registro
Recalculado: 270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V30" authorId="0">
      <x:text>
        <x:r>
          <x:t>Métrica: initial_defect_rate
Registrado: Sem registro
Recalculado: 0.45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W30" authorId="0">
      <x:text>
        <x:r>
          <x:t>Métrica: initial_defect_rate_static_only
Registrado: Sem registro
Recalculado: 0.365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X30" authorId="0">
      <x:text>
        <x:r>
          <x:t>Métrica: not_cleaned
Registrado: Sem registro
Recalculado: 38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Y30" authorId="0">
      <x:text>
        <x:r>
          <x:t>Métrica: heal_failed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Z30" authorId="0">
      <x:text>
        <x:r>
          <x:t>Métrica: max_rounds
Registrado: Sem registro
Recalculado: 10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AA30" authorId="0">
      <x:text>
        <x:r>
          <x:t>Métrica: mean_rounds_to_clean
Registrado: Sem registro
Recalculado: 1.712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AB30" authorId="0">
      <x:text>
        <x:r>
          <x:t>Métrica: median_rounds_to_clean
Registrado: Sem registro
Recalculado: 1.0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AC30" authorId="0">
      <x:text>
        <x:r>
          <x:t>Métrica: survival_counts
Registrado: Sem registro
Recalculado: {"0": 270, "1": 274, "10": 42, "11": 38, "2": 106, "3": 66, "4": 58, "5": 53, "6": 48, "7": 48, "8": 45, "9": 44}
Diferença no CSV: não calculável
Comparação: missing_cell
Validade: legacy_definition_only
Motivo: Rodada 0 conta todos os relatórios. As seguintes contam a fila de cura: são bases diferentes.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D31" authorId="0">
      <x:text>
        <x:r>
          <x:t>Métrica: n_generated
Registrado: Sem registro
Recalculado: 600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E31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F31" authorId="0">
      <x:text>
        <x:r>
          <x:t>Métrica: clean_at_start
Registrado: Sem registro
Recalculado: 355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G31" authorId="0">
      <x:text>
        <x:r>
          <x:t>Métrica: cleaned
Registrado: Sem registro
Recalculado: 207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H31" authorId="0">
      <x:text>
        <x:r>
          <x:t>Métrica: final_clean_rate
Registrado: Sem registro
Recalculado: 0.9367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I31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J31" authorId="0">
      <x:text>
        <x:r>
          <x:t>Métrica: flagged_gcc
Registrado: Sem registro
Recalculado: 52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K31" authorId="0">
      <x:text>
        <x:r>
          <x:t>Métrica: flagged_clang
Registrado: Sem registro
Recalculado: 57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L31" authorId="0">
      <x:text>
        <x:r>
          <x:t>Métrica: flagged_cppcheck
Registrado: Sem registro
Recalculado: 173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M31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N31" authorId="0">
      <x:text>
        <x:r>
          <x:t>Métrica: flagged_asan
Registrado: Sem registro
Recalculado: 23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O31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P31" authorId="0">
      <x:text>
        <x:r>
          <x:t>Métrica: flagged_test
Registrado: Sem registro
Recalculado: 36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Q31" authorId="0">
      <x:text>
        <x:r>
          <x:t>Métrica: oracle_absent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R31" authorId="0">
      <x:text>
        <x:r>
          <x:t>Métrica: oracle_passed
Registrado: Sem registro
Recalculado: 564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S31" authorId="0">
      <x:text>
        <x:r>
          <x:t>Métrica: oracle_failed
Registrado: Sem registro
Recalculado: 36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T31" authorId="0">
      <x:text>
        <x:r>
          <x:t>Métrica: oracle_pass_rate
Registrado: Sem registro
Recalculado: 0.94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U31" authorId="0">
      <x:text>
        <x:r>
          <x:t>Métrica: initial_flagged
Registrado: Sem registro
Recalculado: 245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V31" authorId="0">
      <x:text>
        <x:r>
          <x:t>Métrica: initial_defect_rate
Registrado: Sem registro
Recalculado: 0.4083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W31" authorId="0">
      <x:text>
        <x:r>
          <x:t>Métrica: initial_defect_rate_static_only
Registrado: Sem registro
Recalculado: 0.345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X31" authorId="0">
      <x:text>
        <x:r>
          <x:t>Métrica: not_cleaned
Registrado: Sem registro
Recalculado: 38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Y31" authorId="0">
      <x:text>
        <x:r>
          <x:t>Métrica: heal_failed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Z31" authorId="0">
      <x:text>
        <x:r>
          <x:t>Métrica: max_rounds
Registrado: Sem registro
Recalculado: 10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AA31" authorId="0">
      <x:text>
        <x:r>
          <x:t>Métrica: mean_rounds_to_clean
Registrado: Sem registro
Recalculado: 1.686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AB31" authorId="0">
      <x:text>
        <x:r>
          <x:t>Métrica: median_rounds_to_clean
Registrado: Sem registro
Recalculado: 1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AC31" authorId="0">
      <x:text>
        <x:r>
          <x:t>Métrica: survival_counts
Registrado: Sem registro
Recalculado: {"0": 245, "1": 245, "10": 39, "11": 38, "2": 92, "3": 64, "4": 58, "5": 53, "6": 50, "7": 45, "8": 43, "9": 40}
Diferença no CSV: não calculável
Comparação: missing_cell
Validade: legacy_definition_only
Motivo: Rodada 0 conta todos os relatórios. As seguintes contam a fila de cura: são bases diferentes.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D32" authorId="0">
      <x:text>
        <x:r>
          <x:t>Métrica: n_generated
Registrado: 400
Recalculado: 400
Diferença no CSV: 0
Comparação: match
Validade: artifact_count
Motivo: Contagem de artefatos/manifest conforme definição do pipeline.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E32" authorId="0">
      <x:text>
        <x:r>
          <x:t>Métrica: compile_rate
Registrado: 0.8825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F32" authorId="0">
      <x:text>
        <x:r>
          <x:t>Métrica: clean_at_start
Registrado: 207
Recalculado: 207
Diferença no CSV: 0
Comparação: match
Validade: artifact_count
Motivo: Contagem de artefatos/manifest conforme definição do pipeline.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G32" authorId="0">
      <x:text>
        <x:r>
          <x:t>Métrica: cleaned
Registrado: 160
Recalculado: 160
Diferença no CSV: 0
Comparação: match
Validade: artifact_count
Motivo: Contagem de artefatos/manifest conforme definição do pipeline.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H32" authorId="0">
      <x:text>
        <x:r>
          <x:t>Métrica: final_clean_rate
Registrado: 0.9175
Recalculado: 0.9175
Diferença no CSV: 0.0
Comparação: match
Validade: artifact_count
Motivo: Contagem de artefatos/manifest conforme definição do pipeline.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I32" authorId="0">
      <x:text>
        <x:r>
          <x:t>Métrica: n_compilable
Registrado: 353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J32" authorId="0">
      <x:text>
        <x:r>
          <x:t>Métrica: flagged_gcc
Registrado: 47
Recalculado: 47
Diferença no CSV: 0
Comparação: match
Validade: artifact_count
Motivo: Contagem de artefatos/manifest conforme definição do pipeline.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K32" authorId="0">
      <x:text>
        <x:r>
          <x:t>Métrica: flagged_clang
Registrado: 48
Recalculado: 48
Diferença no CSV: 0
Comparação: match
Validade: artifact_count
Motivo: Contagem de artefatos/manifest conforme definição do pipeline.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L32" authorId="0">
      <x:text>
        <x:r>
          <x:t>Métrica: flagged_cppcheck
Registrado: 141
Recalculado: 141
Diferença no CSV: 0
Comparação: match
Validade: artifact_count
Motivo: Contagem de artefatos/manifest conforme definição do pipeline.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M32" authorId="0">
      <x:text>
        <x:r>
          <x:t>Métrica: flagged_flawfinder
Registrado: 0
Recalculado: 0
Diferença no CSV: 0
Comparação: match
Validade: legacy_definition_only
Motivo: O parser atual pode ignorar alertas do Flawfinder. A contagem não confirma defeitos reais.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N32" authorId="0">
      <x:text>
        <x:r>
          <x:t>Métrica: flagged_asan
Registrado: 21
Recalculado: 21
Diferença no CSV: 0
Comparação: match
Validade: artifact_count
Motivo: Contagem de artefatos/manifest conforme definição do pipeline.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O32" authorId="0">
      <x:text>
        <x:r>
          <x:t>Métrica: flagged_fuzz
Registrado: 0
Recalculado: 0
Diferença no CSV: 0
Comparação: match
Validade: artifact_count
Motivo: Contagem de artefatos/manifest conforme definição do pipeline.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P32" authorId="0">
      <x:text>
        <x:r>
          <x:t>Métrica: flagged_test
Registrado: 24
Recalculado: 24
Diferença no CSV: 0
Comparação: match
Validade: artifact_count
Motivo: Contagem de artefatos/manifest conforme definição do pipeline.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Q32" authorId="0">
      <x:text>
        <x:r>
          <x:t>Métrica: oracle_absent
Registrado: 0
Recalculado: 0
Diferença no CSV: 0
Comparação: match
Validade: artifact_count
Motivo: Contagem de artefatos/manifest conforme definição do pipeline.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R32" authorId="0">
      <x:text>
        <x:r>
          <x:t>Métrica: oracle_passed
Registrado: 376
Recalculado: 376
Diferença no CSV: 0
Comparação: match
Validade: legacy_definition_only
Motivo: A regra antiga pode contar testes sem veredito como aprovados. Ver test_states_initial.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S32" authorId="0">
      <x:text>
        <x:r>
          <x:t>Métrica: oracle_failed
Registrado: 24
Recalculado: 24
Diferença no CSV: 0
Comparação: match
Validade: artifact_count
Motivo: Contagem de artefatos/manifest conforme definição do pipeline.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T32" authorId="0">
      <x:text>
        <x:r>
          <x:t>Métrica: oracle_pass_rate
Registrado: 0.94
Recalculado: 0.94
Diferença no CSV: 0.0
Comparação: match
Validade: legacy_definition_only
Motivo: A regra antiga pode contar testes sem veredito como aprovados. Ver test_states_initial.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U32" authorId="0">
      <x:text>
        <x:r>
          <x:t>Métrica: initial_flagged
Registrado: 193
Recalculado: 193
Diferença no CSV: 0
Comparação: match
Validade: legacy_definition_only
Motivo: O parser atual pode ignorar alertas do Flawfinder. A contagem não confirma defeitos reais.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V32" authorId="0">
      <x:text>
        <x:r>
          <x:t>Métrica: initial_defect_rate
Registrado: 0.4825
Recalculado: 0.4825
Diferença no CSV: 0.0
Comparação: match
Validade: legacy_definition_only
Motivo: O parser atual pode ignorar alertas do Flawfinder. A contagem não confirma defeitos reais.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W32" authorId="0">
      <x:text>
        <x:r>
          <x:t>Métrica: initial_defect_rate_static_only
Registrado: 0.41
Recalculado: 0.41
Diferença no CSV: 0.0
Comparação: match
Validade: legacy_definition_only
Motivo: O parser atual pode ignorar alertas do Flawfinder. A contagem não confirma defeitos reais.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X32" authorId="0">
      <x:text>
        <x:r>
          <x:t>Métrica: not_cleaned
Registrado: 33
Recalculado: 33
Diferença no CSV: 0
Comparação: match
Validade: artifact_count
Motivo: Contagem de artefatos/manifest conforme definição do pipeline.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Y32" authorId="0">
      <x:text>
        <x:r>
          <x:t>Métrica: heal_failed
Registrado: 0
Recalculado: 0
Diferença no CSV: 0
Comparação: match
Validade: artifact_count
Motivo: Contagem de artefatos/manifest conforme definição do pipeline.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Z32" authorId="0">
      <x:text>
        <x:r>
          <x:t>Métrica: max_rounds
Registrado: 10
Recalculado: 10
Diferença no CSV: 0
Comparação: match
Validade: artifact_count
Motivo: Contagem de artefatos/manifest conforme definição do pipeline.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AA32" authorId="0">
      <x:text>
        <x:r>
          <x:t>Métrica: mean_rounds_to_clean
Registrado: 1.688
Recalculado: 1.688
Diferença no CSV: 0.0
Comparação: match
Validade: artifact_count
Motivo: Contagem de artefatos/manifest conforme definição do pipeline.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AB32" authorId="0">
      <x:text>
        <x:r>
          <x:t>Métrica: median_rounds_to_clean
Registrado: 1.0
Recalculado: 1.0
Diferença no CSV: 0.0
Comparação: match
Validade: artifact_count
Motivo: Contagem de artefatos/manifest conforme definição do pipeline.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AC32" authorId="0">
      <x:text>
        <x:r>
          <x:t>Métrica: survival_counts
Registrado: {"0": 193, "1": 193, "10": 33, "11": 33, "2": 81, "3": 53, "4": 48, "5": 44, "6": 40, "7": 39, "8": 35, "9": 34}
Recalculado: {"0": 193, "1": 193, "10": 33, "11": 33, "2": 81, "3": 53, "4": 48, "5": 44, "6": 40, "7": 39, "8": 35, "9": 34}
Diferença no CSV: não calculável
Comparação: match
Validade: legacy_definition_only
Motivo: Rodada 0 conta todos os relatórios. As seguintes contam a fila de cura: são bases diferentes.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%"/>
    <x:numFmt numFmtId="202" formatCode="0.000"/>
    <x:numFmt numFmtId="203" formatCode="0.00&quot; p.p.&quot;"/>
  </x:numFmts>
  <x:fonts count="6">
    <x:font>
      <x:sz val="11"/>
      <x:name val="Carlito"/>
    </x:font>
    <x:font>
      <x:sz val="10"/>
      <x:color rgb="FF233443"/>
      <x:name val="Arial"/>
    </x:font>
    <x:font>
      <x:b/>
      <x:sz val="10"/>
      <x:color rgb="FF233443"/>
      <x:name val="Arial"/>
    </x:font>
    <x:font>
      <x:sz val="9"/>
      <x:color rgb="FF586B7A"/>
      <x:name val="Arial"/>
    </x:font>
    <x:font>
      <x:sz val="9"/>
      <x:color rgb="FF586B7A"/>
      <x:name val="Carlito"/>
    </x:font>
    <x:font>
      <x:b/>
      <x:sz val="10"/>
      <x:color rgb="FF174D7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EF3F7"/>
      </x:patternFill>
    </x:fill>
    <x:fill>
      <x:patternFill patternType="solid">
        <x:fgColor rgb="FFF7F9FB"/>
      </x:patternFill>
    </x:fill>
    <x:fill>
      <x:patternFill patternType="solid">
        <x:fgColor rgb="FFE8F1FA"/>
      </x:patternFill>
    </x:fill>
  </x:fills>
  <x:borders count="4">
    <x:border/>
    <x:border>
      <x:bottom style="thin">
        <x:color rgb="FFB8C8D5"/>
      </x:bottom>
    </x:border>
    <x:border>
      <x:top style="medium">
        <x:color rgb="FFB8C8D5"/>
      </x:top>
    </x:border>
    <x:border>
      <x:bottom style="thin">
        <x:color rgb="FF174D7A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2" fillId="3" borderId="2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horizontal="right"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0" borderId="2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2" fontId="1" fillId="0" borderId="2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203" fontId="1" fillId="0" borderId="2" xfId="0" applyNumberFormat="1" applyFont="1" applyFill="1" applyBorder="1" applyAlignment="1">
      <x:alignment horizontal="right" vertical="center" wrapText="1"/>
    </x:xf>
    <x:xf numFmtId="203" fontId="1" fillId="0" borderId="0" xfId="0" applyNumberFormat="1" applyFont="1" applyFill="1" applyBorder="1" applyAlignment="1">
      <x:alignment horizontal="right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3">
    <x:dxf>
      <x:font>
        <x:i/>
        <x:color rgb="FF586B7A"/>
      </x:font>
    </x:dxf>
    <x:dxf>
      <x:font>
        <x:i/>
        <x:color rgb="FF586B7A"/>
      </x:font>
    </x:dxf>
    <x:dxf>
      <x:font>
        <x:i/>
        <x:color rgb="FF586B7A"/>
      </x:font>
    </x:dxf>
    <x:dxf>
      <x:font>
        <x:i/>
        <x:color rgb="FF586B7A"/>
      </x:font>
    </x:dxf>
    <x:dxf>
      <x:font>
        <x:i/>
        <x:color rgb="FF586B7A"/>
      </x:font>
    </x:dxf>
    <x:dxf>
      <x:font>
        <x:i/>
        <x:color rgb="FF586B7A"/>
      </x:font>
    </x:dxf>
    <x:dxf>
      <x:font>
        <x:i/>
        <x:color rgb="FF586B7A"/>
      </x:font>
    </x:dxf>
    <x:dxf>
      <x:font>
        <x:i/>
        <x:color rgb="FF586B7A"/>
      </x:font>
    </x:dxf>
    <x:dxf>
      <x:font>
        <x:i/>
        <x:color rgb="FF586B7A"/>
      </x:font>
    </x:dxf>
    <x:dxf>
      <x:font>
        <x:i/>
        <x:color rgb="FF586B7A"/>
      </x:font>
    </x:dxf>
    <x:dxf>
      <x:font>
        <x:i/>
        <x:color rgb="FF586B7A"/>
      </x:font>
    </x:dxf>
    <x:dxf>
      <x:font>
        <x:i/>
        <x:color rgb="FF586B7A"/>
      </x:font>
    </x:dxf>
    <x:dxf>
      <x:fill>
        <x:patternFill patternType="solid">
          <x:bgColor rgb="FFFFF0D9"/>
        </x:patternFill>
      </x:fill>
    </x:dxf>
    <x:dxf>
      <x:numFmt numFmtId="203" formatCode="0.00&quot; p.p.&quot;"/>
    </x:dxf>
    <x:dxf>
      <x:numFmt numFmtId="203" formatCode="0.00&quot; p.p.&quot;"/>
    </x:dxf>
    <x:dxf>
      <x:numFmt numFmtId="203" formatCode="0.00&quot; p.p.&quot;"/>
    </x:dxf>
    <x:dxf>
      <x:numFmt numFmtId="203" formatCode="0.00&quot; p.p.&quot;"/>
    </x:dxf>
    <x:dxf>
      <x:numFmt numFmtId="203" formatCode="0.00&quot; p.p.&quot;"/>
    </x:dxf>
    <x:dxf>
      <x:fill>
        <x:patternFill patternType="solid">
          <x:bgColor rgb="FFFFF0D9"/>
        </x:patternFill>
      </x:fill>
    </x:dxf>
    <x:dxf>
      <x:font>
        <x:i/>
        <x:color rgb="FF586B7A"/>
      </x:font>
    </x:dxf>
    <x:dxf>
      <x:font>
        <x:i/>
        <x:color rgb="FF586B7A"/>
      </x:font>
    </x:dxf>
    <x:dxf>
      <x:font>
        <x:i/>
        <x:color rgb="FF586B7A"/>
      </x:font>
    </x:dxf>
    <x:dxf>
      <x:font>
        <x:i/>
        <x:color rgb="FF586B7A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ac0bcd678e4621" /><Relationship Type="http://schemas.openxmlformats.org/officeDocument/2006/relationships/theme" Target="/xl/theme/theme1.xml" Id="R15d52f646a4b46a1" /><Relationship Type="http://schemas.openxmlformats.org/officeDocument/2006/relationships/sharedStrings" Target="/xl/sharedStrings.xml" Id="R2b034b0edfb346fe" /><Relationship Type="http://schemas.openxmlformats.org/officeDocument/2006/relationships/worksheet" Target="/xl/worksheets/sheet1.xml" Id="Rf62ddcc2452e43fa" /><Relationship Type="http://schemas.openxmlformats.org/officeDocument/2006/relationships/worksheet" Target="/xl/worksheets/sheet2.xml" Id="Raaa8c071925e4fe0" /><Relationship Type="http://schemas.openxmlformats.org/officeDocument/2006/relationships/worksheet" Target="/xl/worksheets/sheet3.xml" Id="R0215417278014f08" /><Relationship Type="http://schemas.openxmlformats.org/officeDocument/2006/relationships/worksheet" Target="/xl/worksheets/sheet4.xml" Id="Rf50f41e9bbaa4c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26a5a8bea6e448fe" /><Relationship Type="http://schemas.openxmlformats.org/officeDocument/2006/relationships/vmlDrawing" Target="/xl/drawings/vmldrawing.vml" Id="Rd8f3f6e73e9849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f8414d01775c4683" /><Relationship Type="http://schemas.openxmlformats.org/officeDocument/2006/relationships/vmlDrawing" Target="/xl/drawings/vmldrawing2.vml" Id="Re06873bd23414120" /></Relationships>
</file>

<file path=xl/worksheets/sheet1.xml><?xml version="1.0" encoding="utf-8"?>
<x:worksheet xmlns:x="http://schemas.openxmlformats.org/spreadsheetml/2006/main">
  <x:sheetPr>
    <x:tabColor rgb="FF174D7A"/>
  </x:sheetPr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2.440000057220459" hidden="0" customWidth="1"/>
    <x:col min="2" max="2" width="26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  <x:col min="9" max="9" width="21.110000610351562" hidden="0" customWidth="1"/>
    <x:col min="10" max="10" width="21.110000610351562" hidden="0" customWidth="1"/>
    <x:col min="11" max="11" width="21.110000610351562" hidden="0" customWidth="1"/>
    <x:col min="12" max="12" width="21.110000610351562" hidden="0" customWidth="1"/>
    <x:col min="13" max="13" width="21.110000610351562" hidden="0" customWidth="1"/>
    <x:col min="14" max="14" width="21.110000610351562" hidden="0" customWidth="1"/>
  </x:cols>
  <x:sheetData>
    <x:row r="1" ht="28" customHeight="1">
      <x:c r="A1" s="2"/>
      <x:c r="B1" s="2" t="str">
        <x:v>Configuração</x:v>
      </x:c>
      <x:c r="C1" s="27" t="str">
        <x:v>Estático · r0 · t1 · p1</x:v>
      </x:c>
      <x:c r="D1" s="2"/>
      <x:c r="E1" s="2"/>
      <x:c r="F1" s="2"/>
      <x:c r="G1" s="2"/>
      <x:c r="H1" s="2" t="str">
        <x:v>Mostrar</x:v>
      </x:c>
      <x:c r="I1" s="27" t="str">
        <x:v>Recalculado</x:v>
      </x:c>
      <x:c r="J1" s="2"/>
      <x:c r="K1" s="2"/>
      <x:c r="L1" s="2"/>
      <x:c r="M1" s="2"/>
      <x:c r="N1" s="2"/>
    </x:row>
    <x:row r="2" ht="46" customHeight="1">
      <x:c r="A2" s="2"/>
      <x:c r="B2" s="6" t="str">
        <x:v>Métrica</x:v>
      </x:c>
      <x:c r="C2" s="6" t="str">
        <x:v>claude-fable-5</x:v>
      </x:c>
      <x:c r="D2" s="6" t="str">
        <x:v>deepseek-v4-pro</x:v>
      </x:c>
      <x:c r="E2" s="6" t="str">
        <x:v>deepseek-v4-pro
thinking</x:v>
      </x:c>
      <x:c r="F2" s="6" t="str">
        <x:v>gemini-3-pro</x:v>
      </x:c>
      <x:c r="G2" s="6" t="str">
        <x:v>gemini-3-pro
thinking</x:v>
      </x:c>
      <x:c r="H2" s="6" t="str">
        <x:v>glm-5.1</x:v>
      </x:c>
      <x:c r="I2" s="6" t="str">
        <x:v>glm-5.1
thinking</x:v>
      </x:c>
      <x:c r="J2" s="6" t="str">
        <x:v>kimi-k3</x:v>
      </x:c>
      <x:c r="K2" s="6" t="str">
        <x:v>kimi-k3
thinking</x:v>
      </x:c>
      <x:c r="L2" s="6" t="str">
        <x:v>openai-gpt56-sol</x:v>
      </x:c>
      <x:c r="M2" s="6" t="str">
        <x:v>openai-gpt56-sol
thinking</x:v>
      </x:c>
      <x:c r="N2" s="6" t="str">
        <x:v>qwen-max</x:v>
      </x:c>
    </x:row>
    <x:row r="3" ht="31" customHeight="1">
      <x:c r="A3" s="2"/>
      <x:c r="B3" s="9" t="str">
        <x:v>Gerados</x:v>
      </x:c>
      <x:c r="C3" s="18" t="n">
        <x:f>IF($C$1="Estático · r0 · t1 · p1",IF($I$1="Recalculado",'Recalculados'!D3,IF($I$1="Registrado",'Registrados'!D3,'Diferenças'!D3)),"Sem célula")</x:f>
        <x:v>26</x:v>
      </x:c>
      <x:c r="D3" s="18" t="n">
        <x:f>IF($C$1="Dinâmico · r0 · t1 · p1",IF($I$1="Recalculado",'Recalculados'!D4,IF($I$1="Registrado",'Registrados'!D4,'Diferenças'!D4)),IF($C$1="Estático · r0 · t0.2 · p1",IF($I$1="Recalculado",'Recalculados'!D5,IF($I$1="Registrado",'Registrados'!D5,'Diferenças'!D5)),IF($C$1="Estático · r0 · t1 · p0.5",IF($I$1="Recalculado",'Recalculados'!D6,IF($I$1="Registrado",'Registrados'!D6,'Diferenças'!D6)),IF($C$1="Estático · r0 · t1 · p1",IF($I$1="Recalculado",'Recalculados'!D7,IF($I$1="Registrado",'Registrados'!D7,'Diferenças'!D7)),IF($C$1="Est.+din. · r0 · t0.2 · p1",IF($I$1="Recalculado",'Recalculados'!D8,IF($I$1="Registrado",'Registrados'!D8,'Diferenças'!D8)),IF($C$1="Est.+din. · r0 · t1 · p0.5",IF($I$1="Recalculado",'Recalculados'!D9,IF($I$1="Registrado",'Registrados'!D9,'Diferenças'!D9)),IF($C$1="Est.+din. · r0 · t1 · p1",IF($I$1="Recalculado",'Recalculados'!D10,IF($I$1="Registrado",'Registrados'!D10,'Diferenças'!D10)),"Sem célula")))))))</x:f>
        <x:v>2922</x:v>
      </x:c>
      <x:c r="E3" s="18" t="str">
        <x:f>IF($C$1="Estático · r1 · t1 · p1",IF($I$1="Recalculado",'Recalculados'!D11,IF($I$1="Registrado",'Registrados'!D11,'Diferenças'!D11)),"Sem célula")</x:f>
        <x:v>Sem célula</x:v>
      </x:c>
      <x:c r="F3" s="18" t="n">
        <x:f>IF($C$1="Estático · r0 · t1 · p1",IF($I$1="Recalculado",'Recalculados'!D12,IF($I$1="Registrado",'Registrados'!D12,'Diferenças'!D12)),"Sem célula")</x:f>
        <x:v>8</x:v>
      </x:c>
      <x:c r="G3" s="18" t="str">
        <x:f>IF($C$1="Estático · r1 · t1 · p1",IF($I$1="Recalculado",'Recalculados'!D13,IF($I$1="Registrado",'Registrados'!D13,'Diferenças'!D13)),"Sem célula")</x:f>
        <x:v>Sem célula</x:v>
      </x:c>
      <x:c r="H3" s="18" t="n">
        <x:f>IF($C$1="Dinâmico · r0 · t1 · p1",IF($I$1="Recalculado",'Recalculados'!D14,IF($I$1="Registrado",'Registrados'!D14,'Diferenças'!D14)),IF($C$1="Estático · r0 · t1 · p1",IF($I$1="Recalculado",'Recalculados'!D15,IF($I$1="Registrado",'Registrados'!D15,'Diferenças'!D15)),IF($C$1="Est.+din. · r0 · t0.2 · p1",IF($I$1="Recalculado",'Recalculados'!D16,IF($I$1="Registrado",'Registrados'!D16,'Diferenças'!D16)),IF($C$1="Est.+din. · r0 · t1 · p0.5",IF($I$1="Recalculado",'Recalculados'!D17,IF($I$1="Registrado",'Registrados'!D17,'Diferenças'!D17)),IF($C$1="Est.+din. · r0 · t1 · p1",IF($I$1="Recalculado",'Recalculados'!D18,IF($I$1="Registrado",'Registrados'!D18,'Diferenças'!D18)),"Sem célula")))))</x:f>
        <x:v>2922</x:v>
      </x:c>
      <x:c r="I3" s="18" t="str">
        <x:f>IF($C$1="Estático · r1 · t1 · p1",IF($I$1="Recalculado",'Recalculados'!D19,IF($I$1="Registrado",'Registrados'!D19,'Diferenças'!D19)),"Sem célula")</x:f>
        <x:v>Sem célula</x:v>
      </x:c>
      <x:c r="J3" s="18" t="n">
        <x:f>IF($C$1="Dinâmico · r0 · t1 · p1",IF($I$1="Recalculado",'Recalculados'!D20,IF($I$1="Registrado",'Registrados'!D20,'Diferenças'!D20)),IF($C$1="Estático · r0 · t1 · p1",IF($I$1="Recalculado",'Recalculados'!D21,IF($I$1="Registrado",'Registrados'!D21,'Diferenças'!D21)),IF($C$1="Est.+din. · r0 · t1 · p1",IF($I$1="Recalculado",'Recalculados'!D22,IF($I$1="Registrado",'Registrados'!D22,'Diferenças'!D22)),"Sem célula")))</x:f>
        <x:v>2922</x:v>
      </x:c>
      <x:c r="K3" s="18" t="str">
        <x:f>IF($C$1="Estático · r1 · t1 · p1",IF($I$1="Recalculado",'Recalculados'!D23,IF($I$1="Registrado",'Registrados'!D23,'Diferenças'!D23)),"Sem célula")</x:f>
        <x:v>Sem célula</x:v>
      </x:c>
      <x:c r="L3" s="18" t="n">
        <x:f>IF($C$1="Estático · r0 · t1 · p1",IF($I$1="Recalculado",'Recalculados'!D24,IF($I$1="Registrado",'Registrados'!D24,'Diferenças'!D24)),"Sem célula")</x:f>
        <x:v>19</x:v>
      </x:c>
      <x:c r="M3" s="18" t="str">
        <x:f>IF($C$1="Estático · r1 · t1 · p1",IF($I$1="Recalculado",'Recalculados'!D25,IF($I$1="Registrado",'Registrados'!D25,'Diferenças'!D25)),"Sem célula")</x:f>
        <x:v>Sem célula</x:v>
      </x:c>
      <x:c r="N3" s="18" t="n">
        <x:f>IF($C$1="Dinâmico · r0 · t1 · p1",IF($I$1="Recalculado",'Recalculados'!D26,IF($I$1="Registrado",'Registrados'!D26,'Diferenças'!D26)),IF($C$1="Estático · r0 · t0.2 · p1",IF($I$1="Recalculado",'Recalculados'!D27,IF($I$1="Registrado",'Registrados'!D27,'Diferenças'!D27)),IF($C$1="Estático · r0 · t1 · p0.5",IF($I$1="Recalculado",'Recalculados'!D28,IF($I$1="Registrado",'Registrados'!D28,'Diferenças'!D28)),IF($C$1="Estático · r0 · t1 · p1",IF($I$1="Recalculado",'Recalculados'!D29,IF($I$1="Registrado",'Registrados'!D29,'Diferenças'!D29)),IF($C$1="Est.+din. · r0 · t0.2 · p1",IF($I$1="Recalculado",'Recalculados'!D30,IF($I$1="Registrado",'Registrados'!D30,'Diferenças'!D30)),IF($C$1="Est.+din. · r0 · t1 · p0.5",IF($I$1="Recalculado",'Recalculados'!D31,IF($I$1="Registrado",'Registrados'!D31,'Diferenças'!D31)),IF($C$1="Est.+din. · r0 · t1 · p1",IF($I$1="Recalculado",'Recalculados'!D32,IF($I$1="Registrado",'Registrados'!D32,'Diferenças'!D32)),"Sem célula")))))))</x:f>
        <x:v>2922</x:v>
      </x:c>
    </x:row>
    <x:row r="4" ht="31" customHeight="1">
      <x:c r="A4" s="2"/>
      <x:c r="B4" s="9" t="str">
        <x:v>Compilam (%)</x:v>
      </x:c>
      <x:c r="C4" s="20" t="str">
        <x:f>IF($C$1="Estático · r0 · t1 · p1",IF($I$1="Recalculado",'Recalculados'!E3,IF($I$1="Registrado",'Registrados'!E3,'Diferenças'!E3)),"Sem célula")</x:f>
        <x:v>NV</x:v>
      </x:c>
      <x:c r="D4" s="20" t="str">
        <x:f>IF($C$1="Dinâmico · r0 · t1 · p1",IF($I$1="Recalculado",'Recalculados'!E4,IF($I$1="Registrado",'Registrados'!E4,'Diferenças'!E4)),IF($C$1="Estático · r0 · t0.2 · p1",IF($I$1="Recalculado",'Recalculados'!E5,IF($I$1="Registrado",'Registrados'!E5,'Diferenças'!E5)),IF($C$1="Estático · r0 · t1 · p0.5",IF($I$1="Recalculado",'Recalculados'!E6,IF($I$1="Registrado",'Registrados'!E6,'Diferenças'!E6)),IF($C$1="Estático · r0 · t1 · p1",IF($I$1="Recalculado",'Recalculados'!E7,IF($I$1="Registrado",'Registrados'!E7,'Diferenças'!E7)),IF($C$1="Est.+din. · r0 · t0.2 · p1",IF($I$1="Recalculado",'Recalculados'!E8,IF($I$1="Registrado",'Registrados'!E8,'Diferenças'!E8)),IF($C$1="Est.+din. · r0 · t1 · p0.5",IF($I$1="Recalculado",'Recalculados'!E9,IF($I$1="Registrado",'Registrados'!E9,'Diferenças'!E9)),IF($C$1="Est.+din. · r0 · t1 · p1",IF($I$1="Recalculado",'Recalculados'!E10,IF($I$1="Registrado",'Registrados'!E10,'Diferenças'!E10)),"Sem célula")))))))</x:f>
        <x:v>NV</x:v>
      </x:c>
      <x:c r="E4" s="20" t="str">
        <x:f>IF($C$1="Estático · r1 · t1 · p1",IF($I$1="Recalculado",'Recalculados'!E11,IF($I$1="Registrado",'Registrados'!E11,'Diferenças'!E11)),"Sem célula")</x:f>
        <x:v>Sem célula</x:v>
      </x:c>
      <x:c r="F4" s="20" t="str">
        <x:f>IF($C$1="Estático · r0 · t1 · p1",IF($I$1="Recalculado",'Recalculados'!E12,IF($I$1="Registrado",'Registrados'!E12,'Diferenças'!E12)),"Sem célula")</x:f>
        <x:v>NV</x:v>
      </x:c>
      <x:c r="G4" s="20" t="str">
        <x:f>IF($C$1="Estático · r1 · t1 · p1",IF($I$1="Recalculado",'Recalculados'!E13,IF($I$1="Registrado",'Registrados'!E13,'Diferenças'!E13)),"Sem célula")</x:f>
        <x:v>Sem célula</x:v>
      </x:c>
      <x:c r="H4" s="20" t="str">
        <x:f>IF($C$1="Dinâmico · r0 · t1 · p1",IF($I$1="Recalculado",'Recalculados'!E14,IF($I$1="Registrado",'Registrados'!E14,'Diferenças'!E14)),IF($C$1="Estático · r0 · t1 · p1",IF($I$1="Recalculado",'Recalculados'!E15,IF($I$1="Registrado",'Registrados'!E15,'Diferenças'!E15)),IF($C$1="Est.+din. · r0 · t0.2 · p1",IF($I$1="Recalculado",'Recalculados'!E16,IF($I$1="Registrado",'Registrados'!E16,'Diferenças'!E16)),IF($C$1="Est.+din. · r0 · t1 · p0.5",IF($I$1="Recalculado",'Recalculados'!E17,IF($I$1="Registrado",'Registrados'!E17,'Diferenças'!E17)),IF($C$1="Est.+din. · r0 · t1 · p1",IF($I$1="Recalculado",'Recalculados'!E18,IF($I$1="Registrado",'Registrados'!E18,'Diferenças'!E18)),"Sem célula")))))</x:f>
        <x:v>NV</x:v>
      </x:c>
      <x:c r="I4" s="20" t="str">
        <x:f>IF($C$1="Estático · r1 · t1 · p1",IF($I$1="Recalculado",'Recalculados'!E19,IF($I$1="Registrado",'Registrados'!E19,'Diferenças'!E19)),"Sem célula")</x:f>
        <x:v>Sem célula</x:v>
      </x:c>
      <x:c r="J4" s="20" t="str">
        <x:f>IF($C$1="Dinâmico · r0 · t1 · p1",IF($I$1="Recalculado",'Recalculados'!E20,IF($I$1="Registrado",'Registrados'!E20,'Diferenças'!E20)),IF($C$1="Estático · r0 · t1 · p1",IF($I$1="Recalculado",'Recalculados'!E21,IF($I$1="Registrado",'Registrados'!E21,'Diferenças'!E21)),IF($C$1="Est.+din. · r0 · t1 · p1",IF($I$1="Recalculado",'Recalculados'!E22,IF($I$1="Registrado",'Registrados'!E22,'Diferenças'!E22)),"Sem célula")))</x:f>
        <x:v>NV</x:v>
      </x:c>
      <x:c r="K4" s="20" t="str">
        <x:f>IF($C$1="Estático · r1 · t1 · p1",IF($I$1="Recalculado",'Recalculados'!E23,IF($I$1="Registrado",'Registrados'!E23,'Diferenças'!E23)),"Sem célula")</x:f>
        <x:v>Sem célula</x:v>
      </x:c>
      <x:c r="L4" s="20" t="str">
        <x:f>IF($C$1="Estático · r0 · t1 · p1",IF($I$1="Recalculado",'Recalculados'!E24,IF($I$1="Registrado",'Registrados'!E24,'Diferenças'!E24)),"Sem célula")</x:f>
        <x:v>NV</x:v>
      </x:c>
      <x:c r="M4" s="20" t="str">
        <x:f>IF($C$1="Estático · r1 · t1 · p1",IF($I$1="Recalculado",'Recalculados'!E25,IF($I$1="Registrado",'Registrados'!E25,'Diferenças'!E25)),"Sem célula")</x:f>
        <x:v>Sem célula</x:v>
      </x:c>
      <x:c r="N4" s="20" t="str">
        <x:f>IF($C$1="Dinâmico · r0 · t1 · p1",IF($I$1="Recalculado",'Recalculados'!E26,IF($I$1="Registrado",'Registrados'!E26,'Diferenças'!E26)),IF($C$1="Estático · r0 · t0.2 · p1",IF($I$1="Recalculado",'Recalculados'!E27,IF($I$1="Registrado",'Registrados'!E27,'Diferenças'!E27)),IF($C$1="Estático · r0 · t1 · p0.5",IF($I$1="Recalculado",'Recalculados'!E28,IF($I$1="Registrado",'Registrados'!E28,'Diferenças'!E28)),IF($C$1="Estático · r0 · t1 · p1",IF($I$1="Recalculado",'Recalculados'!E29,IF($I$1="Registrado",'Registrados'!E29,'Diferenças'!E29)),IF($C$1="Est.+din. · r0 · t0.2 · p1",IF($I$1="Recalculado",'Recalculados'!E30,IF($I$1="Registrado",'Registrados'!E30,'Diferenças'!E30)),IF($C$1="Est.+din. · r0 · t1 · p0.5",IF($I$1="Recalculado",'Recalculados'!E31,IF($I$1="Registrado",'Registrados'!E31,'Diferenças'!E31)),IF($C$1="Est.+din. · r0 · t1 · p1",IF($I$1="Recalculado",'Recalculados'!E32,IF($I$1="Registrado",'Registrados'!E32,'Diferenças'!E32)),"Sem célula")))))))</x:f>
        <x:v>NV</x:v>
      </x:c>
    </x:row>
    <x:row r="5" ht="31" customHeight="1">
      <x:c r="A5" s="2"/>
      <x:c r="B5" s="9" t="str">
        <x:v>Limpos no início</x:v>
      </x:c>
      <x:c r="C5" s="18" t="str">
        <x:f>IF($C$1="Estático · r0 · t1 · p1",IF($I$1="Recalculado",'Recalculados'!F3,IF($I$1="Registrado",'Registrados'!F3,'Diferenças'!F3)),"Sem célula")</x:f>
        <x:v>NV</x:v>
      </x:c>
      <x:c r="D5" s="18" t="n">
        <x:f>IF($C$1="Dinâmico · r0 · t1 · p1",IF($I$1="Recalculado",'Recalculados'!F4,IF($I$1="Registrado",'Registrados'!F4,'Diferenças'!F4)),IF($C$1="Estático · r0 · t0.2 · p1",IF($I$1="Recalculado",'Recalculados'!F5,IF($I$1="Registrado",'Registrados'!F5,'Diferenças'!F5)),IF($C$1="Estático · r0 · t1 · p0.5",IF($I$1="Recalculado",'Recalculados'!F6,IF($I$1="Registrado",'Registrados'!F6,'Diferenças'!F6)),IF($C$1="Estático · r0 · t1 · p1",IF($I$1="Recalculado",'Recalculados'!F7,IF($I$1="Registrado",'Registrados'!F7,'Diferenças'!F7)),IF($C$1="Est.+din. · r0 · t0.2 · p1",IF($I$1="Recalculado",'Recalculados'!F8,IF($I$1="Registrado",'Registrados'!F8,'Diferenças'!F8)),IF($C$1="Est.+din. · r0 · t1 · p0.5",IF($I$1="Recalculado",'Recalculados'!F9,IF($I$1="Registrado",'Registrados'!F9,'Diferenças'!F9)),IF($C$1="Est.+din. · r0 · t1 · p1",IF($I$1="Recalculado",'Recalculados'!F10,IF($I$1="Registrado",'Registrados'!F10,'Diferenças'!F10)),"Sem célula")))))))</x:f>
        <x:v>1916</x:v>
      </x:c>
      <x:c r="E5" s="18" t="str">
        <x:f>IF($C$1="Estático · r1 · t1 · p1",IF($I$1="Recalculado",'Recalculados'!F11,IF($I$1="Registrado",'Registrados'!F11,'Diferenças'!F11)),"Sem célula")</x:f>
        <x:v>Sem célula</x:v>
      </x:c>
      <x:c r="F5" s="18" t="str">
        <x:f>IF($C$1="Estático · r0 · t1 · p1",IF($I$1="Recalculado",'Recalculados'!F12,IF($I$1="Registrado",'Registrados'!F12,'Diferenças'!F12)),"Sem célula")</x:f>
        <x:v>NV</x:v>
      </x:c>
      <x:c r="G5" s="18" t="str">
        <x:f>IF($C$1="Estático · r1 · t1 · p1",IF($I$1="Recalculado",'Recalculados'!F13,IF($I$1="Registrado",'Registrados'!F13,'Diferenças'!F13)),"Sem célula")</x:f>
        <x:v>Sem célula</x:v>
      </x:c>
      <x:c r="H5" s="18" t="n">
        <x:f>IF($C$1="Dinâmico · r0 · t1 · p1",IF($I$1="Recalculado",'Recalculados'!F14,IF($I$1="Registrado",'Registrados'!F14,'Diferenças'!F14)),IF($C$1="Estático · r0 · t1 · p1",IF($I$1="Recalculado",'Recalculados'!F15,IF($I$1="Registrado",'Registrados'!F15,'Diferenças'!F15)),IF($C$1="Est.+din. · r0 · t0.2 · p1",IF($I$1="Recalculado",'Recalculados'!F16,IF($I$1="Registrado",'Registrados'!F16,'Diferenças'!F16)),IF($C$1="Est.+din. · r0 · t1 · p0.5",IF($I$1="Recalculado",'Recalculados'!F17,IF($I$1="Registrado",'Registrados'!F17,'Diferenças'!F17)),IF($C$1="Est.+din. · r0 · t1 · p1",IF($I$1="Recalculado",'Recalculados'!F18,IF($I$1="Registrado",'Registrados'!F18,'Diferenças'!F18)),"Sem célula")))))</x:f>
        <x:v>1431</x:v>
      </x:c>
      <x:c r="I5" s="18" t="str">
        <x:f>IF($C$1="Estático · r1 · t1 · p1",IF($I$1="Recalculado",'Recalculados'!F19,IF($I$1="Registrado",'Registrados'!F19,'Diferenças'!F19)),"Sem célula")</x:f>
        <x:v>Sem célula</x:v>
      </x:c>
      <x:c r="J5" s="18" t="n">
        <x:f>IF($C$1="Dinâmico · r0 · t1 · p1",IF($I$1="Recalculado",'Recalculados'!F20,IF($I$1="Registrado",'Registrados'!F20,'Diferenças'!F20)),IF($C$1="Estático · r0 · t1 · p1",IF($I$1="Recalculado",'Recalculados'!F21,IF($I$1="Registrado",'Registrados'!F21,'Diferenças'!F21)),IF($C$1="Est.+din. · r0 · t1 · p1",IF($I$1="Recalculado",'Recalculados'!F22,IF($I$1="Registrado",'Registrados'!F22,'Diferenças'!F22)),"Sem célula")))</x:f>
        <x:v>2284</x:v>
      </x:c>
      <x:c r="K5" s="18" t="str">
        <x:f>IF($C$1="Estático · r1 · t1 · p1",IF($I$1="Recalculado",'Recalculados'!F23,IF($I$1="Registrado",'Registrados'!F23,'Diferenças'!F23)),"Sem célula")</x:f>
        <x:v>Sem célula</x:v>
      </x:c>
      <x:c r="L5" s="18" t="str">
        <x:f>IF($C$1="Estático · r0 · t1 · p1",IF($I$1="Recalculado",'Recalculados'!F24,IF($I$1="Registrado",'Registrados'!F24,'Diferenças'!F24)),"Sem célula")</x:f>
        <x:v>NV</x:v>
      </x:c>
      <x:c r="M5" s="18" t="str">
        <x:f>IF($C$1="Estático · r1 · t1 · p1",IF($I$1="Recalculado",'Recalculados'!F25,IF($I$1="Registrado",'Registrados'!F25,'Diferenças'!F25)),"Sem célula")</x:f>
        <x:v>Sem célula</x:v>
      </x:c>
      <x:c r="N5" s="18" t="n">
        <x:f>IF($C$1="Dinâmico · r0 · t1 · p1",IF($I$1="Recalculado",'Recalculados'!F26,IF($I$1="Registrado",'Registrados'!F26,'Diferenças'!F26)),IF($C$1="Estático · r0 · t0.2 · p1",IF($I$1="Recalculado",'Recalculados'!F27,IF($I$1="Registrado",'Registrados'!F27,'Diferenças'!F27)),IF($C$1="Estático · r0 · t1 · p0.5",IF($I$1="Recalculado",'Recalculados'!F28,IF($I$1="Registrado",'Registrados'!F28,'Diferenças'!F28)),IF($C$1="Estático · r0 · t1 · p1",IF($I$1="Recalculado",'Recalculados'!F29,IF($I$1="Registrado",'Registrados'!F29,'Diferenças'!F29)),IF($C$1="Est.+din. · r0 · t0.2 · p1",IF($I$1="Recalculado",'Recalculados'!F30,IF($I$1="Registrado",'Registrados'!F30,'Diferenças'!F30)),IF($C$1="Est.+din. · r0 · t1 · p0.5",IF($I$1="Recalculado",'Recalculados'!F31,IF($I$1="Registrado",'Registrados'!F31,'Diferenças'!F31)),IF($C$1="Est.+din. · r0 · t1 · p1",IF($I$1="Recalculado",'Recalculados'!F32,IF($I$1="Registrado",'Registrados'!F32,'Diferenças'!F32)),"Sem célula")))))))</x:f>
        <x:v>1804</x:v>
      </x:c>
    </x:row>
    <x:row r="6" ht="31" customHeight="1">
      <x:c r="A6" s="2"/>
      <x:c r="B6" s="9" t="str">
        <x:v>Limpos após cura</x:v>
      </x:c>
      <x:c r="C6" s="18" t="str">
        <x:f>IF($C$1="Estático · r0 · t1 · p1",IF($I$1="Recalculado",'Recalculados'!G3,IF($I$1="Registrado",'Registrados'!G3,'Diferenças'!G3)),"Sem célula")</x:f>
        <x:v>NV</x:v>
      </x:c>
      <x:c r="D6" s="18" t="n">
        <x:f>IF($C$1="Dinâmico · r0 · t1 · p1",IF($I$1="Recalculado",'Recalculados'!G4,IF($I$1="Registrado",'Registrados'!G4,'Diferenças'!G4)),IF($C$1="Estático · r0 · t0.2 · p1",IF($I$1="Recalculado",'Recalculados'!G5,IF($I$1="Registrado",'Registrados'!G5,'Diferenças'!G5)),IF($C$1="Estático · r0 · t1 · p0.5",IF($I$1="Recalculado",'Recalculados'!G6,IF($I$1="Registrado",'Registrados'!G6,'Diferenças'!G6)),IF($C$1="Estático · r0 · t1 · p1",IF($I$1="Recalculado",'Recalculados'!G7,IF($I$1="Registrado",'Registrados'!G7,'Diferenças'!G7)),IF($C$1="Est.+din. · r0 · t0.2 · p1",IF($I$1="Recalculado",'Recalculados'!G8,IF($I$1="Registrado",'Registrados'!G8,'Diferenças'!G8)),IF($C$1="Est.+din. · r0 · t1 · p0.5",IF($I$1="Recalculado",'Recalculados'!G9,IF($I$1="Registrado",'Registrados'!G9,'Diferenças'!G9)),IF($C$1="Est.+din. · r0 · t1 · p1",IF($I$1="Recalculado",'Recalculados'!G10,IF($I$1="Registrado",'Registrados'!G10,'Diferenças'!G10)),"Sem célula")))))))</x:f>
        <x:v>916</x:v>
      </x:c>
      <x:c r="E6" s="18" t="str">
        <x:f>IF($C$1="Estático · r1 · t1 · p1",IF($I$1="Recalculado",'Recalculados'!G11,IF($I$1="Registrado",'Registrados'!G11,'Diferenças'!G11)),"Sem célula")</x:f>
        <x:v>Sem célula</x:v>
      </x:c>
      <x:c r="F6" s="18" t="str">
        <x:f>IF($C$1="Estático · r0 · t1 · p1",IF($I$1="Recalculado",'Recalculados'!G12,IF($I$1="Registrado",'Registrados'!G12,'Diferenças'!G12)),"Sem célula")</x:f>
        <x:v>NV</x:v>
      </x:c>
      <x:c r="G6" s="18" t="str">
        <x:f>IF($C$1="Estático · r1 · t1 · p1",IF($I$1="Recalculado",'Recalculados'!G13,IF($I$1="Registrado",'Registrados'!G13,'Diferenças'!G13)),"Sem célula")</x:f>
        <x:v>Sem célula</x:v>
      </x:c>
      <x:c r="H6" s="18" t="n">
        <x:f>IF($C$1="Dinâmico · r0 · t1 · p1",IF($I$1="Recalculado",'Recalculados'!G14,IF($I$1="Registrado",'Registrados'!G14,'Diferenças'!G14)),IF($C$1="Estático · r0 · t1 · p1",IF($I$1="Recalculado",'Recalculados'!G15,IF($I$1="Registrado",'Registrados'!G15,'Diferenças'!G15)),IF($C$1="Est.+din. · r0 · t0.2 · p1",IF($I$1="Recalculado",'Recalculados'!G16,IF($I$1="Registrado",'Registrados'!G16,'Diferenças'!G16)),IF($C$1="Est.+din. · r0 · t1 · p0.5",IF($I$1="Recalculado",'Recalculados'!G17,IF($I$1="Registrado",'Registrados'!G17,'Diferenças'!G17)),IF($C$1="Est.+din. · r0 · t1 · p1",IF($I$1="Recalculado",'Recalculados'!G18,IF($I$1="Registrado",'Registrados'!G18,'Diferenças'!G18)),"Sem célula")))))</x:f>
        <x:v>1337</x:v>
      </x:c>
      <x:c r="I6" s="18" t="str">
        <x:f>IF($C$1="Estático · r1 · t1 · p1",IF($I$1="Recalculado",'Recalculados'!G19,IF($I$1="Registrado",'Registrados'!G19,'Diferenças'!G19)),"Sem célula")</x:f>
        <x:v>Sem célula</x:v>
      </x:c>
      <x:c r="J6" s="18" t="n">
        <x:f>IF($C$1="Dinâmico · r0 · t1 · p1",IF($I$1="Recalculado",'Recalculados'!G20,IF($I$1="Registrado",'Registrados'!G20,'Diferenças'!G20)),IF($C$1="Estático · r0 · t1 · p1",IF($I$1="Recalculado",'Recalculados'!G21,IF($I$1="Registrado",'Registrados'!G21,'Diferenças'!G21)),IF($C$1="Est.+din. · r0 · t1 · p1",IF($I$1="Recalculado",'Recalculados'!G22,IF($I$1="Registrado",'Registrados'!G22,'Diferenças'!G22)),"Sem célula")))</x:f>
        <x:v>629</x:v>
      </x:c>
      <x:c r="K6" s="18" t="str">
        <x:f>IF($C$1="Estático · r1 · t1 · p1",IF($I$1="Recalculado",'Recalculados'!G23,IF($I$1="Registrado",'Registrados'!G23,'Diferenças'!G23)),"Sem célula")</x:f>
        <x:v>Sem célula</x:v>
      </x:c>
      <x:c r="L6" s="18" t="str">
        <x:f>IF($C$1="Estático · r0 · t1 · p1",IF($I$1="Recalculado",'Recalculados'!G24,IF($I$1="Registrado",'Registrados'!G24,'Diferenças'!G24)),"Sem célula")</x:f>
        <x:v>NV</x:v>
      </x:c>
      <x:c r="M6" s="18" t="str">
        <x:f>IF($C$1="Estático · r1 · t1 · p1",IF($I$1="Recalculado",'Recalculados'!G25,IF($I$1="Registrado",'Registrados'!G25,'Diferenças'!G25)),"Sem célula")</x:f>
        <x:v>Sem célula</x:v>
      </x:c>
      <x:c r="N6" s="18" t="n">
        <x:f>IF($C$1="Dinâmico · r0 · t1 · p1",IF($I$1="Recalculado",'Recalculados'!G26,IF($I$1="Registrado",'Registrados'!G26,'Diferenças'!G26)),IF($C$1="Estático · r0 · t0.2 · p1",IF($I$1="Recalculado",'Recalculados'!G27,IF($I$1="Registrado",'Registrados'!G27,'Diferenças'!G27)),IF($C$1="Estático · r0 · t1 · p0.5",IF($I$1="Recalculado",'Recalculados'!G28,IF($I$1="Registrado",'Registrados'!G28,'Diferenças'!G28)),IF($C$1="Estático · r0 · t1 · p1",IF($I$1="Recalculado",'Recalculados'!G29,IF($I$1="Registrado",'Registrados'!G29,'Diferenças'!G29)),IF($C$1="Est.+din. · r0 · t0.2 · p1",IF($I$1="Recalculado",'Recalculados'!G30,IF($I$1="Registrado",'Registrados'!G30,'Diferenças'!G30)),IF($C$1="Est.+din. · r0 · t1 · p0.5",IF($I$1="Recalculado",'Recalculados'!G31,IF($I$1="Registrado",'Registrados'!G31,'Diferenças'!G31)),IF($C$1="Est.+din. · r0 · t1 · p1",IF($I$1="Recalculado",'Recalculados'!G32,IF($I$1="Registrado",'Registrados'!G32,'Diferenças'!G32)),"Sem célula")))))))</x:f>
        <x:v>1082</x:v>
      </x:c>
    </x:row>
    <x:row r="7" ht="31" customHeight="1">
      <x:c r="A7" s="2"/>
      <x:c r="B7" s="9" t="str">
        <x:v>Limpos no fim (%)</x:v>
      </x:c>
      <x:c r="C7" s="20" t="str">
        <x:f>IF($C$1="Estático · r0 · t1 · p1",IF($I$1="Recalculado",'Recalculados'!H3,IF($I$1="Registrado",'Registrados'!H3,'Diferenças'!H3)),"Sem célula")</x:f>
        <x:v>NV</x:v>
      </x:c>
      <x:c r="D7" s="20" t="n">
        <x:f>IF($C$1="Dinâmico · r0 · t1 · p1",IF($I$1="Recalculado",'Recalculados'!H4,IF($I$1="Registrado",'Registrados'!H4,'Diferenças'!H4)),IF($C$1="Estático · r0 · t0.2 · p1",IF($I$1="Recalculado",'Recalculados'!H5,IF($I$1="Registrado",'Registrados'!H5,'Diferenças'!H5)),IF($C$1="Estático · r0 · t1 · p0.5",IF($I$1="Recalculado",'Recalculados'!H6,IF($I$1="Registrado",'Registrados'!H6,'Diferenças'!H6)),IF($C$1="Estático · r0 · t1 · p1",IF($I$1="Recalculado",'Recalculados'!H7,IF($I$1="Registrado",'Registrados'!H7,'Diferenças'!H7)),IF($C$1="Est.+din. · r0 · t0.2 · p1",IF($I$1="Recalculado",'Recalculados'!H8,IF($I$1="Registrado",'Registrados'!H8,'Diferenças'!H8)),IF($C$1="Est.+din. · r0 · t1 · p0.5",IF($I$1="Recalculado",'Recalculados'!H9,IF($I$1="Registrado",'Registrados'!H9,'Diferenças'!H9)),IF($C$1="Est.+din. · r0 · t1 · p1",IF($I$1="Recalculado",'Recalculados'!H10,IF($I$1="Registrado",'Registrados'!H10,'Diferenças'!H10)),"Sem célula")))))))</x:f>
        <x:v>0.9692</x:v>
      </x:c>
      <x:c r="E7" s="20" t="str">
        <x:f>IF($C$1="Estático · r1 · t1 · p1",IF($I$1="Recalculado",'Recalculados'!H11,IF($I$1="Registrado",'Registrados'!H11,'Diferenças'!H11)),"Sem célula")</x:f>
        <x:v>Sem célula</x:v>
      </x:c>
      <x:c r="F7" s="20" t="str">
        <x:f>IF($C$1="Estático · r0 · t1 · p1",IF($I$1="Recalculado",'Recalculados'!H12,IF($I$1="Registrado",'Registrados'!H12,'Diferenças'!H12)),"Sem célula")</x:f>
        <x:v>NV</x:v>
      </x:c>
      <x:c r="G7" s="20" t="str">
        <x:f>IF($C$1="Estático · r1 · t1 · p1",IF($I$1="Recalculado",'Recalculados'!H13,IF($I$1="Registrado",'Registrados'!H13,'Diferenças'!H13)),"Sem célula")</x:f>
        <x:v>Sem célula</x:v>
      </x:c>
      <x:c r="H7" s="20" t="n">
        <x:f>IF($C$1="Dinâmico · r0 · t1 · p1",IF($I$1="Recalculado",'Recalculados'!H14,IF($I$1="Registrado",'Registrados'!H14,'Diferenças'!H14)),IF($C$1="Estático · r0 · t1 · p1",IF($I$1="Recalculado",'Recalculados'!H15,IF($I$1="Registrado",'Registrados'!H15,'Diferenças'!H15)),IF($C$1="Est.+din. · r0 · t0.2 · p1",IF($I$1="Recalculado",'Recalculados'!H16,IF($I$1="Registrado",'Registrados'!H16,'Diferenças'!H16)),IF($C$1="Est.+din. · r0 · t1 · p0.5",IF($I$1="Recalculado",'Recalculados'!H17,IF($I$1="Registrado",'Registrados'!H17,'Diferenças'!H17)),IF($C$1="Est.+din. · r0 · t1 · p1",IF($I$1="Recalculado",'Recalculados'!H18,IF($I$1="Registrado",'Registrados'!H18,'Diferenças'!H18)),"Sem célula")))))</x:f>
        <x:v>0.9473</x:v>
      </x:c>
      <x:c r="I7" s="20" t="str">
        <x:f>IF($C$1="Estático · r1 · t1 · p1",IF($I$1="Recalculado",'Recalculados'!H19,IF($I$1="Registrado",'Registrados'!H19,'Diferenças'!H19)),"Sem célula")</x:f>
        <x:v>Sem célula</x:v>
      </x:c>
      <x:c r="J7" s="20" t="n">
        <x:f>IF($C$1="Dinâmico · r0 · t1 · p1",IF($I$1="Recalculado",'Recalculados'!H20,IF($I$1="Registrado",'Registrados'!H20,'Diferenças'!H20)),IF($C$1="Estático · r0 · t1 · p1",IF($I$1="Recalculado",'Recalculados'!H21,IF($I$1="Registrado",'Registrados'!H21,'Diferenças'!H21)),IF($C$1="Est.+din. · r0 · t1 · p1",IF($I$1="Recalculado",'Recalculados'!H22,IF($I$1="Registrado",'Registrados'!H22,'Diferenças'!H22)),"Sem célula")))</x:f>
        <x:v>0.9969</x:v>
      </x:c>
      <x:c r="K7" s="20" t="str">
        <x:f>IF($C$1="Estático · r1 · t1 · p1",IF($I$1="Recalculado",'Recalculados'!H23,IF($I$1="Registrado",'Registrados'!H23,'Diferenças'!H23)),"Sem célula")</x:f>
        <x:v>Sem célula</x:v>
      </x:c>
      <x:c r="L7" s="20" t="str">
        <x:f>IF($C$1="Estático · r0 · t1 · p1",IF($I$1="Recalculado",'Recalculados'!H24,IF($I$1="Registrado",'Registrados'!H24,'Diferenças'!H24)),"Sem célula")</x:f>
        <x:v>NV</x:v>
      </x:c>
      <x:c r="M7" s="20" t="str">
        <x:f>IF($C$1="Estático · r1 · t1 · p1",IF($I$1="Recalculado",'Recalculados'!H25,IF($I$1="Registrado",'Registrados'!H25,'Diferenças'!H25)),"Sem célula")</x:f>
        <x:v>Sem célula</x:v>
      </x:c>
      <x:c r="N7" s="20" t="n">
        <x:f>IF($C$1="Dinâmico · r0 · t1 · p1",IF($I$1="Recalculado",'Recalculados'!H26,IF($I$1="Registrado",'Registrados'!H26,'Diferenças'!H26)),IF($C$1="Estático · r0 · t0.2 · p1",IF($I$1="Recalculado",'Recalculados'!H27,IF($I$1="Registrado",'Registrados'!H27,'Diferenças'!H27)),IF($C$1="Estático · r0 · t1 · p0.5",IF($I$1="Recalculado",'Recalculados'!H28,IF($I$1="Registrado",'Registrados'!H28,'Diferenças'!H28)),IF($C$1="Estático · r0 · t1 · p1",IF($I$1="Recalculado",'Recalculados'!H29,IF($I$1="Registrado",'Registrados'!H29,'Diferenças'!H29)),IF($C$1="Est.+din. · r0 · t0.2 · p1",IF($I$1="Recalculado",'Recalculados'!H30,IF($I$1="Registrado",'Registrados'!H30,'Diferenças'!H30)),IF($C$1="Est.+din. · r0 · t1 · p0.5",IF($I$1="Recalculado",'Recalculados'!H31,IF($I$1="Registrado",'Registrados'!H31,'Diferenças'!H31)),IF($C$1="Est.+din. · r0 · t1 · p1",IF($I$1="Recalculado",'Recalculados'!H32,IF($I$1="Registrado",'Registrados'!H32,'Diferenças'!H32)),"Sem célula")))))))</x:f>
        <x:v>0.9877</x:v>
      </x:c>
    </x:row>
    <x:row r="8" ht="31" customHeight="1">
      <x:c r="A8" s="2"/>
      <x:c r="B8" s="9" t="str">
        <x:v>Compilam (n)</x:v>
      </x:c>
      <x:c r="C8" s="18" t="str">
        <x:f>IF($C$1="Estático · r0 · t1 · p1",IF($I$1="Recalculado",'Recalculados'!I3,IF($I$1="Registrado",'Registrados'!I3,'Diferenças'!I3)),"Sem célula")</x:f>
        <x:v>NV</x:v>
      </x:c>
      <x:c r="D8" s="18" t="str">
        <x:f>IF($C$1="Dinâmico · r0 · t1 · p1",IF($I$1="Recalculado",'Recalculados'!I4,IF($I$1="Registrado",'Registrados'!I4,'Diferenças'!I4)),IF($C$1="Estático · r0 · t0.2 · p1",IF($I$1="Recalculado",'Recalculados'!I5,IF($I$1="Registrado",'Registrados'!I5,'Diferenças'!I5)),IF($C$1="Estático · r0 · t1 · p0.5",IF($I$1="Recalculado",'Recalculados'!I6,IF($I$1="Registrado",'Registrados'!I6,'Diferenças'!I6)),IF($C$1="Estático · r0 · t1 · p1",IF($I$1="Recalculado",'Recalculados'!I7,IF($I$1="Registrado",'Registrados'!I7,'Diferenças'!I7)),IF($C$1="Est.+din. · r0 · t0.2 · p1",IF($I$1="Recalculado",'Recalculados'!I8,IF($I$1="Registrado",'Registrados'!I8,'Diferenças'!I8)),IF($C$1="Est.+din. · r0 · t1 · p0.5",IF($I$1="Recalculado",'Recalculados'!I9,IF($I$1="Registrado",'Registrados'!I9,'Diferenças'!I9)),IF($C$1="Est.+din. · r0 · t1 · p1",IF($I$1="Recalculado",'Recalculados'!I10,IF($I$1="Registrado",'Registrados'!I10,'Diferenças'!I10)),"Sem célula")))))))</x:f>
        <x:v>NV</x:v>
      </x:c>
      <x:c r="E8" s="18" t="str">
        <x:f>IF($C$1="Estático · r1 · t1 · p1",IF($I$1="Recalculado",'Recalculados'!I11,IF($I$1="Registrado",'Registrados'!I11,'Diferenças'!I11)),"Sem célula")</x:f>
        <x:v>Sem célula</x:v>
      </x:c>
      <x:c r="F8" s="18" t="str">
        <x:f>IF($C$1="Estático · r0 · t1 · p1",IF($I$1="Recalculado",'Recalculados'!I12,IF($I$1="Registrado",'Registrados'!I12,'Diferenças'!I12)),"Sem célula")</x:f>
        <x:v>NV</x:v>
      </x:c>
      <x:c r="G8" s="18" t="str">
        <x:f>IF($C$1="Estático · r1 · t1 · p1",IF($I$1="Recalculado",'Recalculados'!I13,IF($I$1="Registrado",'Registrados'!I13,'Diferenças'!I13)),"Sem célula")</x:f>
        <x:v>Sem célula</x:v>
      </x:c>
      <x:c r="H8" s="18" t="str">
        <x:f>IF($C$1="Dinâmico · r0 · t1 · p1",IF($I$1="Recalculado",'Recalculados'!I14,IF($I$1="Registrado",'Registrados'!I14,'Diferenças'!I14)),IF($C$1="Estático · r0 · t1 · p1",IF($I$1="Recalculado",'Recalculados'!I15,IF($I$1="Registrado",'Registrados'!I15,'Diferenças'!I15)),IF($C$1="Est.+din. · r0 · t0.2 · p1",IF($I$1="Recalculado",'Recalculados'!I16,IF($I$1="Registrado",'Registrados'!I16,'Diferenças'!I16)),IF($C$1="Est.+din. · r0 · t1 · p0.5",IF($I$1="Recalculado",'Recalculados'!I17,IF($I$1="Registrado",'Registrados'!I17,'Diferenças'!I17)),IF($C$1="Est.+din. · r0 · t1 · p1",IF($I$1="Recalculado",'Recalculados'!I18,IF($I$1="Registrado",'Registrados'!I18,'Diferenças'!I18)),"Sem célula")))))</x:f>
        <x:v>NV</x:v>
      </x:c>
      <x:c r="I8" s="18" t="str">
        <x:f>IF($C$1="Estático · r1 · t1 · p1",IF($I$1="Recalculado",'Recalculados'!I19,IF($I$1="Registrado",'Registrados'!I19,'Diferenças'!I19)),"Sem célula")</x:f>
        <x:v>Sem célula</x:v>
      </x:c>
      <x:c r="J8" s="18" t="str">
        <x:f>IF($C$1="Dinâmico · r0 · t1 · p1",IF($I$1="Recalculado",'Recalculados'!I20,IF($I$1="Registrado",'Registrados'!I20,'Diferenças'!I20)),IF($C$1="Estático · r0 · t1 · p1",IF($I$1="Recalculado",'Recalculados'!I21,IF($I$1="Registrado",'Registrados'!I21,'Diferenças'!I21)),IF($C$1="Est.+din. · r0 · t1 · p1",IF($I$1="Recalculado",'Recalculados'!I22,IF($I$1="Registrado",'Registrados'!I22,'Diferenças'!I22)),"Sem célula")))</x:f>
        <x:v>NV</x:v>
      </x:c>
      <x:c r="K8" s="18" t="str">
        <x:f>IF($C$1="Estático · r1 · t1 · p1",IF($I$1="Recalculado",'Recalculados'!I23,IF($I$1="Registrado",'Registrados'!I23,'Diferenças'!I23)),"Sem célula")</x:f>
        <x:v>Sem célula</x:v>
      </x:c>
      <x:c r="L8" s="18" t="str">
        <x:f>IF($C$1="Estático · r0 · t1 · p1",IF($I$1="Recalculado",'Recalculados'!I24,IF($I$1="Registrado",'Registrados'!I24,'Diferenças'!I24)),"Sem célula")</x:f>
        <x:v>NV</x:v>
      </x:c>
      <x:c r="M8" s="18" t="str">
        <x:f>IF($C$1="Estático · r1 · t1 · p1",IF($I$1="Recalculado",'Recalculados'!I25,IF($I$1="Registrado",'Registrados'!I25,'Diferenças'!I25)),"Sem célula")</x:f>
        <x:v>Sem célula</x:v>
      </x:c>
      <x:c r="N8" s="18" t="str">
        <x:f>IF($C$1="Dinâmico · r0 · t1 · p1",IF($I$1="Recalculado",'Recalculados'!I26,IF($I$1="Registrado",'Registrados'!I26,'Diferenças'!I26)),IF($C$1="Estático · r0 · t0.2 · p1",IF($I$1="Recalculado",'Recalculados'!I27,IF($I$1="Registrado",'Registrados'!I27,'Diferenças'!I27)),IF($C$1="Estático · r0 · t1 · p0.5",IF($I$1="Recalculado",'Recalculados'!I28,IF($I$1="Registrado",'Registrados'!I28,'Diferenças'!I28)),IF($C$1="Estático · r0 · t1 · p1",IF($I$1="Recalculado",'Recalculados'!I29,IF($I$1="Registrado",'Registrados'!I29,'Diferenças'!I29)),IF($C$1="Est.+din. · r0 · t0.2 · p1",IF($I$1="Recalculado",'Recalculados'!I30,IF($I$1="Registrado",'Registrados'!I30,'Diferenças'!I30)),IF($C$1="Est.+din. · r0 · t1 · p0.5",IF($I$1="Recalculado",'Recalculados'!I31,IF($I$1="Registrado",'Registrados'!I31,'Diferenças'!I31)),IF($C$1="Est.+din. · r0 · t1 · p1",IF($I$1="Recalculado",'Recalculados'!I32,IF($I$1="Registrado",'Registrados'!I32,'Diferenças'!I32)),"Sem célula")))))))</x:f>
        <x:v>NV</x:v>
      </x:c>
    </x:row>
    <x:row r="9" ht="31" customHeight="1">
      <x:c r="A9" s="2"/>
      <x:c r="B9" s="9" t="str">
        <x:v>Com alerta: GCC</x:v>
      </x:c>
      <x:c r="C9" s="18" t="n">
        <x:f>IF($C$1="Estático · r0 · t1 · p1",IF($I$1="Recalculado",'Recalculados'!J3,IF($I$1="Registrado",'Registrados'!J3,'Diferenças'!J3)),"Sem célula")</x:f>
        <x:v>0</x:v>
      </x:c>
      <x:c r="D9" s="18" t="n">
        <x:f>IF($C$1="Dinâmico · r0 · t1 · p1",IF($I$1="Recalculado",'Recalculados'!J4,IF($I$1="Registrado",'Registrados'!J4,'Diferenças'!J4)),IF($C$1="Estático · r0 · t0.2 · p1",IF($I$1="Recalculado",'Recalculados'!J5,IF($I$1="Registrado",'Registrados'!J5,'Diferenças'!J5)),IF($C$1="Estático · r0 · t1 · p0.5",IF($I$1="Recalculado",'Recalculados'!J6,IF($I$1="Registrado",'Registrados'!J6,'Diferenças'!J6)),IF($C$1="Estático · r0 · t1 · p1",IF($I$1="Recalculado",'Recalculados'!J7,IF($I$1="Registrado",'Registrados'!J7,'Diferenças'!J7)),IF($C$1="Est.+din. · r0 · t0.2 · p1",IF($I$1="Recalculado",'Recalculados'!J8,IF($I$1="Registrado",'Registrados'!J8,'Diferenças'!J8)),IF($C$1="Est.+din. · r0 · t1 · p0.5",IF($I$1="Recalculado",'Recalculados'!J9,IF($I$1="Registrado",'Registrados'!J9,'Diferenças'!J9)),IF($C$1="Est.+din. · r0 · t1 · p1",IF($I$1="Recalculado",'Recalculados'!J10,IF($I$1="Registrado",'Registrados'!J10,'Diferenças'!J10)),"Sem célula")))))))</x:f>
        <x:v>60</x:v>
      </x:c>
      <x:c r="E9" s="18" t="str">
        <x:f>IF($C$1="Estático · r1 · t1 · p1",IF($I$1="Recalculado",'Recalculados'!J11,IF($I$1="Registrado",'Registrados'!J11,'Diferenças'!J11)),"Sem célula")</x:f>
        <x:v>Sem célula</x:v>
      </x:c>
      <x:c r="F9" s="18" t="n">
        <x:f>IF($C$1="Estático · r0 · t1 · p1",IF($I$1="Recalculado",'Recalculados'!J12,IF($I$1="Registrado",'Registrados'!J12,'Diferenças'!J12)),"Sem célula")</x:f>
        <x:v>0</x:v>
      </x:c>
      <x:c r="G9" s="18" t="str">
        <x:f>IF($C$1="Estático · r1 · t1 · p1",IF($I$1="Recalculado",'Recalculados'!J13,IF($I$1="Registrado",'Registrados'!J13,'Diferenças'!J13)),"Sem célula")</x:f>
        <x:v>Sem célula</x:v>
      </x:c>
      <x:c r="H9" s="18" t="n">
        <x:f>IF($C$1="Dinâmico · r0 · t1 · p1",IF($I$1="Recalculado",'Recalculados'!J14,IF($I$1="Registrado",'Registrados'!J14,'Diferenças'!J14)),IF($C$1="Estático · r0 · t1 · p1",IF($I$1="Recalculado",'Recalculados'!J15,IF($I$1="Registrado",'Registrados'!J15,'Diferenças'!J15)),IF($C$1="Est.+din. · r0 · t0.2 · p1",IF($I$1="Recalculado",'Recalculados'!J16,IF($I$1="Registrado",'Registrados'!J16,'Diferenças'!J16)),IF($C$1="Est.+din. · r0 · t1 · p0.5",IF($I$1="Recalculado",'Recalculados'!J17,IF($I$1="Registrado",'Registrados'!J17,'Diferenças'!J17)),IF($C$1="Est.+din. · r0 · t1 · p1",IF($I$1="Recalculado",'Recalculados'!J18,IF($I$1="Registrado",'Registrados'!J18,'Diferenças'!J18)),"Sem célula")))))</x:f>
        <x:v>173</x:v>
      </x:c>
      <x:c r="I9" s="18" t="str">
        <x:f>IF($C$1="Estático · r1 · t1 · p1",IF($I$1="Recalculado",'Recalculados'!J19,IF($I$1="Registrado",'Registrados'!J19,'Diferenças'!J19)),"Sem célula")</x:f>
        <x:v>Sem célula</x:v>
      </x:c>
      <x:c r="J9" s="18" t="n">
        <x:f>IF($C$1="Dinâmico · r0 · t1 · p1",IF($I$1="Recalculado",'Recalculados'!J20,IF($I$1="Registrado",'Registrados'!J20,'Diferenças'!J20)),IF($C$1="Estático · r0 · t1 · p1",IF($I$1="Recalculado",'Recalculados'!J21,IF($I$1="Registrado",'Registrados'!J21,'Diferenças'!J21)),IF($C$1="Est.+din. · r0 · t1 · p1",IF($I$1="Recalculado",'Recalculados'!J22,IF($I$1="Registrado",'Registrados'!J22,'Diferenças'!J22)),"Sem célula")))</x:f>
        <x:v>30</x:v>
      </x:c>
      <x:c r="K9" s="18" t="str">
        <x:f>IF($C$1="Estático · r1 · t1 · p1",IF($I$1="Recalculado",'Recalculados'!J23,IF($I$1="Registrado",'Registrados'!J23,'Diferenças'!J23)),"Sem célula")</x:f>
        <x:v>Sem célula</x:v>
      </x:c>
      <x:c r="L9" s="18" t="n">
        <x:f>IF($C$1="Estático · r0 · t1 · p1",IF($I$1="Recalculado",'Recalculados'!J24,IF($I$1="Registrado",'Registrados'!J24,'Diferenças'!J24)),"Sem célula")</x:f>
        <x:v>0</x:v>
      </x:c>
      <x:c r="M9" s="18" t="str">
        <x:f>IF($C$1="Estático · r1 · t1 · p1",IF($I$1="Recalculado",'Recalculados'!J25,IF($I$1="Registrado",'Registrados'!J25,'Diferenças'!J25)),"Sem célula")</x:f>
        <x:v>Sem célula</x:v>
      </x:c>
      <x:c r="N9" s="18" t="n">
        <x:f>IF($C$1="Dinâmico · r0 · t1 · p1",IF($I$1="Recalculado",'Recalculados'!J26,IF($I$1="Registrado",'Registrados'!J26,'Diferenças'!J26)),IF($C$1="Estático · r0 · t0.2 · p1",IF($I$1="Recalculado",'Recalculados'!J27,IF($I$1="Registrado",'Registrados'!J27,'Diferenças'!J27)),IF($C$1="Estático · r0 · t1 · p0.5",IF($I$1="Recalculado",'Recalculados'!J28,IF($I$1="Registrado",'Registrados'!J28,'Diferenças'!J28)),IF($C$1="Estático · r0 · t1 · p1",IF($I$1="Recalculado",'Recalculados'!J29,IF($I$1="Registrado",'Registrados'!J29,'Diferenças'!J29)),IF($C$1="Est.+din. · r0 · t0.2 · p1",IF($I$1="Recalculado",'Recalculados'!J30,IF($I$1="Registrado",'Registrados'!J30,'Diferenças'!J30)),IF($C$1="Est.+din. · r0 · t1 · p0.5",IF($I$1="Recalculado",'Recalculados'!J31,IF($I$1="Registrado",'Registrados'!J31,'Diferenças'!J31)),IF($C$1="Est.+din. · r0 · t1 · p1",IF($I$1="Recalculado",'Recalculados'!J32,IF($I$1="Registrado",'Registrados'!J32,'Diferenças'!J32)),"Sem célula")))))))</x:f>
        <x:v>179</x:v>
      </x:c>
    </x:row>
    <x:row r="10" ht="31" customHeight="1">
      <x:c r="A10" s="2"/>
      <x:c r="B10" s="9" t="str">
        <x:v>Com alerta: Clang</x:v>
      </x:c>
      <x:c r="C10" s="18" t="n">
        <x:f>IF($C$1="Estático · r0 · t1 · p1",IF($I$1="Recalculado",'Recalculados'!K3,IF($I$1="Registrado",'Registrados'!K3,'Diferenças'!K3)),"Sem célula")</x:f>
        <x:v>0</x:v>
      </x:c>
      <x:c r="D10" s="18" t="n">
        <x:f>IF($C$1="Dinâmico · r0 · t1 · p1",IF($I$1="Recalculado",'Recalculados'!K4,IF($I$1="Registrado",'Registrados'!K4,'Diferenças'!K4)),IF($C$1="Estático · r0 · t0.2 · p1",IF($I$1="Recalculado",'Recalculados'!K5,IF($I$1="Registrado",'Registrados'!K5,'Diferenças'!K5)),IF($C$1="Estático · r0 · t1 · p0.5",IF($I$1="Recalculado",'Recalculados'!K6,IF($I$1="Registrado",'Registrados'!K6,'Diferenças'!K6)),IF($C$1="Estático · r0 · t1 · p1",IF($I$1="Recalculado",'Recalculados'!K7,IF($I$1="Registrado",'Registrados'!K7,'Diferenças'!K7)),IF($C$1="Est.+din. · r0 · t0.2 · p1",IF($I$1="Recalculado",'Recalculados'!K8,IF($I$1="Registrado",'Registrados'!K8,'Diferenças'!K8)),IF($C$1="Est.+din. · r0 · t1 · p0.5",IF($I$1="Recalculado",'Recalculados'!K9,IF($I$1="Registrado",'Registrados'!K9,'Diferenças'!K9)),IF($C$1="Est.+din. · r0 · t1 · p1",IF($I$1="Recalculado",'Recalculados'!K10,IF($I$1="Registrado",'Registrados'!K10,'Diferenças'!K10)),"Sem célula")))))))</x:f>
        <x:v>71</x:v>
      </x:c>
      <x:c r="E10" s="18" t="str">
        <x:f>IF($C$1="Estático · r1 · t1 · p1",IF($I$1="Recalculado",'Recalculados'!K11,IF($I$1="Registrado",'Registrados'!K11,'Diferenças'!K11)),"Sem célula")</x:f>
        <x:v>Sem célula</x:v>
      </x:c>
      <x:c r="F10" s="18" t="n">
        <x:f>IF($C$1="Estático · r0 · t1 · p1",IF($I$1="Recalculado",'Recalculados'!K12,IF($I$1="Registrado",'Registrados'!K12,'Diferenças'!K12)),"Sem célula")</x:f>
        <x:v>0</x:v>
      </x:c>
      <x:c r="G10" s="18" t="str">
        <x:f>IF($C$1="Estático · r1 · t1 · p1",IF($I$1="Recalculado",'Recalculados'!K13,IF($I$1="Registrado",'Registrados'!K13,'Diferenças'!K13)),"Sem célula")</x:f>
        <x:v>Sem célula</x:v>
      </x:c>
      <x:c r="H10" s="18" t="n">
        <x:f>IF($C$1="Dinâmico · r0 · t1 · p1",IF($I$1="Recalculado",'Recalculados'!K14,IF($I$1="Registrado",'Registrados'!K14,'Diferenças'!K14)),IF($C$1="Estático · r0 · t1 · p1",IF($I$1="Recalculado",'Recalculados'!K15,IF($I$1="Registrado",'Registrados'!K15,'Diferenças'!K15)),IF($C$1="Est.+din. · r0 · t0.2 · p1",IF($I$1="Recalculado",'Recalculados'!K16,IF($I$1="Registrado",'Registrados'!K16,'Diferenças'!K16)),IF($C$1="Est.+din. · r0 · t1 · p0.5",IF($I$1="Recalculado",'Recalculados'!K17,IF($I$1="Registrado",'Registrados'!K17,'Diferenças'!K17)),IF($C$1="Est.+din. · r0 · t1 · p1",IF($I$1="Recalculado",'Recalculados'!K18,IF($I$1="Registrado",'Registrados'!K18,'Diferenças'!K18)),"Sem célula")))))</x:f>
        <x:v>199</x:v>
      </x:c>
      <x:c r="I10" s="18" t="str">
        <x:f>IF($C$1="Estático · r1 · t1 · p1",IF($I$1="Recalculado",'Recalculados'!K19,IF($I$1="Registrado",'Registrados'!K19,'Diferenças'!K19)),"Sem célula")</x:f>
        <x:v>Sem célula</x:v>
      </x:c>
      <x:c r="J10" s="18" t="n">
        <x:f>IF($C$1="Dinâmico · r0 · t1 · p1",IF($I$1="Recalculado",'Recalculados'!K20,IF($I$1="Registrado",'Registrados'!K20,'Diferenças'!K20)),IF($C$1="Estático · r0 · t1 · p1",IF($I$1="Recalculado",'Recalculados'!K21,IF($I$1="Registrado",'Registrados'!K21,'Diferenças'!K21)),IF($C$1="Est.+din. · r0 · t1 · p1",IF($I$1="Recalculado",'Recalculados'!K22,IF($I$1="Registrado",'Registrados'!K22,'Diferenças'!K22)),"Sem célula")))</x:f>
        <x:v>45</x:v>
      </x:c>
      <x:c r="K10" s="18" t="str">
        <x:f>IF($C$1="Estático · r1 · t1 · p1",IF($I$1="Recalculado",'Recalculados'!K23,IF($I$1="Registrado",'Registrados'!K23,'Diferenças'!K23)),"Sem célula")</x:f>
        <x:v>Sem célula</x:v>
      </x:c>
      <x:c r="L10" s="18" t="n">
        <x:f>IF($C$1="Estático · r0 · t1 · p1",IF($I$1="Recalculado",'Recalculados'!K24,IF($I$1="Registrado",'Registrados'!K24,'Diferenças'!K24)),"Sem célula")</x:f>
        <x:v>0</x:v>
      </x:c>
      <x:c r="M10" s="18" t="str">
        <x:f>IF($C$1="Estático · r1 · t1 · p1",IF($I$1="Recalculado",'Recalculados'!K25,IF($I$1="Registrado",'Registrados'!K25,'Diferenças'!K25)),"Sem célula")</x:f>
        <x:v>Sem célula</x:v>
      </x:c>
      <x:c r="N10" s="18" t="n">
        <x:f>IF($C$1="Dinâmico · r0 · t1 · p1",IF($I$1="Recalculado",'Recalculados'!K26,IF($I$1="Registrado",'Registrados'!K26,'Diferenças'!K26)),IF($C$1="Estático · r0 · t0.2 · p1",IF($I$1="Recalculado",'Recalculados'!K27,IF($I$1="Registrado",'Registrados'!K27,'Diferenças'!K27)),IF($C$1="Estático · r0 · t1 · p0.5",IF($I$1="Recalculado",'Recalculados'!K28,IF($I$1="Registrado",'Registrados'!K28,'Diferenças'!K28)),IF($C$1="Estático · r0 · t1 · p1",IF($I$1="Recalculado",'Recalculados'!K29,IF($I$1="Registrado",'Registrados'!K29,'Diferenças'!K29)),IF($C$1="Est.+din. · r0 · t0.2 · p1",IF($I$1="Recalculado",'Recalculados'!K30,IF($I$1="Registrado",'Registrados'!K30,'Diferenças'!K30)),IF($C$1="Est.+din. · r0 · t1 · p0.5",IF($I$1="Recalculado",'Recalculados'!K31,IF($I$1="Registrado",'Registrados'!K31,'Diferenças'!K31)),IF($C$1="Est.+din. · r0 · t1 · p1",IF($I$1="Recalculado",'Recalculados'!K32,IF($I$1="Registrado",'Registrados'!K32,'Diferenças'!K32)),"Sem célula")))))))</x:f>
        <x:v>176</x:v>
      </x:c>
    </x:row>
    <x:row r="11" ht="31" customHeight="1">
      <x:c r="A11" s="2"/>
      <x:c r="B11" s="9" t="str">
        <x:v>Com alerta: Cppcheck</x:v>
      </x:c>
      <x:c r="C11" s="18" t="n">
        <x:f>IF($C$1="Estático · r0 · t1 · p1",IF($I$1="Recalculado",'Recalculados'!L3,IF($I$1="Registrado",'Registrados'!L3,'Diferenças'!L3)),"Sem célula")</x:f>
        <x:v>0</x:v>
      </x:c>
      <x:c r="D11" s="18" t="n">
        <x:f>IF($C$1="Dinâmico · r0 · t1 · p1",IF($I$1="Recalculado",'Recalculados'!L4,IF($I$1="Registrado",'Registrados'!L4,'Diferenças'!L4)),IF($C$1="Estático · r0 · t0.2 · p1",IF($I$1="Recalculado",'Recalculados'!L5,IF($I$1="Registrado",'Registrados'!L5,'Diferenças'!L5)),IF($C$1="Estático · r0 · t1 · p0.5",IF($I$1="Recalculado",'Recalculados'!L6,IF($I$1="Registrado",'Registrados'!L6,'Diferenças'!L6)),IF($C$1="Estático · r0 · t1 · p1",IF($I$1="Recalculado",'Recalculados'!L7,IF($I$1="Registrado",'Registrados'!L7,'Diferenças'!L7)),IF($C$1="Est.+din. · r0 · t0.2 · p1",IF($I$1="Recalculado",'Recalculados'!L8,IF($I$1="Registrado",'Registrados'!L8,'Diferenças'!L8)),IF($C$1="Est.+din. · r0 · t1 · p0.5",IF($I$1="Recalculado",'Recalculados'!L9,IF($I$1="Registrado",'Registrados'!L9,'Diferenças'!L9)),IF($C$1="Est.+din. · r0 · t1 · p1",IF($I$1="Recalculado",'Recalculados'!L10,IF($I$1="Registrado",'Registrados'!L10,'Diferenças'!L10)),"Sem célula")))))))</x:f>
        <x:v>968</x:v>
      </x:c>
      <x:c r="E11" s="18" t="str">
        <x:f>IF($C$1="Estático · r1 · t1 · p1",IF($I$1="Recalculado",'Recalculados'!L11,IF($I$1="Registrado",'Registrados'!L11,'Diferenças'!L11)),"Sem célula")</x:f>
        <x:v>Sem célula</x:v>
      </x:c>
      <x:c r="F11" s="18" t="n">
        <x:f>IF($C$1="Estático · r0 · t1 · p1",IF($I$1="Recalculado",'Recalculados'!L12,IF($I$1="Registrado",'Registrados'!L12,'Diferenças'!L12)),"Sem célula")</x:f>
        <x:v>0</x:v>
      </x:c>
      <x:c r="G11" s="18" t="str">
        <x:f>IF($C$1="Estático · r1 · t1 · p1",IF($I$1="Recalculado",'Recalculados'!L13,IF($I$1="Registrado",'Registrados'!L13,'Diferenças'!L13)),"Sem célula")</x:f>
        <x:v>Sem célula</x:v>
      </x:c>
      <x:c r="H11" s="18" t="n">
        <x:f>IF($C$1="Dinâmico · r0 · t1 · p1",IF($I$1="Recalculado",'Recalculados'!L14,IF($I$1="Registrado",'Registrados'!L14,'Diferenças'!L14)),IF($C$1="Estático · r0 · t1 · p1",IF($I$1="Recalculado",'Recalculados'!L15,IF($I$1="Registrado",'Registrados'!L15,'Diferenças'!L15)),IF($C$1="Est.+din. · r0 · t0.2 · p1",IF($I$1="Recalculado",'Recalculados'!L16,IF($I$1="Registrado",'Registrados'!L16,'Diferenças'!L16)),IF($C$1="Est.+din. · r0 · t1 · p0.5",IF($I$1="Recalculado",'Recalculados'!L17,IF($I$1="Registrado",'Registrados'!L17,'Diferenças'!L17)),IF($C$1="Est.+din. · r0 · t1 · p1",IF($I$1="Recalculado",'Recalculados'!L18,IF($I$1="Registrado",'Registrados'!L18,'Diferenças'!L18)),"Sem célula")))))</x:f>
        <x:v>1447</x:v>
      </x:c>
      <x:c r="I11" s="18" t="str">
        <x:f>IF($C$1="Estático · r1 · t1 · p1",IF($I$1="Recalculado",'Recalculados'!L19,IF($I$1="Registrado",'Registrados'!L19,'Diferenças'!L19)),"Sem célula")</x:f>
        <x:v>Sem célula</x:v>
      </x:c>
      <x:c r="J11" s="18" t="n">
        <x:f>IF($C$1="Dinâmico · r0 · t1 · p1",IF($I$1="Recalculado",'Recalculados'!L20,IF($I$1="Registrado",'Registrados'!L20,'Diferenças'!L20)),IF($C$1="Estático · r0 · t1 · p1",IF($I$1="Recalculado",'Recalculados'!L21,IF($I$1="Registrado",'Registrados'!L21,'Diferenças'!L21)),IF($C$1="Est.+din. · r0 · t1 · p1",IF($I$1="Recalculado",'Recalculados'!L22,IF($I$1="Registrado",'Registrados'!L22,'Diferenças'!L22)),"Sem célula")))</x:f>
        <x:v>615</x:v>
      </x:c>
      <x:c r="K11" s="18" t="str">
        <x:f>IF($C$1="Estático · r1 · t1 · p1",IF($I$1="Recalculado",'Recalculados'!L23,IF($I$1="Registrado",'Registrados'!L23,'Diferenças'!L23)),"Sem célula")</x:f>
        <x:v>Sem célula</x:v>
      </x:c>
      <x:c r="L11" s="18" t="n">
        <x:f>IF($C$1="Estático · r0 · t1 · p1",IF($I$1="Recalculado",'Recalculados'!L24,IF($I$1="Registrado",'Registrados'!L24,'Diferenças'!L24)),"Sem célula")</x:f>
        <x:v>0</x:v>
      </x:c>
      <x:c r="M11" s="18" t="str">
        <x:f>IF($C$1="Estático · r1 · t1 · p1",IF($I$1="Recalculado",'Recalculados'!L25,IF($I$1="Registrado",'Registrados'!L25,'Diferenças'!L25)),"Sem célula")</x:f>
        <x:v>Sem célula</x:v>
      </x:c>
      <x:c r="N11" s="18" t="n">
        <x:f>IF($C$1="Dinâmico · r0 · t1 · p1",IF($I$1="Recalculado",'Recalculados'!L26,IF($I$1="Registrado",'Registrados'!L26,'Diferenças'!L26)),IF($C$1="Estático · r0 · t0.2 · p1",IF($I$1="Recalculado",'Recalculados'!L27,IF($I$1="Registrado",'Registrados'!L27,'Diferenças'!L27)),IF($C$1="Estático · r0 · t1 · p0.5",IF($I$1="Recalculado",'Recalculados'!L28,IF($I$1="Registrado",'Registrados'!L28,'Diferenças'!L28)),IF($C$1="Estático · r0 · t1 · p1",IF($I$1="Recalculado",'Recalculados'!L29,IF($I$1="Registrado",'Registrados'!L29,'Diferenças'!L29)),IF($C$1="Est.+din. · r0 · t0.2 · p1",IF($I$1="Recalculado",'Recalculados'!L30,IF($I$1="Registrado",'Registrados'!L30,'Diferenças'!L30)),IF($C$1="Est.+din. · r0 · t1 · p0.5",IF($I$1="Recalculado",'Recalculados'!L31,IF($I$1="Registrado",'Registrados'!L31,'Diferenças'!L31)),IF($C$1="Est.+din. · r0 · t1 · p1",IF($I$1="Recalculado",'Recalculados'!L32,IF($I$1="Registrado",'Registrados'!L32,'Diferenças'!L32)),"Sem célula")))))))</x:f>
        <x:v>1007</x:v>
      </x:c>
    </x:row>
    <x:row r="12" ht="31" customHeight="1">
      <x:c r="A12" s="2"/>
      <x:c r="B12" s="9" t="str">
        <x:v>Com alerta: Flawfinder</x:v>
      </x:c>
      <x:c r="C12" s="18" t="n">
        <x:f>IF($C$1="Estático · r0 · t1 · p1",IF($I$1="Recalculado",'Recalculados'!M3,IF($I$1="Registrado",'Registrados'!M3,'Diferenças'!M3)),"Sem célula")</x:f>
        <x:v>0</x:v>
      </x:c>
      <x:c r="D12" s="18" t="n">
        <x:f>IF($C$1="Dinâmico · r0 · t1 · p1",IF($I$1="Recalculado",'Recalculados'!M4,IF($I$1="Registrado",'Registrados'!M4,'Diferenças'!M4)),IF($C$1="Estático · r0 · t0.2 · p1",IF($I$1="Recalculado",'Recalculados'!M5,IF($I$1="Registrado",'Registrados'!M5,'Diferenças'!M5)),IF($C$1="Estático · r0 · t1 · p0.5",IF($I$1="Recalculado",'Recalculados'!M6,IF($I$1="Registrado",'Registrados'!M6,'Diferenças'!M6)),IF($C$1="Estático · r0 · t1 · p1",IF($I$1="Recalculado",'Recalculados'!M7,IF($I$1="Registrado",'Registrados'!M7,'Diferenças'!M7)),IF($C$1="Est.+din. · r0 · t0.2 · p1",IF($I$1="Recalculado",'Recalculados'!M8,IF($I$1="Registrado",'Registrados'!M8,'Diferenças'!M8)),IF($C$1="Est.+din. · r0 · t1 · p0.5",IF($I$1="Recalculado",'Recalculados'!M9,IF($I$1="Registrado",'Registrados'!M9,'Diferenças'!M9)),IF($C$1="Est.+din. · r0 · t1 · p1",IF($I$1="Recalculado",'Recalculados'!M10,IF($I$1="Registrado",'Registrados'!M10,'Diferenças'!M10)),"Sem célula")))))))</x:f>
        <x:v>0</x:v>
      </x:c>
      <x:c r="E12" s="18" t="str">
        <x:f>IF($C$1="Estático · r1 · t1 · p1",IF($I$1="Recalculado",'Recalculados'!M11,IF($I$1="Registrado",'Registrados'!M11,'Diferenças'!M11)),"Sem célula")</x:f>
        <x:v>Sem célula</x:v>
      </x:c>
      <x:c r="F12" s="18" t="n">
        <x:f>IF($C$1="Estático · r0 · t1 · p1",IF($I$1="Recalculado",'Recalculados'!M12,IF($I$1="Registrado",'Registrados'!M12,'Diferenças'!M12)),"Sem célula")</x:f>
        <x:v>0</x:v>
      </x:c>
      <x:c r="G12" s="18" t="str">
        <x:f>IF($C$1="Estático · r1 · t1 · p1",IF($I$1="Recalculado",'Recalculados'!M13,IF($I$1="Registrado",'Registrados'!M13,'Diferenças'!M13)),"Sem célula")</x:f>
        <x:v>Sem célula</x:v>
      </x:c>
      <x:c r="H12" s="18" t="n">
        <x:f>IF($C$1="Dinâmico · r0 · t1 · p1",IF($I$1="Recalculado",'Recalculados'!M14,IF($I$1="Registrado",'Registrados'!M14,'Diferenças'!M14)),IF($C$1="Estático · r0 · t1 · p1",IF($I$1="Recalculado",'Recalculados'!M15,IF($I$1="Registrado",'Registrados'!M15,'Diferenças'!M15)),IF($C$1="Est.+din. · r0 · t0.2 · p1",IF($I$1="Recalculado",'Recalculados'!M16,IF($I$1="Registrado",'Registrados'!M16,'Diferenças'!M16)),IF($C$1="Est.+din. · r0 · t1 · p0.5",IF($I$1="Recalculado",'Recalculados'!M17,IF($I$1="Registrado",'Registrados'!M17,'Diferenças'!M17)),IF($C$1="Est.+din. · r0 · t1 · p1",IF($I$1="Recalculado",'Recalculados'!M18,IF($I$1="Registrado",'Registrados'!M18,'Diferenças'!M18)),"Sem célula")))))</x:f>
        <x:v>0</x:v>
      </x:c>
      <x:c r="I12" s="18" t="str">
        <x:f>IF($C$1="Estático · r1 · t1 · p1",IF($I$1="Recalculado",'Recalculados'!M19,IF($I$1="Registrado",'Registrados'!M19,'Diferenças'!M19)),"Sem célula")</x:f>
        <x:v>Sem célula</x:v>
      </x:c>
      <x:c r="J12" s="18" t="n">
        <x:f>IF($C$1="Dinâmico · r0 · t1 · p1",IF($I$1="Recalculado",'Recalculados'!M20,IF($I$1="Registrado",'Registrados'!M20,'Diferenças'!M20)),IF($C$1="Estático · r0 · t1 · p1",IF($I$1="Recalculado",'Recalculados'!M21,IF($I$1="Registrado",'Registrados'!M21,'Diferenças'!M21)),IF($C$1="Est.+din. · r0 · t1 · p1",IF($I$1="Recalculado",'Recalculados'!M22,IF($I$1="Registrado",'Registrados'!M22,'Diferenças'!M22)),"Sem célula")))</x:f>
        <x:v>0</x:v>
      </x:c>
      <x:c r="K12" s="18" t="str">
        <x:f>IF($C$1="Estático · r1 · t1 · p1",IF($I$1="Recalculado",'Recalculados'!M23,IF($I$1="Registrado",'Registrados'!M23,'Diferenças'!M23)),"Sem célula")</x:f>
        <x:v>Sem célula</x:v>
      </x:c>
      <x:c r="L12" s="18" t="n">
        <x:f>IF($C$1="Estático · r0 · t1 · p1",IF($I$1="Recalculado",'Recalculados'!M24,IF($I$1="Registrado",'Registrados'!M24,'Diferenças'!M24)),"Sem célula")</x:f>
        <x:v>0</x:v>
      </x:c>
      <x:c r="M12" s="18" t="str">
        <x:f>IF($C$1="Estático · r1 · t1 · p1",IF($I$1="Recalculado",'Recalculados'!M25,IF($I$1="Registrado",'Registrados'!M25,'Diferenças'!M25)),"Sem célula")</x:f>
        <x:v>Sem célula</x:v>
      </x:c>
      <x:c r="N12" s="18" t="n">
        <x:f>IF($C$1="Dinâmico · r0 · t1 · p1",IF($I$1="Recalculado",'Recalculados'!M26,IF($I$1="Registrado",'Registrados'!M26,'Diferenças'!M26)),IF($C$1="Estático · r0 · t0.2 · p1",IF($I$1="Recalculado",'Recalculados'!M27,IF($I$1="Registrado",'Registrados'!M27,'Diferenças'!M27)),IF($C$1="Estático · r0 · t1 · p0.5",IF($I$1="Recalculado",'Recalculados'!M28,IF($I$1="Registrado",'Registrados'!M28,'Diferenças'!M28)),IF($C$1="Estático · r0 · t1 · p1",IF($I$1="Recalculado",'Recalculados'!M29,IF($I$1="Registrado",'Registrados'!M29,'Diferenças'!M29)),IF($C$1="Est.+din. · r0 · t0.2 · p1",IF($I$1="Recalculado",'Recalculados'!M30,IF($I$1="Registrado",'Registrados'!M30,'Diferenças'!M30)),IF($C$1="Est.+din. · r0 · t1 · p0.5",IF($I$1="Recalculado",'Recalculados'!M31,IF($I$1="Registrado",'Registrados'!M31,'Diferenças'!M31)),IF($C$1="Est.+din. · r0 · t1 · p1",IF($I$1="Recalculado",'Recalculados'!M32,IF($I$1="Registrado",'Registrados'!M32,'Diferenças'!M32)),"Sem célula")))))))</x:f>
        <x:v>0</x:v>
      </x:c>
    </x:row>
    <x:row r="13" ht="31" customHeight="1">
      <x:c r="A13" s="2"/>
      <x:c r="B13" s="9" t="str">
        <x:v>Com alerta: ASan</x:v>
      </x:c>
      <x:c r="C13" s="18" t="n">
        <x:f>IF($C$1="Estático · r0 · t1 · p1",IF($I$1="Recalculado",'Recalculados'!N3,IF($I$1="Registrado",'Registrados'!N3,'Diferenças'!N3)),"Sem célula")</x:f>
        <x:v>0</x:v>
      </x:c>
      <x:c r="D13" s="18" t="n">
        <x:f>IF($C$1="Dinâmico · r0 · t1 · p1",IF($I$1="Recalculado",'Recalculados'!N4,IF($I$1="Registrado",'Registrados'!N4,'Diferenças'!N4)),IF($C$1="Estático · r0 · t0.2 · p1",IF($I$1="Recalculado",'Recalculados'!N5,IF($I$1="Registrado",'Registrados'!N5,'Diferenças'!N5)),IF($C$1="Estático · r0 · t1 · p0.5",IF($I$1="Recalculado",'Recalculados'!N6,IF($I$1="Registrado",'Registrados'!N6,'Diferenças'!N6)),IF($C$1="Estático · r0 · t1 · p1",IF($I$1="Recalculado",'Recalculados'!N7,IF($I$1="Registrado",'Registrados'!N7,'Diferenças'!N7)),IF($C$1="Est.+din. · r0 · t0.2 · p1",IF($I$1="Recalculado",'Recalculados'!N8,IF($I$1="Registrado",'Registrados'!N8,'Diferenças'!N8)),IF($C$1="Est.+din. · r0 · t1 · p0.5",IF($I$1="Recalculado",'Recalculados'!N9,IF($I$1="Registrado",'Registrados'!N9,'Diferenças'!N9)),IF($C$1="Est.+din. · r0 · t1 · p1",IF($I$1="Recalculado",'Recalculados'!N10,IF($I$1="Registrado",'Registrados'!N10,'Diferenças'!N10)),"Sem célula")))))))</x:f>
        <x:v>0</x:v>
      </x:c>
      <x:c r="E13" s="18" t="str">
        <x:f>IF($C$1="Estático · r1 · t1 · p1",IF($I$1="Recalculado",'Recalculados'!N11,IF($I$1="Registrado",'Registrados'!N11,'Diferenças'!N11)),"Sem célula")</x:f>
        <x:v>Sem célula</x:v>
      </x:c>
      <x:c r="F13" s="18" t="n">
        <x:f>IF($C$1="Estático · r0 · t1 · p1",IF($I$1="Recalculado",'Recalculados'!N12,IF($I$1="Registrado",'Registrados'!N12,'Diferenças'!N12)),"Sem célula")</x:f>
        <x:v>0</x:v>
      </x:c>
      <x:c r="G13" s="18" t="str">
        <x:f>IF($C$1="Estático · r1 · t1 · p1",IF($I$1="Recalculado",'Recalculados'!N13,IF($I$1="Registrado",'Registrados'!N13,'Diferenças'!N13)),"Sem célula")</x:f>
        <x:v>Sem célula</x:v>
      </x:c>
      <x:c r="H13" s="18" t="n">
        <x:f>IF($C$1="Dinâmico · r0 · t1 · p1",IF($I$1="Recalculado",'Recalculados'!N14,IF($I$1="Registrado",'Registrados'!N14,'Diferenças'!N14)),IF($C$1="Estático · r0 · t1 · p1",IF($I$1="Recalculado",'Recalculados'!N15,IF($I$1="Registrado",'Registrados'!N15,'Diferenças'!N15)),IF($C$1="Est.+din. · r0 · t0.2 · p1",IF($I$1="Recalculado",'Recalculados'!N16,IF($I$1="Registrado",'Registrados'!N16,'Diferenças'!N16)),IF($C$1="Est.+din. · r0 · t1 · p0.5",IF($I$1="Recalculado",'Recalculados'!N17,IF($I$1="Registrado",'Registrados'!N17,'Diferenças'!N17)),IF($C$1="Est.+din. · r0 · t1 · p1",IF($I$1="Recalculado",'Recalculados'!N18,IF($I$1="Registrado",'Registrados'!N18,'Diferenças'!N18)),"Sem célula")))))</x:f>
        <x:v>0</x:v>
      </x:c>
      <x:c r="I13" s="18" t="str">
        <x:f>IF($C$1="Estático · r1 · t1 · p1",IF($I$1="Recalculado",'Recalculados'!N19,IF($I$1="Registrado",'Registrados'!N19,'Diferenças'!N19)),"Sem célula")</x:f>
        <x:v>Sem célula</x:v>
      </x:c>
      <x:c r="J13" s="18" t="n">
        <x:f>IF($C$1="Dinâmico · r0 · t1 · p1",IF($I$1="Recalculado",'Recalculados'!N20,IF($I$1="Registrado",'Registrados'!N20,'Diferenças'!N20)),IF($C$1="Estático · r0 · t1 · p1",IF($I$1="Recalculado",'Recalculados'!N21,IF($I$1="Registrado",'Registrados'!N21,'Diferenças'!N21)),IF($C$1="Est.+din. · r0 · t1 · p1",IF($I$1="Recalculado",'Recalculados'!N22,IF($I$1="Registrado",'Registrados'!N22,'Diferenças'!N22)),"Sem célula")))</x:f>
        <x:v>0</x:v>
      </x:c>
      <x:c r="K13" s="18" t="str">
        <x:f>IF($C$1="Estático · r1 · t1 · p1",IF($I$1="Recalculado",'Recalculados'!N23,IF($I$1="Registrado",'Registrados'!N23,'Diferenças'!N23)),"Sem célula")</x:f>
        <x:v>Sem célula</x:v>
      </x:c>
      <x:c r="L13" s="18" t="n">
        <x:f>IF($C$1="Estático · r0 · t1 · p1",IF($I$1="Recalculado",'Recalculados'!N24,IF($I$1="Registrado",'Registrados'!N24,'Diferenças'!N24)),"Sem célula")</x:f>
        <x:v>0</x:v>
      </x:c>
      <x:c r="M13" s="18" t="str">
        <x:f>IF($C$1="Estático · r1 · t1 · p1",IF($I$1="Recalculado",'Recalculados'!N25,IF($I$1="Registrado",'Registrados'!N25,'Diferenças'!N25)),"Sem célula")</x:f>
        <x:v>Sem célula</x:v>
      </x:c>
      <x:c r="N13" s="18" t="n">
        <x:f>IF($C$1="Dinâmico · r0 · t1 · p1",IF($I$1="Recalculado",'Recalculados'!N26,IF($I$1="Registrado",'Registrados'!N26,'Diferenças'!N26)),IF($C$1="Estático · r0 · t0.2 · p1",IF($I$1="Recalculado",'Recalculados'!N27,IF($I$1="Registrado",'Registrados'!N27,'Diferenças'!N27)),IF($C$1="Estático · r0 · t1 · p0.5",IF($I$1="Recalculado",'Recalculados'!N28,IF($I$1="Registrado",'Registrados'!N28,'Diferenças'!N28)),IF($C$1="Estático · r0 · t1 · p1",IF($I$1="Recalculado",'Recalculados'!N29,IF($I$1="Registrado",'Registrados'!N29,'Diferenças'!N29)),IF($C$1="Est.+din. · r0 · t0.2 · p1",IF($I$1="Recalculado",'Recalculados'!N30,IF($I$1="Registrado",'Registrados'!N30,'Diferenças'!N30)),IF($C$1="Est.+din. · r0 · t1 · p0.5",IF($I$1="Recalculado",'Recalculados'!N31,IF($I$1="Registrado",'Registrados'!N31,'Diferenças'!N31)),IF($C$1="Est.+din. · r0 · t1 · p1",IF($I$1="Recalculado",'Recalculados'!N32,IF($I$1="Registrado",'Registrados'!N32,'Diferenças'!N32)),"Sem célula")))))))</x:f>
        <x:v>0</x:v>
      </x:c>
    </x:row>
    <x:row r="14" ht="31" customHeight="1">
      <x:c r="A14" s="2"/>
      <x:c r="B14" s="9" t="str">
        <x:v>Com alerta: fuzz</x:v>
      </x:c>
      <x:c r="C14" s="18" t="n">
        <x:f>IF($C$1="Estático · r0 · t1 · p1",IF($I$1="Recalculado",'Recalculados'!O3,IF($I$1="Registrado",'Registrados'!O3,'Diferenças'!O3)),"Sem célula")</x:f>
        <x:v>0</x:v>
      </x:c>
      <x:c r="D14" s="18" t="n">
        <x:f>IF($C$1="Dinâmico · r0 · t1 · p1",IF($I$1="Recalculado",'Recalculados'!O4,IF($I$1="Registrado",'Registrados'!O4,'Diferenças'!O4)),IF($C$1="Estático · r0 · t0.2 · p1",IF($I$1="Recalculado",'Recalculados'!O5,IF($I$1="Registrado",'Registrados'!O5,'Diferenças'!O5)),IF($C$1="Estático · r0 · t1 · p0.5",IF($I$1="Recalculado",'Recalculados'!O6,IF($I$1="Registrado",'Registrados'!O6,'Diferenças'!O6)),IF($C$1="Estático · r0 · t1 · p1",IF($I$1="Recalculado",'Recalculados'!O7,IF($I$1="Registrado",'Registrados'!O7,'Diferenças'!O7)),IF($C$1="Est.+din. · r0 · t0.2 · p1",IF($I$1="Recalculado",'Recalculados'!O8,IF($I$1="Registrado",'Registrados'!O8,'Diferenças'!O8)),IF($C$1="Est.+din. · r0 · t1 · p0.5",IF($I$1="Recalculado",'Recalculados'!O9,IF($I$1="Registrado",'Registrados'!O9,'Diferenças'!O9)),IF($C$1="Est.+din. · r0 · t1 · p1",IF($I$1="Recalculado",'Recalculados'!O10,IF($I$1="Registrado",'Registrados'!O10,'Diferenças'!O10)),"Sem célula")))))))</x:f>
        <x:v>0</x:v>
      </x:c>
      <x:c r="E14" s="18" t="str">
        <x:f>IF($C$1="Estático · r1 · t1 · p1",IF($I$1="Recalculado",'Recalculados'!O11,IF($I$1="Registrado",'Registrados'!O11,'Diferenças'!O11)),"Sem célula")</x:f>
        <x:v>Sem célula</x:v>
      </x:c>
      <x:c r="F14" s="18" t="n">
        <x:f>IF($C$1="Estático · r0 · t1 · p1",IF($I$1="Recalculado",'Recalculados'!O12,IF($I$1="Registrado",'Registrados'!O12,'Diferenças'!O12)),"Sem célula")</x:f>
        <x:v>0</x:v>
      </x:c>
      <x:c r="G14" s="18" t="str">
        <x:f>IF($C$1="Estático · r1 · t1 · p1",IF($I$1="Recalculado",'Recalculados'!O13,IF($I$1="Registrado",'Registrados'!O13,'Diferenças'!O13)),"Sem célula")</x:f>
        <x:v>Sem célula</x:v>
      </x:c>
      <x:c r="H14" s="18" t="n">
        <x:f>IF($C$1="Dinâmico · r0 · t1 · p1",IF($I$1="Recalculado",'Recalculados'!O14,IF($I$1="Registrado",'Registrados'!O14,'Diferenças'!O14)),IF($C$1="Estático · r0 · t1 · p1",IF($I$1="Recalculado",'Recalculados'!O15,IF($I$1="Registrado",'Registrados'!O15,'Diferenças'!O15)),IF($C$1="Est.+din. · r0 · t0.2 · p1",IF($I$1="Recalculado",'Recalculados'!O16,IF($I$1="Registrado",'Registrados'!O16,'Diferenças'!O16)),IF($C$1="Est.+din. · r0 · t1 · p0.5",IF($I$1="Recalculado",'Recalculados'!O17,IF($I$1="Registrado",'Registrados'!O17,'Diferenças'!O17)),IF($C$1="Est.+din. · r0 · t1 · p1",IF($I$1="Recalculado",'Recalculados'!O18,IF($I$1="Registrado",'Registrados'!O18,'Diferenças'!O18)),"Sem célula")))))</x:f>
        <x:v>0</x:v>
      </x:c>
      <x:c r="I14" s="18" t="str">
        <x:f>IF($C$1="Estático · r1 · t1 · p1",IF($I$1="Recalculado",'Recalculados'!O19,IF($I$1="Registrado",'Registrados'!O19,'Diferenças'!O19)),"Sem célula")</x:f>
        <x:v>Sem célula</x:v>
      </x:c>
      <x:c r="J14" s="18" t="n">
        <x:f>IF($C$1="Dinâmico · r0 · t1 · p1",IF($I$1="Recalculado",'Recalculados'!O20,IF($I$1="Registrado",'Registrados'!O20,'Diferenças'!O20)),IF($C$1="Estático · r0 · t1 · p1",IF($I$1="Recalculado",'Recalculados'!O21,IF($I$1="Registrado",'Registrados'!O21,'Diferenças'!O21)),IF($C$1="Est.+din. · r0 · t1 · p1",IF($I$1="Recalculado",'Recalculados'!O22,IF($I$1="Registrado",'Registrados'!O22,'Diferenças'!O22)),"Sem célula")))</x:f>
        <x:v>0</x:v>
      </x:c>
      <x:c r="K14" s="18" t="str">
        <x:f>IF($C$1="Estático · r1 · t1 · p1",IF($I$1="Recalculado",'Recalculados'!O23,IF($I$1="Registrado",'Registrados'!O23,'Diferenças'!O23)),"Sem célula")</x:f>
        <x:v>Sem célula</x:v>
      </x:c>
      <x:c r="L14" s="18" t="n">
        <x:f>IF($C$1="Estático · r0 · t1 · p1",IF($I$1="Recalculado",'Recalculados'!O24,IF($I$1="Registrado",'Registrados'!O24,'Diferenças'!O24)),"Sem célula")</x:f>
        <x:v>0</x:v>
      </x:c>
      <x:c r="M14" s="18" t="str">
        <x:f>IF($C$1="Estático · r1 · t1 · p1",IF($I$1="Recalculado",'Recalculados'!O25,IF($I$1="Registrado",'Registrados'!O25,'Diferenças'!O25)),"Sem célula")</x:f>
        <x:v>Sem célula</x:v>
      </x:c>
      <x:c r="N14" s="18" t="n">
        <x:f>IF($C$1="Dinâmico · r0 · t1 · p1",IF($I$1="Recalculado",'Recalculados'!O26,IF($I$1="Registrado",'Registrados'!O26,'Diferenças'!O26)),IF($C$1="Estático · r0 · t0.2 · p1",IF($I$1="Recalculado",'Recalculados'!O27,IF($I$1="Registrado",'Registrados'!O27,'Diferenças'!O27)),IF($C$1="Estático · r0 · t1 · p0.5",IF($I$1="Recalculado",'Recalculados'!O28,IF($I$1="Registrado",'Registrados'!O28,'Diferenças'!O28)),IF($C$1="Estático · r0 · t1 · p1",IF($I$1="Recalculado",'Recalculados'!O29,IF($I$1="Registrado",'Registrados'!O29,'Diferenças'!O29)),IF($C$1="Est.+din. · r0 · t0.2 · p1",IF($I$1="Recalculado",'Recalculados'!O30,IF($I$1="Registrado",'Registrados'!O30,'Diferenças'!O30)),IF($C$1="Est.+din. · r0 · t1 · p0.5",IF($I$1="Recalculado",'Recalculados'!O31,IF($I$1="Registrado",'Registrados'!O31,'Diferenças'!O31)),IF($C$1="Est.+din. · r0 · t1 · p1",IF($I$1="Recalculado",'Recalculados'!O32,IF($I$1="Registrado",'Registrados'!O32,'Diferenças'!O32)),"Sem célula")))))))</x:f>
        <x:v>0</x:v>
      </x:c>
    </x:row>
    <x:row r="15" ht="31" customHeight="1">
      <x:c r="A15" s="2"/>
      <x:c r="B15" s="9" t="str">
        <x:v>Com alerta: teste</x:v>
      </x:c>
      <x:c r="C15" s="18" t="n">
        <x:f>IF($C$1="Estático · r0 · t1 · p1",IF($I$1="Recalculado",'Recalculados'!P3,IF($I$1="Registrado",'Registrados'!P3,'Diferenças'!P3)),"Sem célula")</x:f>
        <x:v>0</x:v>
      </x:c>
      <x:c r="D15" s="18" t="n">
        <x:f>IF($C$1="Dinâmico · r0 · t1 · p1",IF($I$1="Recalculado",'Recalculados'!P4,IF($I$1="Registrado",'Registrados'!P4,'Diferenças'!P4)),IF($C$1="Estático · r0 · t0.2 · p1",IF($I$1="Recalculado",'Recalculados'!P5,IF($I$1="Registrado",'Registrados'!P5,'Diferenças'!P5)),IF($C$1="Estático · r0 · t1 · p0.5",IF($I$1="Recalculado",'Recalculados'!P6,IF($I$1="Registrado",'Registrados'!P6,'Diferenças'!P6)),IF($C$1="Estático · r0 · t1 · p1",IF($I$1="Recalculado",'Recalculados'!P7,IF($I$1="Registrado",'Registrados'!P7,'Diferenças'!P7)),IF($C$1="Est.+din. · r0 · t0.2 · p1",IF($I$1="Recalculado",'Recalculados'!P8,IF($I$1="Registrado",'Registrados'!P8,'Diferenças'!P8)),IF($C$1="Est.+din. · r0 · t1 · p0.5",IF($I$1="Recalculado",'Recalculados'!P9,IF($I$1="Registrado",'Registrados'!P9,'Diferenças'!P9)),IF($C$1="Est.+din. · r0 · t1 · p1",IF($I$1="Recalculado",'Recalculados'!P10,IF($I$1="Registrado",'Registrados'!P10,'Diferenças'!P10)),"Sem célula")))))))</x:f>
        <x:v>0</x:v>
      </x:c>
      <x:c r="E15" s="18" t="str">
        <x:f>IF($C$1="Estático · r1 · t1 · p1",IF($I$1="Recalculado",'Recalculados'!P11,IF($I$1="Registrado",'Registrados'!P11,'Diferenças'!P11)),"Sem célula")</x:f>
        <x:v>Sem célula</x:v>
      </x:c>
      <x:c r="F15" s="18" t="n">
        <x:f>IF($C$1="Estático · r0 · t1 · p1",IF($I$1="Recalculado",'Recalculados'!P12,IF($I$1="Registrado",'Registrados'!P12,'Diferenças'!P12)),"Sem célula")</x:f>
        <x:v>0</x:v>
      </x:c>
      <x:c r="G15" s="18" t="str">
        <x:f>IF($C$1="Estático · r1 · t1 · p1",IF($I$1="Recalculado",'Recalculados'!P13,IF($I$1="Registrado",'Registrados'!P13,'Diferenças'!P13)),"Sem célula")</x:f>
        <x:v>Sem célula</x:v>
      </x:c>
      <x:c r="H15" s="18" t="n">
        <x:f>IF($C$1="Dinâmico · r0 · t1 · p1",IF($I$1="Recalculado",'Recalculados'!P14,IF($I$1="Registrado",'Registrados'!P14,'Diferenças'!P14)),IF($C$1="Estático · r0 · t1 · p1",IF($I$1="Recalculado",'Recalculados'!P15,IF($I$1="Registrado",'Registrados'!P15,'Diferenças'!P15)),IF($C$1="Est.+din. · r0 · t0.2 · p1",IF($I$1="Recalculado",'Recalculados'!P16,IF($I$1="Registrado",'Registrados'!P16,'Diferenças'!P16)),IF($C$1="Est.+din. · r0 · t1 · p0.5",IF($I$1="Recalculado",'Recalculados'!P17,IF($I$1="Registrado",'Registrados'!P17,'Diferenças'!P17)),IF($C$1="Est.+din. · r0 · t1 · p1",IF($I$1="Recalculado",'Recalculados'!P18,IF($I$1="Registrado",'Registrados'!P18,'Diferenças'!P18)),"Sem célula")))))</x:f>
        <x:v>0</x:v>
      </x:c>
      <x:c r="I15" s="18" t="str">
        <x:f>IF($C$1="Estático · r1 · t1 · p1",IF($I$1="Recalculado",'Recalculados'!P19,IF($I$1="Registrado",'Registrados'!P19,'Diferenças'!P19)),"Sem célula")</x:f>
        <x:v>Sem célula</x:v>
      </x:c>
      <x:c r="J15" s="18" t="n">
        <x:f>IF($C$1="Dinâmico · r0 · t1 · p1",IF($I$1="Recalculado",'Recalculados'!P20,IF($I$1="Registrado",'Registrados'!P20,'Diferenças'!P20)),IF($C$1="Estático · r0 · t1 · p1",IF($I$1="Recalculado",'Recalculados'!P21,IF($I$1="Registrado",'Registrados'!P21,'Diferenças'!P21)),IF($C$1="Est.+din. · r0 · t1 · p1",IF($I$1="Recalculado",'Recalculados'!P22,IF($I$1="Registrado",'Registrados'!P22,'Diferenças'!P22)),"Sem célula")))</x:f>
        <x:v>0</x:v>
      </x:c>
      <x:c r="K15" s="18" t="str">
        <x:f>IF($C$1="Estático · r1 · t1 · p1",IF($I$1="Recalculado",'Recalculados'!P23,IF($I$1="Registrado",'Registrados'!P23,'Diferenças'!P23)),"Sem célula")</x:f>
        <x:v>Sem célula</x:v>
      </x:c>
      <x:c r="L15" s="18" t="n">
        <x:f>IF($C$1="Estático · r0 · t1 · p1",IF($I$1="Recalculado",'Recalculados'!P24,IF($I$1="Registrado",'Registrados'!P24,'Diferenças'!P24)),"Sem célula")</x:f>
        <x:v>0</x:v>
      </x:c>
      <x:c r="M15" s="18" t="str">
        <x:f>IF($C$1="Estático · r1 · t1 · p1",IF($I$1="Recalculado",'Recalculados'!P25,IF($I$1="Registrado",'Registrados'!P25,'Diferenças'!P25)),"Sem célula")</x:f>
        <x:v>Sem célula</x:v>
      </x:c>
      <x:c r="N15" s="18" t="n">
        <x:f>IF($C$1="Dinâmico · r0 · t1 · p1",IF($I$1="Recalculado",'Recalculados'!P26,IF($I$1="Registrado",'Registrados'!P26,'Diferenças'!P26)),IF($C$1="Estático · r0 · t0.2 · p1",IF($I$1="Recalculado",'Recalculados'!P27,IF($I$1="Registrado",'Registrados'!P27,'Diferenças'!P27)),IF($C$1="Estático · r0 · t1 · p0.5",IF($I$1="Recalculado",'Recalculados'!P28,IF($I$1="Registrado",'Registrados'!P28,'Diferenças'!P28)),IF($C$1="Estático · r0 · t1 · p1",IF($I$1="Recalculado",'Recalculados'!P29,IF($I$1="Registrado",'Registrados'!P29,'Diferenças'!P29)),IF($C$1="Est.+din. · r0 · t0.2 · p1",IF($I$1="Recalculado",'Recalculados'!P30,IF($I$1="Registrado",'Registrados'!P30,'Diferenças'!P30)),IF($C$1="Est.+din. · r0 · t1 · p0.5",IF($I$1="Recalculado",'Recalculados'!P31,IF($I$1="Registrado",'Registrados'!P31,'Diferenças'!P31)),IF($C$1="Est.+din. · r0 · t1 · p1",IF($I$1="Recalculado",'Recalculados'!P32,IF($I$1="Registrado",'Registrados'!P32,'Diferenças'!P32)),"Sem célula")))))))</x:f>
        <x:v>0</x:v>
      </x:c>
    </x:row>
    <x:row r="16" ht="31" customHeight="1">
      <x:c r="A16" s="2"/>
      <x:c r="B16" s="9" t="str">
        <x:v>Teste: sem relatório</x:v>
      </x:c>
      <x:c r="C16" s="18" t="n">
        <x:f>IF($C$1="Estático · r0 · t1 · p1",IF($I$1="Recalculado",'Recalculados'!Q3,IF($I$1="Registrado",'Registrados'!Q3,'Diferenças'!Q3)),"Sem célula")</x:f>
        <x:v>26</x:v>
      </x:c>
      <x:c r="D16" s="18" t="n">
        <x:f>IF($C$1="Dinâmico · r0 · t1 · p1",IF($I$1="Recalculado",'Recalculados'!Q4,IF($I$1="Registrado",'Registrados'!Q4,'Diferenças'!Q4)),IF($C$1="Estático · r0 · t0.2 · p1",IF($I$1="Recalculado",'Recalculados'!Q5,IF($I$1="Registrado",'Registrados'!Q5,'Diferenças'!Q5)),IF($C$1="Estático · r0 · t1 · p0.5",IF($I$1="Recalculado",'Recalculados'!Q6,IF($I$1="Registrado",'Registrados'!Q6,'Diferenças'!Q6)),IF($C$1="Estático · r0 · t1 · p1",IF($I$1="Recalculado",'Recalculados'!Q7,IF($I$1="Registrado",'Registrados'!Q7,'Diferenças'!Q7)),IF($C$1="Est.+din. · r0 · t0.2 · p1",IF($I$1="Recalculado",'Recalculados'!Q8,IF($I$1="Registrado",'Registrados'!Q8,'Diferenças'!Q8)),IF($C$1="Est.+din. · r0 · t1 · p0.5",IF($I$1="Recalculado",'Recalculados'!Q9,IF($I$1="Registrado",'Registrados'!Q9,'Diferenças'!Q9)),IF($C$1="Est.+din. · r0 · t1 · p1",IF($I$1="Recalculado",'Recalculados'!Q10,IF($I$1="Registrado",'Registrados'!Q10,'Diferenças'!Q10)),"Sem célula")))))))</x:f>
        <x:v>2922</x:v>
      </x:c>
      <x:c r="E16" s="18" t="str">
        <x:f>IF($C$1="Estático · r1 · t1 · p1",IF($I$1="Recalculado",'Recalculados'!Q11,IF($I$1="Registrado",'Registrados'!Q11,'Diferenças'!Q11)),"Sem célula")</x:f>
        <x:v>Sem célula</x:v>
      </x:c>
      <x:c r="F16" s="18" t="n">
        <x:f>IF($C$1="Estático · r0 · t1 · p1",IF($I$1="Recalculado",'Recalculados'!Q12,IF($I$1="Registrado",'Registrados'!Q12,'Diferenças'!Q12)),"Sem célula")</x:f>
        <x:v>8</x:v>
      </x:c>
      <x:c r="G16" s="18" t="str">
        <x:f>IF($C$1="Estático · r1 · t1 · p1",IF($I$1="Recalculado",'Recalculados'!Q13,IF($I$1="Registrado",'Registrados'!Q13,'Diferenças'!Q13)),"Sem célula")</x:f>
        <x:v>Sem célula</x:v>
      </x:c>
      <x:c r="H16" s="18" t="n">
        <x:f>IF($C$1="Dinâmico · r0 · t1 · p1",IF($I$1="Recalculado",'Recalculados'!Q14,IF($I$1="Registrado",'Registrados'!Q14,'Diferenças'!Q14)),IF($C$1="Estático · r0 · t1 · p1",IF($I$1="Recalculado",'Recalculados'!Q15,IF($I$1="Registrado",'Registrados'!Q15,'Diferenças'!Q15)),IF($C$1="Est.+din. · r0 · t0.2 · p1",IF($I$1="Recalculado",'Recalculados'!Q16,IF($I$1="Registrado",'Registrados'!Q16,'Diferenças'!Q16)),IF($C$1="Est.+din. · r0 · t1 · p0.5",IF($I$1="Recalculado",'Recalculados'!Q17,IF($I$1="Registrado",'Registrados'!Q17,'Diferenças'!Q17)),IF($C$1="Est.+din. · r0 · t1 · p1",IF($I$1="Recalculado",'Recalculados'!Q18,IF($I$1="Registrado",'Registrados'!Q18,'Diferenças'!Q18)),"Sem célula")))))</x:f>
        <x:v>2922</x:v>
      </x:c>
      <x:c r="I16" s="18" t="str">
        <x:f>IF($C$1="Estático · r1 · t1 · p1",IF($I$1="Recalculado",'Recalculados'!Q19,IF($I$1="Registrado",'Registrados'!Q19,'Diferenças'!Q19)),"Sem célula")</x:f>
        <x:v>Sem célula</x:v>
      </x:c>
      <x:c r="J16" s="18" t="n">
        <x:f>IF($C$1="Dinâmico · r0 · t1 · p1",IF($I$1="Recalculado",'Recalculados'!Q20,IF($I$1="Registrado",'Registrados'!Q20,'Diferenças'!Q20)),IF($C$1="Estático · r0 · t1 · p1",IF($I$1="Recalculado",'Recalculados'!Q21,IF($I$1="Registrado",'Registrados'!Q21,'Diferenças'!Q21)),IF($C$1="Est.+din. · r0 · t1 · p1",IF($I$1="Recalculado",'Recalculados'!Q22,IF($I$1="Registrado",'Registrados'!Q22,'Diferenças'!Q22)),"Sem célula")))</x:f>
        <x:v>2922</x:v>
      </x:c>
      <x:c r="K16" s="18" t="str">
        <x:f>IF($C$1="Estático · r1 · t1 · p1",IF($I$1="Recalculado",'Recalculados'!Q23,IF($I$1="Registrado",'Registrados'!Q23,'Diferenças'!Q23)),"Sem célula")</x:f>
        <x:v>Sem célula</x:v>
      </x:c>
      <x:c r="L16" s="18" t="n">
        <x:f>IF($C$1="Estático · r0 · t1 · p1",IF($I$1="Recalculado",'Recalculados'!Q24,IF($I$1="Registrado",'Registrados'!Q24,'Diferenças'!Q24)),"Sem célula")</x:f>
        <x:v>19</x:v>
      </x:c>
      <x:c r="M16" s="18" t="str">
        <x:f>IF($C$1="Estático · r1 · t1 · p1",IF($I$1="Recalculado",'Recalculados'!Q25,IF($I$1="Registrado",'Registrados'!Q25,'Diferenças'!Q25)),"Sem célula")</x:f>
        <x:v>Sem célula</x:v>
      </x:c>
      <x:c r="N16" s="18" t="n">
        <x:f>IF($C$1="Dinâmico · r0 · t1 · p1",IF($I$1="Recalculado",'Recalculados'!Q26,IF($I$1="Registrado",'Registrados'!Q26,'Diferenças'!Q26)),IF($C$1="Estático · r0 · t0.2 · p1",IF($I$1="Recalculado",'Recalculados'!Q27,IF($I$1="Registrado",'Registrados'!Q27,'Diferenças'!Q27)),IF($C$1="Estático · r0 · t1 · p0.5",IF($I$1="Recalculado",'Recalculados'!Q28,IF($I$1="Registrado",'Registrados'!Q28,'Diferenças'!Q28)),IF($C$1="Estático · r0 · t1 · p1",IF($I$1="Recalculado",'Recalculados'!Q29,IF($I$1="Registrado",'Registrados'!Q29,'Diferenças'!Q29)),IF($C$1="Est.+din. · r0 · t0.2 · p1",IF($I$1="Recalculado",'Recalculados'!Q30,IF($I$1="Registrado",'Registrados'!Q30,'Diferenças'!Q30)),IF($C$1="Est.+din. · r0 · t1 · p0.5",IF($I$1="Recalculado",'Recalculados'!Q31,IF($I$1="Registrado",'Registrados'!Q31,'Diferenças'!Q31)),IF($C$1="Est.+din. · r0 · t1 · p1",IF($I$1="Recalculado",'Recalculados'!Q32,IF($I$1="Registrado",'Registrados'!Q32,'Diferenças'!Q32)),"Sem célula")))))))</x:f>
        <x:v>2922</x:v>
      </x:c>
    </x:row>
    <x:row r="17" ht="31" customHeight="1">
      <x:c r="A17" s="2"/>
      <x:c r="B17" s="9" t="str">
        <x:v>Teste: aprovados*</x:v>
      </x:c>
      <x:c r="C17" s="18" t="n">
        <x:f>IF($C$1="Estático · r0 · t1 · p1",IF($I$1="Recalculado",'Recalculados'!R3,IF($I$1="Registrado",'Registrados'!R3,'Diferenças'!R3)),"Sem célula")</x:f>
        <x:v>0</x:v>
      </x:c>
      <x:c r="D17" s="18" t="n">
        <x:f>IF($C$1="Dinâmico · r0 · t1 · p1",IF($I$1="Recalculado",'Recalculados'!R4,IF($I$1="Registrado",'Registrados'!R4,'Diferenças'!R4)),IF($C$1="Estático · r0 · t0.2 · p1",IF($I$1="Recalculado",'Recalculados'!R5,IF($I$1="Registrado",'Registrados'!R5,'Diferenças'!R5)),IF($C$1="Estático · r0 · t1 · p0.5",IF($I$1="Recalculado",'Recalculados'!R6,IF($I$1="Registrado",'Registrados'!R6,'Diferenças'!R6)),IF($C$1="Estático · r0 · t1 · p1",IF($I$1="Recalculado",'Recalculados'!R7,IF($I$1="Registrado",'Registrados'!R7,'Diferenças'!R7)),IF($C$1="Est.+din. · r0 · t0.2 · p1",IF($I$1="Recalculado",'Recalculados'!R8,IF($I$1="Registrado",'Registrados'!R8,'Diferenças'!R8)),IF($C$1="Est.+din. · r0 · t1 · p0.5",IF($I$1="Recalculado",'Recalculados'!R9,IF($I$1="Registrado",'Registrados'!R9,'Diferenças'!R9)),IF($C$1="Est.+din. · r0 · t1 · p1",IF($I$1="Recalculado",'Recalculados'!R10,IF($I$1="Registrado",'Registrados'!R10,'Diferenças'!R10)),"Sem célula")))))))</x:f>
        <x:v>0</x:v>
      </x:c>
      <x:c r="E17" s="18" t="str">
        <x:f>IF($C$1="Estático · r1 · t1 · p1",IF($I$1="Recalculado",'Recalculados'!R11,IF($I$1="Registrado",'Registrados'!R11,'Diferenças'!R11)),"Sem célula")</x:f>
        <x:v>Sem célula</x:v>
      </x:c>
      <x:c r="F17" s="18" t="n">
        <x:f>IF($C$1="Estático · r0 · t1 · p1",IF($I$1="Recalculado",'Recalculados'!R12,IF($I$1="Registrado",'Registrados'!R12,'Diferenças'!R12)),"Sem célula")</x:f>
        <x:v>0</x:v>
      </x:c>
      <x:c r="G17" s="18" t="str">
        <x:f>IF($C$1="Estático · r1 · t1 · p1",IF($I$1="Recalculado",'Recalculados'!R13,IF($I$1="Registrado",'Registrados'!R13,'Diferenças'!R13)),"Sem célula")</x:f>
        <x:v>Sem célula</x:v>
      </x:c>
      <x:c r="H17" s="18" t="n">
        <x:f>IF($C$1="Dinâmico · r0 · t1 · p1",IF($I$1="Recalculado",'Recalculados'!R14,IF($I$1="Registrado",'Registrados'!R14,'Diferenças'!R14)),IF($C$1="Estático · r0 · t1 · p1",IF($I$1="Recalculado",'Recalculados'!R15,IF($I$1="Registrado",'Registrados'!R15,'Diferenças'!R15)),IF($C$1="Est.+din. · r0 · t0.2 · p1",IF($I$1="Recalculado",'Recalculados'!R16,IF($I$1="Registrado",'Registrados'!R16,'Diferenças'!R16)),IF($C$1="Est.+din. · r0 · t1 · p0.5",IF($I$1="Recalculado",'Recalculados'!R17,IF($I$1="Registrado",'Registrados'!R17,'Diferenças'!R17)),IF($C$1="Est.+din. · r0 · t1 · p1",IF($I$1="Recalculado",'Recalculados'!R18,IF($I$1="Registrado",'Registrados'!R18,'Diferenças'!R18)),"Sem célula")))))</x:f>
        <x:v>0</x:v>
      </x:c>
      <x:c r="I17" s="18" t="str">
        <x:f>IF($C$1="Estático · r1 · t1 · p1",IF($I$1="Recalculado",'Recalculados'!R19,IF($I$1="Registrado",'Registrados'!R19,'Diferenças'!R19)),"Sem célula")</x:f>
        <x:v>Sem célula</x:v>
      </x:c>
      <x:c r="J17" s="18" t="n">
        <x:f>IF($C$1="Dinâmico · r0 · t1 · p1",IF($I$1="Recalculado",'Recalculados'!R20,IF($I$1="Registrado",'Registrados'!R20,'Diferenças'!R20)),IF($C$1="Estático · r0 · t1 · p1",IF($I$1="Recalculado",'Recalculados'!R21,IF($I$1="Registrado",'Registrados'!R21,'Diferenças'!R21)),IF($C$1="Est.+din. · r0 · t1 · p1",IF($I$1="Recalculado",'Recalculados'!R22,IF($I$1="Registrado",'Registrados'!R22,'Diferenças'!R22)),"Sem célula")))</x:f>
        <x:v>0</x:v>
      </x:c>
      <x:c r="K17" s="18" t="str">
        <x:f>IF($C$1="Estático · r1 · t1 · p1",IF($I$1="Recalculado",'Recalculados'!R23,IF($I$1="Registrado",'Registrados'!R23,'Diferenças'!R23)),"Sem célula")</x:f>
        <x:v>Sem célula</x:v>
      </x:c>
      <x:c r="L17" s="18" t="n">
        <x:f>IF($C$1="Estático · r0 · t1 · p1",IF($I$1="Recalculado",'Recalculados'!R24,IF($I$1="Registrado",'Registrados'!R24,'Diferenças'!R24)),"Sem célula")</x:f>
        <x:v>0</x:v>
      </x:c>
      <x:c r="M17" s="18" t="str">
        <x:f>IF($C$1="Estático · r1 · t1 · p1",IF($I$1="Recalculado",'Recalculados'!R25,IF($I$1="Registrado",'Registrados'!R25,'Diferenças'!R25)),"Sem célula")</x:f>
        <x:v>Sem célula</x:v>
      </x:c>
      <x:c r="N17" s="18" t="n">
        <x:f>IF($C$1="Dinâmico · r0 · t1 · p1",IF($I$1="Recalculado",'Recalculados'!R26,IF($I$1="Registrado",'Registrados'!R26,'Diferenças'!R26)),IF($C$1="Estático · r0 · t0.2 · p1",IF($I$1="Recalculado",'Recalculados'!R27,IF($I$1="Registrado",'Registrados'!R27,'Diferenças'!R27)),IF($C$1="Estático · r0 · t1 · p0.5",IF($I$1="Recalculado",'Recalculados'!R28,IF($I$1="Registrado",'Registrados'!R28,'Diferenças'!R28)),IF($C$1="Estático · r0 · t1 · p1",IF($I$1="Recalculado",'Recalculados'!R29,IF($I$1="Registrado",'Registrados'!R29,'Diferenças'!R29)),IF($C$1="Est.+din. · r0 · t0.2 · p1",IF($I$1="Recalculado",'Recalculados'!R30,IF($I$1="Registrado",'Registrados'!R30,'Diferenças'!R30)),IF($C$1="Est.+din. · r0 · t1 · p0.5",IF($I$1="Recalculado",'Recalculados'!R31,IF($I$1="Registrado",'Registrados'!R31,'Diferenças'!R31)),IF($C$1="Est.+din. · r0 · t1 · p1",IF($I$1="Recalculado",'Recalculados'!R32,IF($I$1="Registrado",'Registrados'!R32,'Diferenças'!R32)),"Sem célula")))))))</x:f>
        <x:v>0</x:v>
      </x:c>
    </x:row>
    <x:row r="18" ht="31" customHeight="1">
      <x:c r="A18" s="2"/>
      <x:c r="B18" s="9" t="str">
        <x:v>Teste: falhas</x:v>
      </x:c>
      <x:c r="C18" s="18" t="n">
        <x:f>IF($C$1="Estático · r0 · t1 · p1",IF($I$1="Recalculado",'Recalculados'!S3,IF($I$1="Registrado",'Registrados'!S3,'Diferenças'!S3)),"Sem célula")</x:f>
        <x:v>0</x:v>
      </x:c>
      <x:c r="D18" s="18" t="n">
        <x:f>IF($C$1="Dinâmico · r0 · t1 · p1",IF($I$1="Recalculado",'Recalculados'!S4,IF($I$1="Registrado",'Registrados'!S4,'Diferenças'!S4)),IF($C$1="Estático · r0 · t0.2 · p1",IF($I$1="Recalculado",'Recalculados'!S5,IF($I$1="Registrado",'Registrados'!S5,'Diferenças'!S5)),IF($C$1="Estático · r0 · t1 · p0.5",IF($I$1="Recalculado",'Recalculados'!S6,IF($I$1="Registrado",'Registrados'!S6,'Diferenças'!S6)),IF($C$1="Estático · r0 · t1 · p1",IF($I$1="Recalculado",'Recalculados'!S7,IF($I$1="Registrado",'Registrados'!S7,'Diferenças'!S7)),IF($C$1="Est.+din. · r0 · t0.2 · p1",IF($I$1="Recalculado",'Recalculados'!S8,IF($I$1="Registrado",'Registrados'!S8,'Diferenças'!S8)),IF($C$1="Est.+din. · r0 · t1 · p0.5",IF($I$1="Recalculado",'Recalculados'!S9,IF($I$1="Registrado",'Registrados'!S9,'Diferenças'!S9)),IF($C$1="Est.+din. · r0 · t1 · p1",IF($I$1="Recalculado",'Recalculados'!S10,IF($I$1="Registrado",'Registrados'!S10,'Diferenças'!S10)),"Sem célula")))))))</x:f>
        <x:v>0</x:v>
      </x:c>
      <x:c r="E18" s="18" t="str">
        <x:f>IF($C$1="Estático · r1 · t1 · p1",IF($I$1="Recalculado",'Recalculados'!S11,IF($I$1="Registrado",'Registrados'!S11,'Diferenças'!S11)),"Sem célula")</x:f>
        <x:v>Sem célula</x:v>
      </x:c>
      <x:c r="F18" s="18" t="n">
        <x:f>IF($C$1="Estático · r0 · t1 · p1",IF($I$1="Recalculado",'Recalculados'!S12,IF($I$1="Registrado",'Registrados'!S12,'Diferenças'!S12)),"Sem célula")</x:f>
        <x:v>0</x:v>
      </x:c>
      <x:c r="G18" s="18" t="str">
        <x:f>IF($C$1="Estático · r1 · t1 · p1",IF($I$1="Recalculado",'Recalculados'!S13,IF($I$1="Registrado",'Registrados'!S13,'Diferenças'!S13)),"Sem célula")</x:f>
        <x:v>Sem célula</x:v>
      </x:c>
      <x:c r="H18" s="18" t="n">
        <x:f>IF($C$1="Dinâmico · r0 · t1 · p1",IF($I$1="Recalculado",'Recalculados'!S14,IF($I$1="Registrado",'Registrados'!S14,'Diferenças'!S14)),IF($C$1="Estático · r0 · t1 · p1",IF($I$1="Recalculado",'Recalculados'!S15,IF($I$1="Registrado",'Registrados'!S15,'Diferenças'!S15)),IF($C$1="Est.+din. · r0 · t0.2 · p1",IF($I$1="Recalculado",'Recalculados'!S16,IF($I$1="Registrado",'Registrados'!S16,'Diferenças'!S16)),IF($C$1="Est.+din. · r0 · t1 · p0.5",IF($I$1="Recalculado",'Recalculados'!S17,IF($I$1="Registrado",'Registrados'!S17,'Diferenças'!S17)),IF($C$1="Est.+din. · r0 · t1 · p1",IF($I$1="Recalculado",'Recalculados'!S18,IF($I$1="Registrado",'Registrados'!S18,'Diferenças'!S18)),"Sem célula")))))</x:f>
        <x:v>0</x:v>
      </x:c>
      <x:c r="I18" s="18" t="str">
        <x:f>IF($C$1="Estático · r1 · t1 · p1",IF($I$1="Recalculado",'Recalculados'!S19,IF($I$1="Registrado",'Registrados'!S19,'Diferenças'!S19)),"Sem célula")</x:f>
        <x:v>Sem célula</x:v>
      </x:c>
      <x:c r="J18" s="18" t="n">
        <x:f>IF($C$1="Dinâmico · r0 · t1 · p1",IF($I$1="Recalculado",'Recalculados'!S20,IF($I$1="Registrado",'Registrados'!S20,'Diferenças'!S20)),IF($C$1="Estático · r0 · t1 · p1",IF($I$1="Recalculado",'Recalculados'!S21,IF($I$1="Registrado",'Registrados'!S21,'Diferenças'!S21)),IF($C$1="Est.+din. · r0 · t1 · p1",IF($I$1="Recalculado",'Recalculados'!S22,IF($I$1="Registrado",'Registrados'!S22,'Diferenças'!S22)),"Sem célula")))</x:f>
        <x:v>0</x:v>
      </x:c>
      <x:c r="K18" s="18" t="str">
        <x:f>IF($C$1="Estático · r1 · t1 · p1",IF($I$1="Recalculado",'Recalculados'!S23,IF($I$1="Registrado",'Registrados'!S23,'Diferenças'!S23)),"Sem célula")</x:f>
        <x:v>Sem célula</x:v>
      </x:c>
      <x:c r="L18" s="18" t="n">
        <x:f>IF($C$1="Estático · r0 · t1 · p1",IF($I$1="Recalculado",'Recalculados'!S24,IF($I$1="Registrado",'Registrados'!S24,'Diferenças'!S24)),"Sem célula")</x:f>
        <x:v>0</x:v>
      </x:c>
      <x:c r="M18" s="18" t="str">
        <x:f>IF($C$1="Estático · r1 · t1 · p1",IF($I$1="Recalculado",'Recalculados'!S25,IF($I$1="Registrado",'Registrados'!S25,'Diferenças'!S25)),"Sem célula")</x:f>
        <x:v>Sem célula</x:v>
      </x:c>
      <x:c r="N18" s="18" t="n">
        <x:f>IF($C$1="Dinâmico · r0 · t1 · p1",IF($I$1="Recalculado",'Recalculados'!S26,IF($I$1="Registrado",'Registrados'!S26,'Diferenças'!S26)),IF($C$1="Estático · r0 · t0.2 · p1",IF($I$1="Recalculado",'Recalculados'!S27,IF($I$1="Registrado",'Registrados'!S27,'Diferenças'!S27)),IF($C$1="Estático · r0 · t1 · p0.5",IF($I$1="Recalculado",'Recalculados'!S28,IF($I$1="Registrado",'Registrados'!S28,'Diferenças'!S28)),IF($C$1="Estático · r0 · t1 · p1",IF($I$1="Recalculado",'Recalculados'!S29,IF($I$1="Registrado",'Registrados'!S29,'Diferenças'!S29)),IF($C$1="Est.+din. · r0 · t0.2 · p1",IF($I$1="Recalculado",'Recalculados'!S30,IF($I$1="Registrado",'Registrados'!S30,'Diferenças'!S30)),IF($C$1="Est.+din. · r0 · t1 · p0.5",IF($I$1="Recalculado",'Recalculados'!S31,IF($I$1="Registrado",'Registrados'!S31,'Diferenças'!S31)),IF($C$1="Est.+din. · r0 · t1 · p1",IF($I$1="Recalculado",'Recalculados'!S32,IF($I$1="Registrado",'Registrados'!S32,'Diferenças'!S32)),"Sem célula")))))))</x:f>
        <x:v>0</x:v>
      </x:c>
    </x:row>
    <x:row r="19" ht="31" customHeight="1">
      <x:c r="A19" s="2"/>
      <x:c r="B19" s="9" t="str">
        <x:v>Teste: aprovação (%)*</x:v>
      </x:c>
      <x:c r="C19" s="20" t="str">
        <x:f>IF($C$1="Estático · r0 · t1 · p1",IF($I$1="Recalculado",'Recalculados'!T3,IF($I$1="Registrado",'Registrados'!T3,'Diferenças'!T3)),"Sem célula")</x:f>
        <x:v>NV</x:v>
      </x:c>
      <x:c r="D19" s="20" t="str">
        <x:f>IF($C$1="Dinâmico · r0 · t1 · p1",IF($I$1="Recalculado",'Recalculados'!T4,IF($I$1="Registrado",'Registrados'!T4,'Diferenças'!T4)),IF($C$1="Estático · r0 · t0.2 · p1",IF($I$1="Recalculado",'Recalculados'!T5,IF($I$1="Registrado",'Registrados'!T5,'Diferenças'!T5)),IF($C$1="Estático · r0 · t1 · p0.5",IF($I$1="Recalculado",'Recalculados'!T6,IF($I$1="Registrado",'Registrados'!T6,'Diferenças'!T6)),IF($C$1="Estático · r0 · t1 · p1",IF($I$1="Recalculado",'Recalculados'!T7,IF($I$1="Registrado",'Registrados'!T7,'Diferenças'!T7)),IF($C$1="Est.+din. · r0 · t0.2 · p1",IF($I$1="Recalculado",'Recalculados'!T8,IF($I$1="Registrado",'Registrados'!T8,'Diferenças'!T8)),IF($C$1="Est.+din. · r0 · t1 · p0.5",IF($I$1="Recalculado",'Recalculados'!T9,IF($I$1="Registrado",'Registrados'!T9,'Diferenças'!T9)),IF($C$1="Est.+din. · r0 · t1 · p1",IF($I$1="Recalculado",'Recalculados'!T10,IF($I$1="Registrado",'Registrados'!T10,'Diferenças'!T10)),"Sem célula")))))))</x:f>
        <x:v>NV</x:v>
      </x:c>
      <x:c r="E19" s="20" t="str">
        <x:f>IF($C$1="Estático · r1 · t1 · p1",IF($I$1="Recalculado",'Recalculados'!T11,IF($I$1="Registrado",'Registrados'!T11,'Diferenças'!T11)),"Sem célula")</x:f>
        <x:v>Sem célula</x:v>
      </x:c>
      <x:c r="F19" s="20" t="str">
        <x:f>IF($C$1="Estático · r0 · t1 · p1",IF($I$1="Recalculado",'Recalculados'!T12,IF($I$1="Registrado",'Registrados'!T12,'Diferenças'!T12)),"Sem célula")</x:f>
        <x:v>NV</x:v>
      </x:c>
      <x:c r="G19" s="20" t="str">
        <x:f>IF($C$1="Estático · r1 · t1 · p1",IF($I$1="Recalculado",'Recalculados'!T13,IF($I$1="Registrado",'Registrados'!T13,'Diferenças'!T13)),"Sem célula")</x:f>
        <x:v>Sem célula</x:v>
      </x:c>
      <x:c r="H19" s="20" t="str">
        <x:f>IF($C$1="Dinâmico · r0 · t1 · p1",IF($I$1="Recalculado",'Recalculados'!T14,IF($I$1="Registrado",'Registrados'!T14,'Diferenças'!T14)),IF($C$1="Estático · r0 · t1 · p1",IF($I$1="Recalculado",'Recalculados'!T15,IF($I$1="Registrado",'Registrados'!T15,'Diferenças'!T15)),IF($C$1="Est.+din. · r0 · t0.2 · p1",IF($I$1="Recalculado",'Recalculados'!T16,IF($I$1="Registrado",'Registrados'!T16,'Diferenças'!T16)),IF($C$1="Est.+din. · r0 · t1 · p0.5",IF($I$1="Recalculado",'Recalculados'!T17,IF($I$1="Registrado",'Registrados'!T17,'Diferenças'!T17)),IF($C$1="Est.+din. · r0 · t1 · p1",IF($I$1="Recalculado",'Recalculados'!T18,IF($I$1="Registrado",'Registrados'!T18,'Diferenças'!T18)),"Sem célula")))))</x:f>
        <x:v>NV</x:v>
      </x:c>
      <x:c r="I19" s="20" t="str">
        <x:f>IF($C$1="Estático · r1 · t1 · p1",IF($I$1="Recalculado",'Recalculados'!T19,IF($I$1="Registrado",'Registrados'!T19,'Diferenças'!T19)),"Sem célula")</x:f>
        <x:v>Sem célula</x:v>
      </x:c>
      <x:c r="J19" s="20" t="str">
        <x:f>IF($C$1="Dinâmico · r0 · t1 · p1",IF($I$1="Recalculado",'Recalculados'!T20,IF($I$1="Registrado",'Registrados'!T20,'Diferenças'!T20)),IF($C$1="Estático · r0 · t1 · p1",IF($I$1="Recalculado",'Recalculados'!T21,IF($I$1="Registrado",'Registrados'!T21,'Diferenças'!T21)),IF($C$1="Est.+din. · r0 · t1 · p1",IF($I$1="Recalculado",'Recalculados'!T22,IF($I$1="Registrado",'Registrados'!T22,'Diferenças'!T22)),"Sem célula")))</x:f>
        <x:v>NV</x:v>
      </x:c>
      <x:c r="K19" s="20" t="str">
        <x:f>IF($C$1="Estático · r1 · t1 · p1",IF($I$1="Recalculado",'Recalculados'!T23,IF($I$1="Registrado",'Registrados'!T23,'Diferenças'!T23)),"Sem célula")</x:f>
        <x:v>Sem célula</x:v>
      </x:c>
      <x:c r="L19" s="20" t="str">
        <x:f>IF($C$1="Estático · r0 · t1 · p1",IF($I$1="Recalculado",'Recalculados'!T24,IF($I$1="Registrado",'Registrados'!T24,'Diferenças'!T24)),"Sem célula")</x:f>
        <x:v>NV</x:v>
      </x:c>
      <x:c r="M19" s="20" t="str">
        <x:f>IF($C$1="Estático · r1 · t1 · p1",IF($I$1="Recalculado",'Recalculados'!T25,IF($I$1="Registrado",'Registrados'!T25,'Diferenças'!T25)),"Sem célula")</x:f>
        <x:v>Sem célula</x:v>
      </x:c>
      <x:c r="N19" s="20" t="str">
        <x:f>IF($C$1="Dinâmico · r0 · t1 · p1",IF($I$1="Recalculado",'Recalculados'!T26,IF($I$1="Registrado",'Registrados'!T26,'Diferenças'!T26)),IF($C$1="Estático · r0 · t0.2 · p1",IF($I$1="Recalculado",'Recalculados'!T27,IF($I$1="Registrado",'Registrados'!T27,'Diferenças'!T27)),IF($C$1="Estático · r0 · t1 · p0.5",IF($I$1="Recalculado",'Recalculados'!T28,IF($I$1="Registrado",'Registrados'!T28,'Diferenças'!T28)),IF($C$1="Estático · r0 · t1 · p1",IF($I$1="Recalculado",'Recalculados'!T29,IF($I$1="Registrado",'Registrados'!T29,'Diferenças'!T29)),IF($C$1="Est.+din. · r0 · t0.2 · p1",IF($I$1="Recalculado",'Recalculados'!T30,IF($I$1="Registrado",'Registrados'!T30,'Diferenças'!T30)),IF($C$1="Est.+din. · r0 · t1 · p0.5",IF($I$1="Recalculado",'Recalculados'!T31,IF($I$1="Registrado",'Registrados'!T31,'Diferenças'!T31)),IF($C$1="Est.+din. · r0 · t1 · p1",IF($I$1="Recalculado",'Recalculados'!T32,IF($I$1="Registrado",'Registrados'!T32,'Diferenças'!T32)),"Sem célula")))))))</x:f>
        <x:v>NV</x:v>
      </x:c>
    </x:row>
    <x:row r="20" ht="31" customHeight="1">
      <x:c r="A20" s="2"/>
      <x:c r="B20" s="9" t="str">
        <x:v>Com alertas no início</x:v>
      </x:c>
      <x:c r="C20" s="18" t="n">
        <x:f>IF($C$1="Estático · r0 · t1 · p1",IF($I$1="Recalculado",'Recalculados'!U3,IF($I$1="Registrado",'Registrados'!U3,'Diferenças'!U3)),"Sem célula")</x:f>
        <x:v>0</x:v>
      </x:c>
      <x:c r="D20" s="18" t="n">
        <x:f>IF($C$1="Dinâmico · r0 · t1 · p1",IF($I$1="Recalculado",'Recalculados'!U4,IF($I$1="Registrado",'Registrados'!U4,'Diferenças'!U4)),IF($C$1="Estático · r0 · t0.2 · p1",IF($I$1="Recalculado",'Recalculados'!U5,IF($I$1="Registrado",'Registrados'!U5,'Diferenças'!U5)),IF($C$1="Estático · r0 · t1 · p0.5",IF($I$1="Recalculado",'Recalculados'!U6,IF($I$1="Registrado",'Registrados'!U6,'Diferenças'!U6)),IF($C$1="Estático · r0 · t1 · p1",IF($I$1="Recalculado",'Recalculados'!U7,IF($I$1="Registrado",'Registrados'!U7,'Diferenças'!U7)),IF($C$1="Est.+din. · r0 · t0.2 · p1",IF($I$1="Recalculado",'Recalculados'!U8,IF($I$1="Registrado",'Registrados'!U8,'Diferenças'!U8)),IF($C$1="Est.+din. · r0 · t1 · p0.5",IF($I$1="Recalculado",'Recalculados'!U9,IF($I$1="Registrado",'Registrados'!U9,'Diferenças'!U9)),IF($C$1="Est.+din. · r0 · t1 · p1",IF($I$1="Recalculado",'Recalculados'!U10,IF($I$1="Registrado",'Registrados'!U10,'Diferenças'!U10)),"Sem célula")))))))</x:f>
        <x:v>1006</x:v>
      </x:c>
      <x:c r="E20" s="18" t="str">
        <x:f>IF($C$1="Estático · r1 · t1 · p1",IF($I$1="Recalculado",'Recalculados'!U11,IF($I$1="Registrado",'Registrados'!U11,'Diferenças'!U11)),"Sem célula")</x:f>
        <x:v>Sem célula</x:v>
      </x:c>
      <x:c r="F20" s="18" t="n">
        <x:f>IF($C$1="Estático · r0 · t1 · p1",IF($I$1="Recalculado",'Recalculados'!U12,IF($I$1="Registrado",'Registrados'!U12,'Diferenças'!U12)),"Sem célula")</x:f>
        <x:v>0</x:v>
      </x:c>
      <x:c r="G20" s="18" t="str">
        <x:f>IF($C$1="Estático · r1 · t1 · p1",IF($I$1="Recalculado",'Recalculados'!U13,IF($I$1="Registrado",'Registrados'!U13,'Diferenças'!U13)),"Sem célula")</x:f>
        <x:v>Sem célula</x:v>
      </x:c>
      <x:c r="H20" s="18" t="n">
        <x:f>IF($C$1="Dinâmico · r0 · t1 · p1",IF($I$1="Recalculado",'Recalculados'!U14,IF($I$1="Registrado",'Registrados'!U14,'Diferenças'!U14)),IF($C$1="Estático · r0 · t1 · p1",IF($I$1="Recalculado",'Recalculados'!U15,IF($I$1="Registrado",'Registrados'!U15,'Diferenças'!U15)),IF($C$1="Est.+din. · r0 · t0.2 · p1",IF($I$1="Recalculado",'Recalculados'!U16,IF($I$1="Registrado",'Registrados'!U16,'Diferenças'!U16)),IF($C$1="Est.+din. · r0 · t1 · p0.5",IF($I$1="Recalculado",'Recalculados'!U17,IF($I$1="Registrado",'Registrados'!U17,'Diferenças'!U17)),IF($C$1="Est.+din. · r0 · t1 · p1",IF($I$1="Recalculado",'Recalculados'!U18,IF($I$1="Registrado",'Registrados'!U18,'Diferenças'!U18)),"Sem célula")))))</x:f>
        <x:v>1491</x:v>
      </x:c>
      <x:c r="I20" s="18" t="str">
        <x:f>IF($C$1="Estático · r1 · t1 · p1",IF($I$1="Recalculado",'Recalculados'!U19,IF($I$1="Registrado",'Registrados'!U19,'Diferenças'!U19)),"Sem célula")</x:f>
        <x:v>Sem célula</x:v>
      </x:c>
      <x:c r="J20" s="18" t="n">
        <x:f>IF($C$1="Dinâmico · r0 · t1 · p1",IF($I$1="Recalculado",'Recalculados'!U20,IF($I$1="Registrado",'Registrados'!U20,'Diferenças'!U20)),IF($C$1="Estático · r0 · t1 · p1",IF($I$1="Recalculado",'Recalculados'!U21,IF($I$1="Registrado",'Registrados'!U21,'Diferenças'!U21)),IF($C$1="Est.+din. · r0 · t1 · p1",IF($I$1="Recalculado",'Recalculados'!U22,IF($I$1="Registrado",'Registrados'!U22,'Diferenças'!U22)),"Sem célula")))</x:f>
        <x:v>638</x:v>
      </x:c>
      <x:c r="K20" s="18" t="str">
        <x:f>IF($C$1="Estático · r1 · t1 · p1",IF($I$1="Recalculado",'Recalculados'!U23,IF($I$1="Registrado",'Registrados'!U23,'Diferenças'!U23)),"Sem célula")</x:f>
        <x:v>Sem célula</x:v>
      </x:c>
      <x:c r="L20" s="18" t="n">
        <x:f>IF($C$1="Estático · r0 · t1 · p1",IF($I$1="Recalculado",'Recalculados'!U24,IF($I$1="Registrado",'Registrados'!U24,'Diferenças'!U24)),"Sem célula")</x:f>
        <x:v>0</x:v>
      </x:c>
      <x:c r="M20" s="18" t="str">
        <x:f>IF($C$1="Estático · r1 · t1 · p1",IF($I$1="Recalculado",'Recalculados'!U25,IF($I$1="Registrado",'Registrados'!U25,'Diferenças'!U25)),"Sem célula")</x:f>
        <x:v>Sem célula</x:v>
      </x:c>
      <x:c r="N20" s="18" t="n">
        <x:f>IF($C$1="Dinâmico · r0 · t1 · p1",IF($I$1="Recalculado",'Recalculados'!U26,IF($I$1="Registrado",'Registrados'!U26,'Diferenças'!U26)),IF($C$1="Estático · r0 · t0.2 · p1",IF($I$1="Recalculado",'Recalculados'!U27,IF($I$1="Registrado",'Registrados'!U27,'Diferenças'!U27)),IF($C$1="Estático · r0 · t1 · p0.5",IF($I$1="Recalculado",'Recalculados'!U28,IF($I$1="Registrado",'Registrados'!U28,'Diferenças'!U28)),IF($C$1="Estático · r0 · t1 · p1",IF($I$1="Recalculado",'Recalculados'!U29,IF($I$1="Registrado",'Registrados'!U29,'Diferenças'!U29)),IF($C$1="Est.+din. · r0 · t0.2 · p1",IF($I$1="Recalculado",'Recalculados'!U30,IF($I$1="Registrado",'Registrados'!U30,'Diferenças'!U30)),IF($C$1="Est.+din. · r0 · t1 · p0.5",IF($I$1="Recalculado",'Recalculados'!U31,IF($I$1="Registrado",'Registrados'!U31,'Diferenças'!U31)),IF($C$1="Est.+din. · r0 · t1 · p1",IF($I$1="Recalculado",'Recalculados'!U32,IF($I$1="Registrado",'Registrados'!U32,'Diferenças'!U32)),"Sem célula")))))))</x:f>
        <x:v>1118</x:v>
      </x:c>
    </x:row>
    <x:row r="21" ht="31" customHeight="1">
      <x:c r="A21" s="2"/>
      <x:c r="B21" s="9" t="str">
        <x:v>Com alertas no início (%)</x:v>
      </x:c>
      <x:c r="C21" s="20" t="n">
        <x:f>IF($C$1="Estático · r0 · t1 · p1",IF($I$1="Recalculado",'Recalculados'!V3,IF($I$1="Registrado",'Registrados'!V3,'Diferenças'!V3)),"Sem célula")</x:f>
        <x:v>0</x:v>
      </x:c>
      <x:c r="D21" s="20" t="n">
        <x:f>IF($C$1="Dinâmico · r0 · t1 · p1",IF($I$1="Recalculado",'Recalculados'!V4,IF($I$1="Registrado",'Registrados'!V4,'Diferenças'!V4)),IF($C$1="Estático · r0 · t0.2 · p1",IF($I$1="Recalculado",'Recalculados'!V5,IF($I$1="Registrado",'Registrados'!V5,'Diferenças'!V5)),IF($C$1="Estático · r0 · t1 · p0.5",IF($I$1="Recalculado",'Recalculados'!V6,IF($I$1="Registrado",'Registrados'!V6,'Diferenças'!V6)),IF($C$1="Estático · r0 · t1 · p1",IF($I$1="Recalculado",'Recalculados'!V7,IF($I$1="Registrado",'Registrados'!V7,'Diferenças'!V7)),IF($C$1="Est.+din. · r0 · t0.2 · p1",IF($I$1="Recalculado",'Recalculados'!V8,IF($I$1="Registrado",'Registrados'!V8,'Diferenças'!V8)),IF($C$1="Est.+din. · r0 · t1 · p0.5",IF($I$1="Recalculado",'Recalculados'!V9,IF($I$1="Registrado",'Registrados'!V9,'Diferenças'!V9)),IF($C$1="Est.+din. · r0 · t1 · p1",IF($I$1="Recalculado",'Recalculados'!V10,IF($I$1="Registrado",'Registrados'!V10,'Diferenças'!V10)),"Sem célula")))))))</x:f>
        <x:v>0.3443</x:v>
      </x:c>
      <x:c r="E21" s="20" t="str">
        <x:f>IF($C$1="Estático · r1 · t1 · p1",IF($I$1="Recalculado",'Recalculados'!V11,IF($I$1="Registrado",'Registrados'!V11,'Diferenças'!V11)),"Sem célula")</x:f>
        <x:v>Sem célula</x:v>
      </x:c>
      <x:c r="F21" s="20" t="n">
        <x:f>IF($C$1="Estático · r0 · t1 · p1",IF($I$1="Recalculado",'Recalculados'!V12,IF($I$1="Registrado",'Registrados'!V12,'Diferenças'!V12)),"Sem célula")</x:f>
        <x:v>0</x:v>
      </x:c>
      <x:c r="G21" s="20" t="str">
        <x:f>IF($C$1="Estático · r1 · t1 · p1",IF($I$1="Recalculado",'Recalculados'!V13,IF($I$1="Registrado",'Registrados'!V13,'Diferenças'!V13)),"Sem célula")</x:f>
        <x:v>Sem célula</x:v>
      </x:c>
      <x:c r="H21" s="20" t="n">
        <x:f>IF($C$1="Dinâmico · r0 · t1 · p1",IF($I$1="Recalculado",'Recalculados'!V14,IF($I$1="Registrado",'Registrados'!V14,'Diferenças'!V14)),IF($C$1="Estático · r0 · t1 · p1",IF($I$1="Recalculado",'Recalculados'!V15,IF($I$1="Registrado",'Registrados'!V15,'Diferenças'!V15)),IF($C$1="Est.+din. · r0 · t0.2 · p1",IF($I$1="Recalculado",'Recalculados'!V16,IF($I$1="Registrado",'Registrados'!V16,'Diferenças'!V16)),IF($C$1="Est.+din. · r0 · t1 · p0.5",IF($I$1="Recalculado",'Recalculados'!V17,IF($I$1="Registrado",'Registrados'!V17,'Diferenças'!V17)),IF($C$1="Est.+din. · r0 · t1 · p1",IF($I$1="Recalculado",'Recalculados'!V18,IF($I$1="Registrado",'Registrados'!V18,'Diferenças'!V18)),"Sem célula")))))</x:f>
        <x:v>0.5103</x:v>
      </x:c>
      <x:c r="I21" s="20" t="str">
        <x:f>IF($C$1="Estático · r1 · t1 · p1",IF($I$1="Recalculado",'Recalculados'!V19,IF($I$1="Registrado",'Registrados'!V19,'Diferenças'!V19)),"Sem célula")</x:f>
        <x:v>Sem célula</x:v>
      </x:c>
      <x:c r="J21" s="20" t="n">
        <x:f>IF($C$1="Dinâmico · r0 · t1 · p1",IF($I$1="Recalculado",'Recalculados'!V20,IF($I$1="Registrado",'Registrados'!V20,'Diferenças'!V20)),IF($C$1="Estático · r0 · t1 · p1",IF($I$1="Recalculado",'Recalculados'!V21,IF($I$1="Registrado",'Registrados'!V21,'Diferenças'!V21)),IF($C$1="Est.+din. · r0 · t1 · p1",IF($I$1="Recalculado",'Recalculados'!V22,IF($I$1="Registrado",'Registrados'!V22,'Diferenças'!V22)),"Sem célula")))</x:f>
        <x:v>0.2183</x:v>
      </x:c>
      <x:c r="K21" s="20" t="str">
        <x:f>IF($C$1="Estático · r1 · t1 · p1",IF($I$1="Recalculado",'Recalculados'!V23,IF($I$1="Registrado",'Registrados'!V23,'Diferenças'!V23)),"Sem célula")</x:f>
        <x:v>Sem célula</x:v>
      </x:c>
      <x:c r="L21" s="20" t="n">
        <x:f>IF($C$1="Estático · r0 · t1 · p1",IF($I$1="Recalculado",'Recalculados'!V24,IF($I$1="Registrado",'Registrados'!V24,'Diferenças'!V24)),"Sem célula")</x:f>
        <x:v>0</x:v>
      </x:c>
      <x:c r="M21" s="20" t="str">
        <x:f>IF($C$1="Estático · r1 · t1 · p1",IF($I$1="Recalculado",'Recalculados'!V25,IF($I$1="Registrado",'Registrados'!V25,'Diferenças'!V25)),"Sem célula")</x:f>
        <x:v>Sem célula</x:v>
      </x:c>
      <x:c r="N21" s="20" t="n">
        <x:f>IF($C$1="Dinâmico · r0 · t1 · p1",IF($I$1="Recalculado",'Recalculados'!V26,IF($I$1="Registrado",'Registrados'!V26,'Diferenças'!V26)),IF($C$1="Estático · r0 · t0.2 · p1",IF($I$1="Recalculado",'Recalculados'!V27,IF($I$1="Registrado",'Registrados'!V27,'Diferenças'!V27)),IF($C$1="Estático · r0 · t1 · p0.5",IF($I$1="Recalculado",'Recalculados'!V28,IF($I$1="Registrado",'Registrados'!V28,'Diferenças'!V28)),IF($C$1="Estático · r0 · t1 · p1",IF($I$1="Recalculado",'Recalculados'!V29,IF($I$1="Registrado",'Registrados'!V29,'Diferenças'!V29)),IF($C$1="Est.+din. · r0 · t0.2 · p1",IF($I$1="Recalculado",'Recalculados'!V30,IF($I$1="Registrado",'Registrados'!V30,'Diferenças'!V30)),IF($C$1="Est.+din. · r0 · t1 · p0.5",IF($I$1="Recalculado",'Recalculados'!V31,IF($I$1="Registrado",'Registrados'!V31,'Diferenças'!V31)),IF($C$1="Est.+din. · r0 · t1 · p1",IF($I$1="Recalculado",'Recalculados'!V32,IF($I$1="Registrado",'Registrados'!V32,'Diferenças'!V32)),"Sem célula")))))))</x:f>
        <x:v>0.3826</x:v>
      </x:c>
    </x:row>
    <x:row r="22" ht="31" customHeight="1">
      <x:c r="A22" s="2"/>
      <x:c r="B22" s="9" t="str">
        <x:v>Com alertas estáticos (%)</x:v>
      </x:c>
      <x:c r="C22" s="20" t="n">
        <x:f>IF($C$1="Estático · r0 · t1 · p1",IF($I$1="Recalculado",'Recalculados'!W3,IF($I$1="Registrado",'Registrados'!W3,'Diferenças'!W3)),"Sem célula")</x:f>
        <x:v>0</x:v>
      </x:c>
      <x:c r="D22" s="20" t="n">
        <x:f>IF($C$1="Dinâmico · r0 · t1 · p1",IF($I$1="Recalculado",'Recalculados'!W4,IF($I$1="Registrado",'Registrados'!W4,'Diferenças'!W4)),IF($C$1="Estático · r0 · t0.2 · p1",IF($I$1="Recalculado",'Recalculados'!W5,IF($I$1="Registrado",'Registrados'!W5,'Diferenças'!W5)),IF($C$1="Estático · r0 · t1 · p0.5",IF($I$1="Recalculado",'Recalculados'!W6,IF($I$1="Registrado",'Registrados'!W6,'Diferenças'!W6)),IF($C$1="Estático · r0 · t1 · p1",IF($I$1="Recalculado",'Recalculados'!W7,IF($I$1="Registrado",'Registrados'!W7,'Diferenças'!W7)),IF($C$1="Est.+din. · r0 · t0.2 · p1",IF($I$1="Recalculado",'Recalculados'!W8,IF($I$1="Registrado",'Registrados'!W8,'Diferenças'!W8)),IF($C$1="Est.+din. · r0 · t1 · p0.5",IF($I$1="Recalculado",'Recalculados'!W9,IF($I$1="Registrado",'Registrados'!W9,'Diferenças'!W9)),IF($C$1="Est.+din. · r0 · t1 · p1",IF($I$1="Recalculado",'Recalculados'!W10,IF($I$1="Registrado",'Registrados'!W10,'Diferenças'!W10)),"Sem célula")))))))</x:f>
        <x:v>0.3443</x:v>
      </x:c>
      <x:c r="E22" s="20" t="str">
        <x:f>IF($C$1="Estático · r1 · t1 · p1",IF($I$1="Recalculado",'Recalculados'!W11,IF($I$1="Registrado",'Registrados'!W11,'Diferenças'!W11)),"Sem célula")</x:f>
        <x:v>Sem célula</x:v>
      </x:c>
      <x:c r="F22" s="20" t="n">
        <x:f>IF($C$1="Estático · r0 · t1 · p1",IF($I$1="Recalculado",'Recalculados'!W12,IF($I$1="Registrado",'Registrados'!W12,'Diferenças'!W12)),"Sem célula")</x:f>
        <x:v>0</x:v>
      </x:c>
      <x:c r="G22" s="20" t="str">
        <x:f>IF($C$1="Estático · r1 · t1 · p1",IF($I$1="Recalculado",'Recalculados'!W13,IF($I$1="Registrado",'Registrados'!W13,'Diferenças'!W13)),"Sem célula")</x:f>
        <x:v>Sem célula</x:v>
      </x:c>
      <x:c r="H22" s="20" t="n">
        <x:f>IF($C$1="Dinâmico · r0 · t1 · p1",IF($I$1="Recalculado",'Recalculados'!W14,IF($I$1="Registrado",'Registrados'!W14,'Diferenças'!W14)),IF($C$1="Estático · r0 · t1 · p1",IF($I$1="Recalculado",'Recalculados'!W15,IF($I$1="Registrado",'Registrados'!W15,'Diferenças'!W15)),IF($C$1="Est.+din. · r0 · t0.2 · p1",IF($I$1="Recalculado",'Recalculados'!W16,IF($I$1="Registrado",'Registrados'!W16,'Diferenças'!W16)),IF($C$1="Est.+din. · r0 · t1 · p0.5",IF($I$1="Recalculado",'Recalculados'!W17,IF($I$1="Registrado",'Registrados'!W17,'Diferenças'!W17)),IF($C$1="Est.+din. · r0 · t1 · p1",IF($I$1="Recalculado",'Recalculados'!W18,IF($I$1="Registrado",'Registrados'!W18,'Diferenças'!W18)),"Sem célula")))))</x:f>
        <x:v>0.5103</x:v>
      </x:c>
      <x:c r="I22" s="20" t="str">
        <x:f>IF($C$1="Estático · r1 · t1 · p1",IF($I$1="Recalculado",'Recalculados'!W19,IF($I$1="Registrado",'Registrados'!W19,'Diferenças'!W19)),"Sem célula")</x:f>
        <x:v>Sem célula</x:v>
      </x:c>
      <x:c r="J22" s="20" t="n">
        <x:f>IF($C$1="Dinâmico · r0 · t1 · p1",IF($I$1="Recalculado",'Recalculados'!W20,IF($I$1="Registrado",'Registrados'!W20,'Diferenças'!W20)),IF($C$1="Estático · r0 · t1 · p1",IF($I$1="Recalculado",'Recalculados'!W21,IF($I$1="Registrado",'Registrados'!W21,'Diferenças'!W21)),IF($C$1="Est.+din. · r0 · t1 · p1",IF($I$1="Recalculado",'Recalculados'!W22,IF($I$1="Registrado",'Registrados'!W22,'Diferenças'!W22)),"Sem célula")))</x:f>
        <x:v>0.2183</x:v>
      </x:c>
      <x:c r="K22" s="20" t="str">
        <x:f>IF($C$1="Estático · r1 · t1 · p1",IF($I$1="Recalculado",'Recalculados'!W23,IF($I$1="Registrado",'Registrados'!W23,'Diferenças'!W23)),"Sem célula")</x:f>
        <x:v>Sem célula</x:v>
      </x:c>
      <x:c r="L22" s="20" t="n">
        <x:f>IF($C$1="Estático · r0 · t1 · p1",IF($I$1="Recalculado",'Recalculados'!W24,IF($I$1="Registrado",'Registrados'!W24,'Diferenças'!W24)),"Sem célula")</x:f>
        <x:v>0</x:v>
      </x:c>
      <x:c r="M22" s="20" t="str">
        <x:f>IF($C$1="Estático · r1 · t1 · p1",IF($I$1="Recalculado",'Recalculados'!W25,IF($I$1="Registrado",'Registrados'!W25,'Diferenças'!W25)),"Sem célula")</x:f>
        <x:v>Sem célula</x:v>
      </x:c>
      <x:c r="N22" s="20" t="n">
        <x:f>IF($C$1="Dinâmico · r0 · t1 · p1",IF($I$1="Recalculado",'Recalculados'!W26,IF($I$1="Registrado",'Registrados'!W26,'Diferenças'!W26)),IF($C$1="Estático · r0 · t0.2 · p1",IF($I$1="Recalculado",'Recalculados'!W27,IF($I$1="Registrado",'Registrados'!W27,'Diferenças'!W27)),IF($C$1="Estático · r0 · t1 · p0.5",IF($I$1="Recalculado",'Recalculados'!W28,IF($I$1="Registrado",'Registrados'!W28,'Diferenças'!W28)),IF($C$1="Estático · r0 · t1 · p1",IF($I$1="Recalculado",'Recalculados'!W29,IF($I$1="Registrado",'Registrados'!W29,'Diferenças'!W29)),IF($C$1="Est.+din. · r0 · t0.2 · p1",IF($I$1="Recalculado",'Recalculados'!W30,IF($I$1="Registrado",'Registrados'!W30,'Diferenças'!W30)),IF($C$1="Est.+din. · r0 · t1 · p0.5",IF($I$1="Recalculado",'Recalculados'!W31,IF($I$1="Registrado",'Registrados'!W31,'Diferenças'!W31)),IF($C$1="Est.+din. · r0 · t1 · p1",IF($I$1="Recalculado",'Recalculados'!W32,IF($I$1="Registrado",'Registrados'!W32,'Diferenças'!W32)),"Sem célula")))))))</x:f>
        <x:v>0.3826</x:v>
      </x:c>
    </x:row>
    <x:row r="23" ht="31" customHeight="1">
      <x:c r="A23" s="2"/>
      <x:c r="B23" s="9" t="str">
        <x:v>Não ficaram limpos</x:v>
      </x:c>
      <x:c r="C23" s="18" t="str">
        <x:f>IF($C$1="Estático · r0 · t1 · p1",IF($I$1="Recalculado",'Recalculados'!X3,IF($I$1="Registrado",'Registrados'!X3,'Diferenças'!X3)),"Sem célula")</x:f>
        <x:v>NV</x:v>
      </x:c>
      <x:c r="D23" s="18" t="n">
        <x:f>IF($C$1="Dinâmico · r0 · t1 · p1",IF($I$1="Recalculado",'Recalculados'!X4,IF($I$1="Registrado",'Registrados'!X4,'Diferenças'!X4)),IF($C$1="Estático · r0 · t0.2 · p1",IF($I$1="Recalculado",'Recalculados'!X5,IF($I$1="Registrado",'Registrados'!X5,'Diferenças'!X5)),IF($C$1="Estático · r0 · t1 · p0.5",IF($I$1="Recalculado",'Recalculados'!X6,IF($I$1="Registrado",'Registrados'!X6,'Diferenças'!X6)),IF($C$1="Estático · r0 · t1 · p1",IF($I$1="Recalculado",'Recalculados'!X7,IF($I$1="Registrado",'Registrados'!X7,'Diferenças'!X7)),IF($C$1="Est.+din. · r0 · t0.2 · p1",IF($I$1="Recalculado",'Recalculados'!X8,IF($I$1="Registrado",'Registrados'!X8,'Diferenças'!X8)),IF($C$1="Est.+din. · r0 · t1 · p0.5",IF($I$1="Recalculado",'Recalculados'!X9,IF($I$1="Registrado",'Registrados'!X9,'Diferenças'!X9)),IF($C$1="Est.+din. · r0 · t1 · p1",IF($I$1="Recalculado",'Recalculados'!X10,IF($I$1="Registrado",'Registrados'!X10,'Diferenças'!X10)),"Sem célula")))))))</x:f>
        <x:v>90</x:v>
      </x:c>
      <x:c r="E23" s="18" t="str">
        <x:f>IF($C$1="Estático · r1 · t1 · p1",IF($I$1="Recalculado",'Recalculados'!X11,IF($I$1="Registrado",'Registrados'!X11,'Diferenças'!X11)),"Sem célula")</x:f>
        <x:v>Sem célula</x:v>
      </x:c>
      <x:c r="F23" s="18" t="str">
        <x:f>IF($C$1="Estático · r0 · t1 · p1",IF($I$1="Recalculado",'Recalculados'!X12,IF($I$1="Registrado",'Registrados'!X12,'Diferenças'!X12)),"Sem célula")</x:f>
        <x:v>NV</x:v>
      </x:c>
      <x:c r="G23" s="18" t="str">
        <x:f>IF($C$1="Estático · r1 · t1 · p1",IF($I$1="Recalculado",'Recalculados'!X13,IF($I$1="Registrado",'Registrados'!X13,'Diferenças'!X13)),"Sem célula")</x:f>
        <x:v>Sem célula</x:v>
      </x:c>
      <x:c r="H23" s="18" t="n">
        <x:f>IF($C$1="Dinâmico · r0 · t1 · p1",IF($I$1="Recalculado",'Recalculados'!X14,IF($I$1="Registrado",'Registrados'!X14,'Diferenças'!X14)),IF($C$1="Estático · r0 · t1 · p1",IF($I$1="Recalculado",'Recalculados'!X15,IF($I$1="Registrado",'Registrados'!X15,'Diferenças'!X15)),IF($C$1="Est.+din. · r0 · t0.2 · p1",IF($I$1="Recalculado",'Recalculados'!X16,IF($I$1="Registrado",'Registrados'!X16,'Diferenças'!X16)),IF($C$1="Est.+din. · r0 · t1 · p0.5",IF($I$1="Recalculado",'Recalculados'!X17,IF($I$1="Registrado",'Registrados'!X17,'Diferenças'!X17)),IF($C$1="Est.+din. · r0 · t1 · p1",IF($I$1="Recalculado",'Recalculados'!X18,IF($I$1="Registrado",'Registrados'!X18,'Diferenças'!X18)),"Sem célula")))))</x:f>
        <x:v>154</x:v>
      </x:c>
      <x:c r="I23" s="18" t="str">
        <x:f>IF($C$1="Estático · r1 · t1 · p1",IF($I$1="Recalculado",'Recalculados'!X19,IF($I$1="Registrado",'Registrados'!X19,'Diferenças'!X19)),"Sem célula")</x:f>
        <x:v>Sem célula</x:v>
      </x:c>
      <x:c r="J23" s="18" t="n">
        <x:f>IF($C$1="Dinâmico · r0 · t1 · p1",IF($I$1="Recalculado",'Recalculados'!X20,IF($I$1="Registrado",'Registrados'!X20,'Diferenças'!X20)),IF($C$1="Estático · r0 · t1 · p1",IF($I$1="Recalculado",'Recalculados'!X21,IF($I$1="Registrado",'Registrados'!X21,'Diferenças'!X21)),IF($C$1="Est.+din. · r0 · t1 · p1",IF($I$1="Recalculado",'Recalculados'!X22,IF($I$1="Registrado",'Registrados'!X22,'Diferenças'!X22)),"Sem célula")))</x:f>
        <x:v>9</x:v>
      </x:c>
      <x:c r="K23" s="18" t="str">
        <x:f>IF($C$1="Estático · r1 · t1 · p1",IF($I$1="Recalculado",'Recalculados'!X23,IF($I$1="Registrado",'Registrados'!X23,'Diferenças'!X23)),"Sem célula")</x:f>
        <x:v>Sem célula</x:v>
      </x:c>
      <x:c r="L23" s="18" t="str">
        <x:f>IF($C$1="Estático · r0 · t1 · p1",IF($I$1="Recalculado",'Recalculados'!X24,IF($I$1="Registrado",'Registrados'!X24,'Diferenças'!X24)),"Sem célula")</x:f>
        <x:v>NV</x:v>
      </x:c>
      <x:c r="M23" s="18" t="str">
        <x:f>IF($C$1="Estático · r1 · t1 · p1",IF($I$1="Recalculado",'Recalculados'!X25,IF($I$1="Registrado",'Registrados'!X25,'Diferenças'!X25)),"Sem célula")</x:f>
        <x:v>Sem célula</x:v>
      </x:c>
      <x:c r="N23" s="18" t="n">
        <x:f>IF($C$1="Dinâmico · r0 · t1 · p1",IF($I$1="Recalculado",'Recalculados'!X26,IF($I$1="Registrado",'Registrados'!X26,'Diferenças'!X26)),IF($C$1="Estático · r0 · t0.2 · p1",IF($I$1="Recalculado",'Recalculados'!X27,IF($I$1="Registrado",'Registrados'!X27,'Diferenças'!X27)),IF($C$1="Estático · r0 · t1 · p0.5",IF($I$1="Recalculado",'Recalculados'!X28,IF($I$1="Registrado",'Registrados'!X28,'Diferenças'!X28)),IF($C$1="Estático · r0 · t1 · p1",IF($I$1="Recalculado",'Recalculados'!X29,IF($I$1="Registrado",'Registrados'!X29,'Diferenças'!X29)),IF($C$1="Est.+din. · r0 · t0.2 · p1",IF($I$1="Recalculado",'Recalculados'!X30,IF($I$1="Registrado",'Registrados'!X30,'Diferenças'!X30)),IF($C$1="Est.+din. · r0 · t1 · p0.5",IF($I$1="Recalculado",'Recalculados'!X31,IF($I$1="Registrado",'Registrados'!X31,'Diferenças'!X31)),IF($C$1="Est.+din. · r0 · t1 · p1",IF($I$1="Recalculado",'Recalculados'!X32,IF($I$1="Registrado",'Registrados'!X32,'Diferenças'!X32)),"Sem célula")))))))</x:f>
        <x:v>36</x:v>
      </x:c>
    </x:row>
    <x:row r="24" ht="31" customHeight="1">
      <x:c r="A24" s="2"/>
      <x:c r="B24" s="9" t="str">
        <x:v>Falhas na cura</x:v>
      </x:c>
      <x:c r="C24" s="18" t="str">
        <x:f>IF($C$1="Estático · r0 · t1 · p1",IF($I$1="Recalculado",'Recalculados'!Y3,IF($I$1="Registrado",'Registrados'!Y3,'Diferenças'!Y3)),"Sem célula")</x:f>
        <x:v>NV</x:v>
      </x:c>
      <x:c r="D24" s="18" t="n">
        <x:f>IF($C$1="Dinâmico · r0 · t1 · p1",IF($I$1="Recalculado",'Recalculados'!Y4,IF($I$1="Registrado",'Registrados'!Y4,'Diferenças'!Y4)),IF($C$1="Estático · r0 · t0.2 · p1",IF($I$1="Recalculado",'Recalculados'!Y5,IF($I$1="Registrado",'Registrados'!Y5,'Diferenças'!Y5)),IF($C$1="Estático · r0 · t1 · p0.5",IF($I$1="Recalculado",'Recalculados'!Y6,IF($I$1="Registrado",'Registrados'!Y6,'Diferenças'!Y6)),IF($C$1="Estático · r0 · t1 · p1",IF($I$1="Recalculado",'Recalculados'!Y7,IF($I$1="Registrado",'Registrados'!Y7,'Diferenças'!Y7)),IF($C$1="Est.+din. · r0 · t0.2 · p1",IF($I$1="Recalculado",'Recalculados'!Y8,IF($I$1="Registrado",'Registrados'!Y8,'Diferenças'!Y8)),IF($C$1="Est.+din. · r0 · t1 · p0.5",IF($I$1="Recalculado",'Recalculados'!Y9,IF($I$1="Registrado",'Registrados'!Y9,'Diferenças'!Y9)),IF($C$1="Est.+din. · r0 · t1 · p1",IF($I$1="Recalculado",'Recalculados'!Y10,IF($I$1="Registrado",'Registrados'!Y10,'Diferenças'!Y10)),"Sem célula")))))))</x:f>
        <x:v>0</x:v>
      </x:c>
      <x:c r="E24" s="18" t="str">
        <x:f>IF($C$1="Estático · r1 · t1 · p1",IF($I$1="Recalculado",'Recalculados'!Y11,IF($I$1="Registrado",'Registrados'!Y11,'Diferenças'!Y11)),"Sem célula")</x:f>
        <x:v>Sem célula</x:v>
      </x:c>
      <x:c r="F24" s="18" t="str">
        <x:f>IF($C$1="Estático · r0 · t1 · p1",IF($I$1="Recalculado",'Recalculados'!Y12,IF($I$1="Registrado",'Registrados'!Y12,'Diferenças'!Y12)),"Sem célula")</x:f>
        <x:v>NV</x:v>
      </x:c>
      <x:c r="G24" s="18" t="str">
        <x:f>IF($C$1="Estático · r1 · t1 · p1",IF($I$1="Recalculado",'Recalculados'!Y13,IF($I$1="Registrado",'Registrados'!Y13,'Diferenças'!Y13)),"Sem célula")</x:f>
        <x:v>Sem célula</x:v>
      </x:c>
      <x:c r="H24" s="18" t="n">
        <x:f>IF($C$1="Dinâmico · r0 · t1 · p1",IF($I$1="Recalculado",'Recalculados'!Y14,IF($I$1="Registrado",'Registrados'!Y14,'Diferenças'!Y14)),IF($C$1="Estático · r0 · t1 · p1",IF($I$1="Recalculado",'Recalculados'!Y15,IF($I$1="Registrado",'Registrados'!Y15,'Diferenças'!Y15)),IF($C$1="Est.+din. · r0 · t0.2 · p1",IF($I$1="Recalculado",'Recalculados'!Y16,IF($I$1="Registrado",'Registrados'!Y16,'Diferenças'!Y16)),IF($C$1="Est.+din. · r0 · t1 · p0.5",IF($I$1="Recalculado",'Recalculados'!Y17,IF($I$1="Registrado",'Registrados'!Y17,'Diferenças'!Y17)),IF($C$1="Est.+din. · r0 · t1 · p1",IF($I$1="Recalculado",'Recalculados'!Y18,IF($I$1="Registrado",'Registrados'!Y18,'Diferenças'!Y18)),"Sem célula")))))</x:f>
        <x:v>0</x:v>
      </x:c>
      <x:c r="I24" s="18" t="str">
        <x:f>IF($C$1="Estático · r1 · t1 · p1",IF($I$1="Recalculado",'Recalculados'!Y19,IF($I$1="Registrado",'Registrados'!Y19,'Diferenças'!Y19)),"Sem célula")</x:f>
        <x:v>Sem célula</x:v>
      </x:c>
      <x:c r="J24" s="18" t="n">
        <x:f>IF($C$1="Dinâmico · r0 · t1 · p1",IF($I$1="Recalculado",'Recalculados'!Y20,IF($I$1="Registrado",'Registrados'!Y20,'Diferenças'!Y20)),IF($C$1="Estático · r0 · t1 · p1",IF($I$1="Recalculado",'Recalculados'!Y21,IF($I$1="Registrado",'Registrados'!Y21,'Diferenças'!Y21)),IF($C$1="Est.+din. · r0 · t1 · p1",IF($I$1="Recalculado",'Recalculados'!Y22,IF($I$1="Registrado",'Registrados'!Y22,'Diferenças'!Y22)),"Sem célula")))</x:f>
        <x:v>0</x:v>
      </x:c>
      <x:c r="K24" s="18" t="str">
        <x:f>IF($C$1="Estático · r1 · t1 · p1",IF($I$1="Recalculado",'Recalculados'!Y23,IF($I$1="Registrado",'Registrados'!Y23,'Diferenças'!Y23)),"Sem célula")</x:f>
        <x:v>Sem célula</x:v>
      </x:c>
      <x:c r="L24" s="18" t="str">
        <x:f>IF($C$1="Estático · r0 · t1 · p1",IF($I$1="Recalculado",'Recalculados'!Y24,IF($I$1="Registrado",'Registrados'!Y24,'Diferenças'!Y24)),"Sem célula")</x:f>
        <x:v>NV</x:v>
      </x:c>
      <x:c r="M24" s="18" t="str">
        <x:f>IF($C$1="Estático · r1 · t1 · p1",IF($I$1="Recalculado",'Recalculados'!Y25,IF($I$1="Registrado",'Registrados'!Y25,'Diferenças'!Y25)),"Sem célula")</x:f>
        <x:v>Sem célula</x:v>
      </x:c>
      <x:c r="N24" s="18" t="n">
        <x:f>IF($C$1="Dinâmico · r0 · t1 · p1",IF($I$1="Recalculado",'Recalculados'!Y26,IF($I$1="Registrado",'Registrados'!Y26,'Diferenças'!Y26)),IF($C$1="Estático · r0 · t0.2 · p1",IF($I$1="Recalculado",'Recalculados'!Y27,IF($I$1="Registrado",'Registrados'!Y27,'Diferenças'!Y27)),IF($C$1="Estático · r0 · t1 · p0.5",IF($I$1="Recalculado",'Recalculados'!Y28,IF($I$1="Registrado",'Registrados'!Y28,'Diferenças'!Y28)),IF($C$1="Estático · r0 · t1 · p1",IF($I$1="Recalculado",'Recalculados'!Y29,IF($I$1="Registrado",'Registrados'!Y29,'Diferenças'!Y29)),IF($C$1="Est.+din. · r0 · t0.2 · p1",IF($I$1="Recalculado",'Recalculados'!Y30,IF($I$1="Registrado",'Registrados'!Y30,'Diferenças'!Y30)),IF($C$1="Est.+din. · r0 · t1 · p0.5",IF($I$1="Recalculado",'Recalculados'!Y31,IF($I$1="Registrado",'Registrados'!Y31,'Diferenças'!Y31)),IF($C$1="Est.+din. · r0 · t1 · p1",IF($I$1="Recalculado",'Recalculados'!Y32,IF($I$1="Registrado",'Registrados'!Y32,'Diferenças'!Y32)),"Sem célula")))))))</x:f>
        <x:v>0</x:v>
      </x:c>
    </x:row>
    <x:row r="25" ht="31" customHeight="1">
      <x:c r="A25" s="2"/>
      <x:c r="B25" s="9" t="str">
        <x:v>Limite de rodadas</x:v>
      </x:c>
      <x:c r="C25" s="18" t="str">
        <x:f>IF($C$1="Estático · r0 · t1 · p1",IF($I$1="Recalculado",'Recalculados'!Z3,IF($I$1="Registrado",'Registrados'!Z3,'Diferenças'!Z3)),"Sem célula")</x:f>
        <x:v>NV</x:v>
      </x:c>
      <x:c r="D25" s="18" t="n">
        <x:f>IF($C$1="Dinâmico · r0 · t1 · p1",IF($I$1="Recalculado",'Recalculados'!Z4,IF($I$1="Registrado",'Registrados'!Z4,'Diferenças'!Z4)),IF($C$1="Estático · r0 · t0.2 · p1",IF($I$1="Recalculado",'Recalculados'!Z5,IF($I$1="Registrado",'Registrados'!Z5,'Diferenças'!Z5)),IF($C$1="Estático · r0 · t1 · p0.5",IF($I$1="Recalculado",'Recalculados'!Z6,IF($I$1="Registrado",'Registrados'!Z6,'Diferenças'!Z6)),IF($C$1="Estático · r0 · t1 · p1",IF($I$1="Recalculado",'Recalculados'!Z7,IF($I$1="Registrado",'Registrados'!Z7,'Diferenças'!Z7)),IF($C$1="Est.+din. · r0 · t0.2 · p1",IF($I$1="Recalculado",'Recalculados'!Z8,IF($I$1="Registrado",'Registrados'!Z8,'Diferenças'!Z8)),IF($C$1="Est.+din. · r0 · t1 · p0.5",IF($I$1="Recalculado",'Recalculados'!Z9,IF($I$1="Registrado",'Registrados'!Z9,'Diferenças'!Z9)),IF($C$1="Est.+din. · r0 · t1 · p1",IF($I$1="Recalculado",'Recalculados'!Z10,IF($I$1="Registrado",'Registrados'!Z10,'Diferenças'!Z10)),"Sem célula")))))))</x:f>
        <x:v>10</x:v>
      </x:c>
      <x:c r="E25" s="18" t="str">
        <x:f>IF($C$1="Estático · r1 · t1 · p1",IF($I$1="Recalculado",'Recalculados'!Z11,IF($I$1="Registrado",'Registrados'!Z11,'Diferenças'!Z11)),"Sem célula")</x:f>
        <x:v>Sem célula</x:v>
      </x:c>
      <x:c r="F25" s="18" t="str">
        <x:f>IF($C$1="Estático · r0 · t1 · p1",IF($I$1="Recalculado",'Recalculados'!Z12,IF($I$1="Registrado",'Registrados'!Z12,'Diferenças'!Z12)),"Sem célula")</x:f>
        <x:v>NV</x:v>
      </x:c>
      <x:c r="G25" s="18" t="str">
        <x:f>IF($C$1="Estático · r1 · t1 · p1",IF($I$1="Recalculado",'Recalculados'!Z13,IF($I$1="Registrado",'Registrados'!Z13,'Diferenças'!Z13)),"Sem célula")</x:f>
        <x:v>Sem célula</x:v>
      </x:c>
      <x:c r="H25" s="18" t="n">
        <x:f>IF($C$1="Dinâmico · r0 · t1 · p1",IF($I$1="Recalculado",'Recalculados'!Z14,IF($I$1="Registrado",'Registrados'!Z14,'Diferenças'!Z14)),IF($C$1="Estático · r0 · t1 · p1",IF($I$1="Recalculado",'Recalculados'!Z15,IF($I$1="Registrado",'Registrados'!Z15,'Diferenças'!Z15)),IF($C$1="Est.+din. · r0 · t0.2 · p1",IF($I$1="Recalculado",'Recalculados'!Z16,IF($I$1="Registrado",'Registrados'!Z16,'Diferenças'!Z16)),IF($C$1="Est.+din. · r0 · t1 · p0.5",IF($I$1="Recalculado",'Recalculados'!Z17,IF($I$1="Registrado",'Registrados'!Z17,'Diferenças'!Z17)),IF($C$1="Est.+din. · r0 · t1 · p1",IF($I$1="Recalculado",'Recalculados'!Z18,IF($I$1="Registrado",'Registrados'!Z18,'Diferenças'!Z18)),"Sem célula")))))</x:f>
        <x:v>10</x:v>
      </x:c>
      <x:c r="I25" s="18" t="str">
        <x:f>IF($C$1="Estático · r1 · t1 · p1",IF($I$1="Recalculado",'Recalculados'!Z19,IF($I$1="Registrado",'Registrados'!Z19,'Diferenças'!Z19)),"Sem célula")</x:f>
        <x:v>Sem célula</x:v>
      </x:c>
      <x:c r="J25" s="18" t="n">
        <x:f>IF($C$1="Dinâmico · r0 · t1 · p1",IF($I$1="Recalculado",'Recalculados'!Z20,IF($I$1="Registrado",'Registrados'!Z20,'Diferenças'!Z20)),IF($C$1="Estático · r0 · t1 · p1",IF($I$1="Recalculado",'Recalculados'!Z21,IF($I$1="Registrado",'Registrados'!Z21,'Diferenças'!Z21)),IF($C$1="Est.+din. · r0 · t1 · p1",IF($I$1="Recalculado",'Recalculados'!Z22,IF($I$1="Registrado",'Registrados'!Z22,'Diferenças'!Z22)),"Sem célula")))</x:f>
        <x:v>10</x:v>
      </x:c>
      <x:c r="K25" s="18" t="str">
        <x:f>IF($C$1="Estático · r1 · t1 · p1",IF($I$1="Recalculado",'Recalculados'!Z23,IF($I$1="Registrado",'Registrados'!Z23,'Diferenças'!Z23)),"Sem célula")</x:f>
        <x:v>Sem célula</x:v>
      </x:c>
      <x:c r="L25" s="18" t="str">
        <x:f>IF($C$1="Estático · r0 · t1 · p1",IF($I$1="Recalculado",'Recalculados'!Z24,IF($I$1="Registrado",'Registrados'!Z24,'Diferenças'!Z24)),"Sem célula")</x:f>
        <x:v>NV</x:v>
      </x:c>
      <x:c r="M25" s="18" t="str">
        <x:f>IF($C$1="Estático · r1 · t1 · p1",IF($I$1="Recalculado",'Recalculados'!Z25,IF($I$1="Registrado",'Registrados'!Z25,'Diferenças'!Z25)),"Sem célula")</x:f>
        <x:v>Sem célula</x:v>
      </x:c>
      <x:c r="N25" s="18" t="n">
        <x:f>IF($C$1="Dinâmico · r0 · t1 · p1",IF($I$1="Recalculado",'Recalculados'!Z26,IF($I$1="Registrado",'Registrados'!Z26,'Diferenças'!Z26)),IF($C$1="Estático · r0 · t0.2 · p1",IF($I$1="Recalculado",'Recalculados'!Z27,IF($I$1="Registrado",'Registrados'!Z27,'Diferenças'!Z27)),IF($C$1="Estático · r0 · t1 · p0.5",IF($I$1="Recalculado",'Recalculados'!Z28,IF($I$1="Registrado",'Registrados'!Z28,'Diferenças'!Z28)),IF($C$1="Estático · r0 · t1 · p1",IF($I$1="Recalculado",'Recalculados'!Z29,IF($I$1="Registrado",'Registrados'!Z29,'Diferenças'!Z29)),IF($C$1="Est.+din. · r0 · t0.2 · p1",IF($I$1="Recalculado",'Recalculados'!Z30,IF($I$1="Registrado",'Registrados'!Z30,'Diferenças'!Z30)),IF($C$1="Est.+din. · r0 · t1 · p0.5",IF($I$1="Recalculado",'Recalculados'!Z31,IF($I$1="Registrado",'Registrados'!Z31,'Diferenças'!Z31)),IF($C$1="Est.+din. · r0 · t1 · p1",IF($I$1="Recalculado",'Recalculados'!Z32,IF($I$1="Registrado",'Registrados'!Z32,'Diferenças'!Z32)),"Sem célula")))))))</x:f>
        <x:v>10</x:v>
      </x:c>
    </x:row>
    <x:row r="26" ht="31" customHeight="1">
      <x:c r="A26" s="2"/>
      <x:c r="B26" s="9" t="str">
        <x:v>Rodadas: média</x:v>
      </x:c>
      <x:c r="C26" s="22" t="str">
        <x:f>IF($C$1="Estático · r0 · t1 · p1",IF($I$1="Recalculado",'Recalculados'!AA3,IF($I$1="Registrado",'Registrados'!AA3,'Diferenças'!AA3)),"Sem célula")</x:f>
        <x:v>NV</x:v>
      </x:c>
      <x:c r="D26" s="22" t="n">
        <x:f>IF($C$1="Dinâmico · r0 · t1 · p1",IF($I$1="Recalculado",'Recalculados'!AA4,IF($I$1="Registrado",'Registrados'!AA4,'Diferenças'!AA4)),IF($C$1="Estático · r0 · t0.2 · p1",IF($I$1="Recalculado",'Recalculados'!AA5,IF($I$1="Registrado",'Registrados'!AA5,'Diferenças'!AA5)),IF($C$1="Estático · r0 · t1 · p0.5",IF($I$1="Recalculado",'Recalculados'!AA6,IF($I$1="Registrado",'Registrados'!AA6,'Diferenças'!AA6)),IF($C$1="Estático · r0 · t1 · p1",IF($I$1="Recalculado",'Recalculados'!AA7,IF($I$1="Registrado",'Registrados'!AA7,'Diferenças'!AA7)),IF($C$1="Est.+din. · r0 · t0.2 · p1",IF($I$1="Recalculado",'Recalculados'!AA8,IF($I$1="Registrado",'Registrados'!AA8,'Diferenças'!AA8)),IF($C$1="Est.+din. · r0 · t1 · p0.5",IF($I$1="Recalculado",'Recalculados'!AA9,IF($I$1="Registrado",'Registrados'!AA9,'Diferenças'!AA9)),IF($C$1="Est.+din. · r0 · t1 · p1",IF($I$1="Recalculado",'Recalculados'!AA10,IF($I$1="Registrado",'Registrados'!AA10,'Diferenças'!AA10)),"Sem célula")))))))</x:f>
        <x:v>1.442</x:v>
      </x:c>
      <x:c r="E26" s="22" t="str">
        <x:f>IF($C$1="Estático · r1 · t1 · p1",IF($I$1="Recalculado",'Recalculados'!AA11,IF($I$1="Registrado",'Registrados'!AA11,'Diferenças'!AA11)),"Sem célula")</x:f>
        <x:v>Sem célula</x:v>
      </x:c>
      <x:c r="F26" s="22" t="str">
        <x:f>IF($C$1="Estático · r0 · t1 · p1",IF($I$1="Recalculado",'Recalculados'!AA12,IF($I$1="Registrado",'Registrados'!AA12,'Diferenças'!AA12)),"Sem célula")</x:f>
        <x:v>NV</x:v>
      </x:c>
      <x:c r="G26" s="22" t="str">
        <x:f>IF($C$1="Estático · r1 · t1 · p1",IF($I$1="Recalculado",'Recalculados'!AA13,IF($I$1="Registrado",'Registrados'!AA13,'Diferenças'!AA13)),"Sem célula")</x:f>
        <x:v>Sem célula</x:v>
      </x:c>
      <x:c r="H26" s="22" t="n">
        <x:f>IF($C$1="Dinâmico · r0 · t1 · p1",IF($I$1="Recalculado",'Recalculados'!AA14,IF($I$1="Registrado",'Registrados'!AA14,'Diferenças'!AA14)),IF($C$1="Estático · r0 · t1 · p1",IF($I$1="Recalculado",'Recalculados'!AA15,IF($I$1="Registrado",'Registrados'!AA15,'Diferenças'!AA15)),IF($C$1="Est.+din. · r0 · t0.2 · p1",IF($I$1="Recalculado",'Recalculados'!AA16,IF($I$1="Registrado",'Registrados'!AA16,'Diferenças'!AA16)),IF($C$1="Est.+din. · r0 · t1 · p0.5",IF($I$1="Recalculado",'Recalculados'!AA17,IF($I$1="Registrado",'Registrados'!AA17,'Diferenças'!AA17)),IF($C$1="Est.+din. · r0 · t1 · p1",IF($I$1="Recalculado",'Recalculados'!AA18,IF($I$1="Registrado",'Registrados'!AA18,'Diferenças'!AA18)),"Sem célula")))))</x:f>
        <x:v>2.339</x:v>
      </x:c>
      <x:c r="I26" s="22" t="str">
        <x:f>IF($C$1="Estático · r1 · t1 · p1",IF($I$1="Recalculado",'Recalculados'!AA19,IF($I$1="Registrado",'Registrados'!AA19,'Diferenças'!AA19)),"Sem célula")</x:f>
        <x:v>Sem célula</x:v>
      </x:c>
      <x:c r="J26" s="22" t="n">
        <x:f>IF($C$1="Dinâmico · r0 · t1 · p1",IF($I$1="Recalculado",'Recalculados'!AA20,IF($I$1="Registrado",'Registrados'!AA20,'Diferenças'!AA20)),IF($C$1="Estático · r0 · t1 · p1",IF($I$1="Recalculado",'Recalculados'!AA21,IF($I$1="Registrado",'Registrados'!AA21,'Diferenças'!AA21)),IF($C$1="Est.+din. · r0 · t1 · p1",IF($I$1="Recalculado",'Recalculados'!AA22,IF($I$1="Registrado",'Registrados'!AA22,'Diferenças'!AA22)),"Sem célula")))</x:f>
        <x:v>1.151</x:v>
      </x:c>
      <x:c r="K26" s="22" t="str">
        <x:f>IF($C$1="Estático · r1 · t1 · p1",IF($I$1="Recalculado",'Recalculados'!AA23,IF($I$1="Registrado",'Registrados'!AA23,'Diferenças'!AA23)),"Sem célula")</x:f>
        <x:v>Sem célula</x:v>
      </x:c>
      <x:c r="L26" s="22" t="str">
        <x:f>IF($C$1="Estático · r0 · t1 · p1",IF($I$1="Recalculado",'Recalculados'!AA24,IF($I$1="Registrado",'Registrados'!AA24,'Diferenças'!AA24)),"Sem célula")</x:f>
        <x:v>NV</x:v>
      </x:c>
      <x:c r="M26" s="22" t="str">
        <x:f>IF($C$1="Estático · r1 · t1 · p1",IF($I$1="Recalculado",'Recalculados'!AA25,IF($I$1="Registrado",'Registrados'!AA25,'Diferenças'!AA25)),"Sem célula")</x:f>
        <x:v>Sem célula</x:v>
      </x:c>
      <x:c r="N26" s="22" t="n">
        <x:f>IF($C$1="Dinâmico · r0 · t1 · p1",IF($I$1="Recalculado",'Recalculados'!AA26,IF($I$1="Registrado",'Registrados'!AA26,'Diferenças'!AA26)),IF($C$1="Estático · r0 · t0.2 · p1",IF($I$1="Recalculado",'Recalculados'!AA27,IF($I$1="Registrado",'Registrados'!AA27,'Diferenças'!AA27)),IF($C$1="Estático · r0 · t1 · p0.5",IF($I$1="Recalculado",'Recalculados'!AA28,IF($I$1="Registrado",'Registrados'!AA28,'Diferenças'!AA28)),IF($C$1="Estático · r0 · t1 · p1",IF($I$1="Recalculado",'Recalculados'!AA29,IF($I$1="Registrado",'Registrados'!AA29,'Diferenças'!AA29)),IF($C$1="Est.+din. · r0 · t0.2 · p1",IF($I$1="Recalculado",'Recalculados'!AA30,IF($I$1="Registrado",'Registrados'!AA30,'Diferenças'!AA30)),IF($C$1="Est.+din. · r0 · t1 · p0.5",IF($I$1="Recalculado",'Recalculados'!AA31,IF($I$1="Registrado",'Registrados'!AA31,'Diferenças'!AA31)),IF($C$1="Est.+din. · r0 · t1 · p1",IF($I$1="Recalculado",'Recalculados'!AA32,IF($I$1="Registrado",'Registrados'!AA32,'Diferenças'!AA32)),"Sem célula")))))))</x:f>
        <x:v>1.25</x:v>
      </x:c>
    </x:row>
    <x:row r="27" ht="31" customHeight="1">
      <x:c r="A27" s="2"/>
      <x:c r="B27" s="9" t="str">
        <x:v>Rodadas: mediana</x:v>
      </x:c>
      <x:c r="C27" s="22" t="str">
        <x:f>IF($C$1="Estático · r0 · t1 · p1",IF($I$1="Recalculado",'Recalculados'!AB3,IF($I$1="Registrado",'Registrados'!AB3,'Diferenças'!AB3)),"Sem célula")</x:f>
        <x:v>NV</x:v>
      </x:c>
      <x:c r="D27" s="22" t="n">
        <x:f>IF($C$1="Dinâmico · r0 · t1 · p1",IF($I$1="Recalculado",'Recalculados'!AB4,IF($I$1="Registrado",'Registrados'!AB4,'Diferenças'!AB4)),IF($C$1="Estático · r0 · t0.2 · p1",IF($I$1="Recalculado",'Recalculados'!AB5,IF($I$1="Registrado",'Registrados'!AB5,'Diferenças'!AB5)),IF($C$1="Estático · r0 · t1 · p0.5",IF($I$1="Recalculado",'Recalculados'!AB6,IF($I$1="Registrado",'Registrados'!AB6,'Diferenças'!AB6)),IF($C$1="Estático · r0 · t1 · p1",IF($I$1="Recalculado",'Recalculados'!AB7,IF($I$1="Registrado",'Registrados'!AB7,'Diferenças'!AB7)),IF($C$1="Est.+din. · r0 · t0.2 · p1",IF($I$1="Recalculado",'Recalculados'!AB8,IF($I$1="Registrado",'Registrados'!AB8,'Diferenças'!AB8)),IF($C$1="Est.+din. · r0 · t1 · p0.5",IF($I$1="Recalculado",'Recalculados'!AB9,IF($I$1="Registrado",'Registrados'!AB9,'Diferenças'!AB9)),IF($C$1="Est.+din. · r0 · t1 · p1",IF($I$1="Recalculado",'Recalculados'!AB10,IF($I$1="Registrado",'Registrados'!AB10,'Diferenças'!AB10)),"Sem célula")))))))</x:f>
        <x:v>1</x:v>
      </x:c>
      <x:c r="E27" s="22" t="str">
        <x:f>IF($C$1="Estático · r1 · t1 · p1",IF($I$1="Recalculado",'Recalculados'!AB11,IF($I$1="Registrado",'Registrados'!AB11,'Diferenças'!AB11)),"Sem célula")</x:f>
        <x:v>Sem célula</x:v>
      </x:c>
      <x:c r="F27" s="22" t="str">
        <x:f>IF($C$1="Estático · r0 · t1 · p1",IF($I$1="Recalculado",'Recalculados'!AB12,IF($I$1="Registrado",'Registrados'!AB12,'Diferenças'!AB12)),"Sem célula")</x:f>
        <x:v>NV</x:v>
      </x:c>
      <x:c r="G27" s="22" t="str">
        <x:f>IF($C$1="Estático · r1 · t1 · p1",IF($I$1="Recalculado",'Recalculados'!AB13,IF($I$1="Registrado",'Registrados'!AB13,'Diferenças'!AB13)),"Sem célula")</x:f>
        <x:v>Sem célula</x:v>
      </x:c>
      <x:c r="H27" s="22" t="n">
        <x:f>IF($C$1="Dinâmico · r0 · t1 · p1",IF($I$1="Recalculado",'Recalculados'!AB14,IF($I$1="Registrado",'Registrados'!AB14,'Diferenças'!AB14)),IF($C$1="Estático · r0 · t1 · p1",IF($I$1="Recalculado",'Recalculados'!AB15,IF($I$1="Registrado",'Registrados'!AB15,'Diferenças'!AB15)),IF($C$1="Est.+din. · r0 · t0.2 · p1",IF($I$1="Recalculado",'Recalculados'!AB16,IF($I$1="Registrado",'Registrados'!AB16,'Diferenças'!AB16)),IF($C$1="Est.+din. · r0 · t1 · p0.5",IF($I$1="Recalculado",'Recalculados'!AB17,IF($I$1="Registrado",'Registrados'!AB17,'Diferenças'!AB17)),IF($C$1="Est.+din. · r0 · t1 · p1",IF($I$1="Recalculado",'Recalculados'!AB18,IF($I$1="Registrado",'Registrados'!AB18,'Diferenças'!AB18)),"Sem célula")))))</x:f>
        <x:v>2</x:v>
      </x:c>
      <x:c r="I27" s="22" t="str">
        <x:f>IF($C$1="Estático · r1 · t1 · p1",IF($I$1="Recalculado",'Recalculados'!AB19,IF($I$1="Registrado",'Registrados'!AB19,'Diferenças'!AB19)),"Sem célula")</x:f>
        <x:v>Sem célula</x:v>
      </x:c>
      <x:c r="J27" s="22" t="n">
        <x:f>IF($C$1="Dinâmico · r0 · t1 · p1",IF($I$1="Recalculado",'Recalculados'!AB20,IF($I$1="Registrado",'Registrados'!AB20,'Diferenças'!AB20)),IF($C$1="Estático · r0 · t1 · p1",IF($I$1="Recalculado",'Recalculados'!AB21,IF($I$1="Registrado",'Registrados'!AB21,'Diferenças'!AB21)),IF($C$1="Est.+din. · r0 · t1 · p1",IF($I$1="Recalculado",'Recalculados'!AB22,IF($I$1="Registrado",'Registrados'!AB22,'Diferenças'!AB22)),"Sem célula")))</x:f>
        <x:v>1</x:v>
      </x:c>
      <x:c r="K27" s="22" t="str">
        <x:f>IF($C$1="Estático · r1 · t1 · p1",IF($I$1="Recalculado",'Recalculados'!AB23,IF($I$1="Registrado",'Registrados'!AB23,'Diferenças'!AB23)),"Sem célula")</x:f>
        <x:v>Sem célula</x:v>
      </x:c>
      <x:c r="L27" s="22" t="str">
        <x:f>IF($C$1="Estático · r0 · t1 · p1",IF($I$1="Recalculado",'Recalculados'!AB24,IF($I$1="Registrado",'Registrados'!AB24,'Diferenças'!AB24)),"Sem célula")</x:f>
        <x:v>NV</x:v>
      </x:c>
      <x:c r="M27" s="22" t="str">
        <x:f>IF($C$1="Estático · r1 · t1 · p1",IF($I$1="Recalculado",'Recalculados'!AB25,IF($I$1="Registrado",'Registrados'!AB25,'Diferenças'!AB25)),"Sem célula")</x:f>
        <x:v>Sem célula</x:v>
      </x:c>
      <x:c r="N27" s="22" t="n">
        <x:f>IF($C$1="Dinâmico · r0 · t1 · p1",IF($I$1="Recalculado",'Recalculados'!AB26,IF($I$1="Registrado",'Registrados'!AB26,'Diferenças'!AB26)),IF($C$1="Estático · r0 · t0.2 · p1",IF($I$1="Recalculado",'Recalculados'!AB27,IF($I$1="Registrado",'Registrados'!AB27,'Diferenças'!AB27)),IF($C$1="Estático · r0 · t1 · p0.5",IF($I$1="Recalculado",'Recalculados'!AB28,IF($I$1="Registrado",'Registrados'!AB28,'Diferenças'!AB28)),IF($C$1="Estático · r0 · t1 · p1",IF($I$1="Recalculado",'Recalculados'!AB29,IF($I$1="Registrado",'Registrados'!AB29,'Diferenças'!AB29)),IF($C$1="Est.+din. · r0 · t0.2 · p1",IF($I$1="Recalculado",'Recalculados'!AB30,IF($I$1="Registrado",'Registrados'!AB30,'Diferenças'!AB30)),IF($C$1="Est.+din. · r0 · t1 · p0.5",IF($I$1="Recalculado",'Recalculados'!AB31,IF($I$1="Registrado",'Registrados'!AB31,'Diferenças'!AB31)),IF($C$1="Est.+din. · r0 · t1 · p1",IF($I$1="Recalculado",'Recalculados'!AB32,IF($I$1="Registrado",'Registrados'!AB32,'Diferenças'!AB32)),"Sem célula")))))))</x:f>
        <x:v>1</x:v>
      </x:c>
    </x:row>
    <x:row r="28" ht="105" customHeight="1">
      <x:c r="A28" s="2"/>
      <x:c r="B28" s="9" t="str">
        <x:v>Fila por rodada</x:v>
      </x:c>
      <x:c r="C28" s="18" t="str">
        <x:f>IF($C$1="Estático · r0 · t1 · p1",IF($I$1="Recalculado",'Recalculados'!AC3,IF($I$1="Registrado",'Registrados'!AC3,'Diferenças'!AC3)),"Sem célula")</x:f>
        <x:v>0: 0</x:v>
      </x:c>
      <x:c r="D28" s="18" t="str">
        <x:f>IF($C$1="Dinâmico · r0 · t1 · p1",IF($I$1="Recalculado",'Recalculados'!AC4,IF($I$1="Registrado",'Registrados'!AC4,'Diferenças'!AC4)),IF($C$1="Estático · r0 · t0.2 · p1",IF($I$1="Recalculado",'Recalculados'!AC5,IF($I$1="Registrado",'Registrados'!AC5,'Diferenças'!AC5)),IF($C$1="Estático · r0 · t1 · p0.5",IF($I$1="Recalculado",'Recalculados'!AC6,IF($I$1="Registrado",'Registrados'!AC6,'Diferenças'!AC6)),IF($C$1="Estático · r0 · t1 · p1",IF($I$1="Recalculado",'Recalculados'!AC7,IF($I$1="Registrado",'Registrados'!AC7,'Diferenças'!AC7)),IF($C$1="Est.+din. · r0 · t0.2 · p1",IF($I$1="Recalculado",'Recalculados'!AC8,IF($I$1="Registrado",'Registrados'!AC8,'Diferenças'!AC8)),IF($C$1="Est.+din. · r0 · t1 · p0.5",IF($I$1="Recalculado",'Recalculados'!AC9,IF($I$1="Registrado",'Registrados'!AC9,'Diferenças'!AC9)),IF($C$1="Est.+din. · r0 · t1 · p1",IF($I$1="Recalculado",'Recalculados'!AC10,IF($I$1="Registrado",'Registrados'!AC10,'Diferenças'!AC10)),"Sem célula")))))))</x:f>
        <x:v>0: 1006 · 1: 1006 · 2: 293 · 3: 155 · 4: 137 · 5: 122 · 6: 116 · 7: 106 · 8: 98 · 9: 95 · 10: 93 · 11: 90</x:v>
      </x:c>
      <x:c r="E28" s="18" t="str">
        <x:f>IF($C$1="Estático · r1 · t1 · p1",IF($I$1="Recalculado",'Recalculados'!AC11,IF($I$1="Registrado",'Registrados'!AC11,'Diferenças'!AC11)),"Sem célula")</x:f>
        <x:v>Sem célula</x:v>
      </x:c>
      <x:c r="F28" s="18" t="str">
        <x:f>IF($C$1="Estático · r0 · t1 · p1",IF($I$1="Recalculado",'Recalculados'!AC12,IF($I$1="Registrado",'Registrados'!AC12,'Diferenças'!AC12)),"Sem célula")</x:f>
        <x:v>0: 0</x:v>
      </x:c>
      <x:c r="G28" s="18" t="str">
        <x:f>IF($C$1="Estático · r1 · t1 · p1",IF($I$1="Recalculado",'Recalculados'!AC13,IF($I$1="Registrado",'Registrados'!AC13,'Diferenças'!AC13)),"Sem célula")</x:f>
        <x:v>Sem célula</x:v>
      </x:c>
      <x:c r="H28" s="18" t="str">
        <x:f>IF($C$1="Dinâmico · r0 · t1 · p1",IF($I$1="Recalculado",'Recalculados'!AC14,IF($I$1="Registrado",'Registrados'!AC14,'Diferenças'!AC14)),IF($C$1="Estático · r0 · t1 · p1",IF($I$1="Recalculado",'Recalculados'!AC15,IF($I$1="Registrado",'Registrados'!AC15,'Diferenças'!AC15)),IF($C$1="Est.+din. · r0 · t0.2 · p1",IF($I$1="Recalculado",'Recalculados'!AC16,IF($I$1="Registrado",'Registrados'!AC16,'Diferenças'!AC16)),IF($C$1="Est.+din. · r0 · t1 · p0.5",IF($I$1="Recalculado",'Recalculados'!AC17,IF($I$1="Registrado",'Registrados'!AC17,'Diferenças'!AC17)),IF($C$1="Est.+din. · r0 · t1 · p1",IF($I$1="Recalculado",'Recalculados'!AC18,IF($I$1="Registrado",'Registrados'!AC18,'Diferenças'!AC18)),"Sem célula")))))</x:f>
        <x:v>0: 1491 · 1: 1491 · 2: 934 · 3: 508 · 4: 377 · 5: 303 · 6: 264 · 7: 232 · 8: 206 · 9: 185 · 10: 167 · 11: 154</x:v>
      </x:c>
      <x:c r="I28" s="18" t="str">
        <x:f>IF($C$1="Estático · r1 · t1 · p1",IF($I$1="Recalculado",'Recalculados'!AC19,IF($I$1="Registrado",'Registrados'!AC19,'Diferenças'!AC19)),"Sem célula")</x:f>
        <x:v>Sem célula</x:v>
      </x:c>
      <x:c r="J28" s="18" t="str">
        <x:f>IF($C$1="Dinâmico · r0 · t1 · p1",IF($I$1="Recalculado",'Recalculados'!AC20,IF($I$1="Registrado",'Registrados'!AC20,'Diferenças'!AC20)),IF($C$1="Estático · r0 · t1 · p1",IF($I$1="Recalculado",'Recalculados'!AC21,IF($I$1="Registrado",'Registrados'!AC21,'Diferenças'!AC21)),IF($C$1="Est.+din. · r0 · t1 · p1",IF($I$1="Recalculado",'Recalculados'!AC22,IF($I$1="Registrado",'Registrados'!AC22,'Diferenças'!AC22)),"Sem célula")))</x:f>
        <x:v>0: 638 · 1: 638 · 2: 66 · 3: 22 · 4: 14 · 5: 14 · 6: 14 · 7: 13 · 8: 12 · 9: 11 · 10: 10 · 11: 9</x:v>
      </x:c>
      <x:c r="K28" s="18" t="str">
        <x:f>IF($C$1="Estático · r1 · t1 · p1",IF($I$1="Recalculado",'Recalculados'!AC23,IF($I$1="Registrado",'Registrados'!AC23,'Diferenças'!AC23)),"Sem célula")</x:f>
        <x:v>Sem célula</x:v>
      </x:c>
      <x:c r="L28" s="18" t="str">
        <x:f>IF($C$1="Estático · r0 · t1 · p1",IF($I$1="Recalculado",'Recalculados'!AC24,IF($I$1="Registrado",'Registrados'!AC24,'Diferenças'!AC24)),"Sem célula")</x:f>
        <x:v>0: 0</x:v>
      </x:c>
      <x:c r="M28" s="18" t="str">
        <x:f>IF($C$1="Estático · r1 · t1 · p1",IF($I$1="Recalculado",'Recalculados'!AC25,IF($I$1="Registrado",'Registrados'!AC25,'Diferenças'!AC25)),"Sem célula")</x:f>
        <x:v>Sem célula</x:v>
      </x:c>
      <x:c r="N28" s="18" t="str">
        <x:f>IF($C$1="Dinâmico · r0 · t1 · p1",IF($I$1="Recalculado",'Recalculados'!AC26,IF($I$1="Registrado",'Registrados'!AC26,'Diferenças'!AC26)),IF($C$1="Estático · r0 · t0.2 · p1",IF($I$1="Recalculado",'Recalculados'!AC27,IF($I$1="Registrado",'Registrados'!AC27,'Diferenças'!AC27)),IF($C$1="Estático · r0 · t1 · p0.5",IF($I$1="Recalculado",'Recalculados'!AC28,IF($I$1="Registrado",'Registrados'!AC28,'Diferenças'!AC28)),IF($C$1="Estático · r0 · t1 · p1",IF($I$1="Recalculado",'Recalculados'!AC29,IF($I$1="Registrado",'Registrados'!AC29,'Diferenças'!AC29)),IF($C$1="Est.+din. · r0 · t0.2 · p1",IF($I$1="Recalculado",'Recalculados'!AC30,IF($I$1="Registrado",'Registrados'!AC30,'Diferenças'!AC30)),IF($C$1="Est.+din. · r0 · t1 · p0.5",IF($I$1="Recalculado",'Recalculados'!AC31,IF($I$1="Registrado",'Registrados'!AC31,'Diferenças'!AC31)),IF($C$1="Est.+din. · r0 · t1 · p1",IF($I$1="Recalculado",'Recalculados'!AC32,IF($I$1="Registrado",'Registrados'!AC32,'Diferenças'!AC32)),"Sem célula")))))))</x:f>
        <x:v>0: 1118 · 1: 1118 · 2: 198 · 3: 74 · 4: 60 · 5: 54 · 6: 47 · 7: 43 · 8: 40 · 9: 39 · 10: 39 · 11: 36</x:v>
      </x:c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46" customHeight="1">
      <x:c r="A31" s="2"/>
      <x:c r="B31" s="6" t="str">
        <x:v>Detalhe</x:v>
      </x:c>
      <x:c r="C31" s="6" t="str">
        <x:v>claude-fable-5</x:v>
      </x:c>
      <x:c r="D31" s="6" t="str">
        <x:v>deepseek-v4-pro</x:v>
      </x:c>
      <x:c r="E31" s="6" t="str">
        <x:v>deepseek-v4-pro
thinking</x:v>
      </x:c>
      <x:c r="F31" s="6" t="str">
        <x:v>gemini-3-pro</x:v>
      </x:c>
      <x:c r="G31" s="6" t="str">
        <x:v>gemini-3-pro
thinking</x:v>
      </x:c>
      <x:c r="H31" s="6" t="str">
        <x:v>glm-5.1</x:v>
      </x:c>
      <x:c r="I31" s="6" t="str">
        <x:v>glm-5.1
thinking</x:v>
      </x:c>
      <x:c r="J31" s="6" t="str">
        <x:v>kimi-k3</x:v>
      </x:c>
      <x:c r="K31" s="6" t="str">
        <x:v>kimi-k3
thinking</x:v>
      </x:c>
      <x:c r="L31" s="6" t="str">
        <x:v>openai-gpt56-sol</x:v>
      </x:c>
      <x:c r="M31" s="6" t="str">
        <x:v>openai-gpt56-sol
thinking</x:v>
      </x:c>
      <x:c r="N31" s="6" t="str">
        <x:v>qwen-max</x:v>
      </x:c>
    </x:row>
    <x:row r="32" ht="32" customHeight="1">
      <x:c r="A32" s="2"/>
      <x:c r="B32" s="29" t="str">
        <x:v>Medição</x:v>
      </x:c>
      <x:c r="C32" s="7" t="str">
        <x:f>IF($C$1="Estático · r0 · t1 · p1","Desconhecida","Sem célula")</x:f>
        <x:v>Desconhecida</x:v>
      </x:c>
      <x:c r="D32" s="7" t="str">
        <x:f>IF($C$1="Dinâmico · r0 · t1 · p1","static+dynamic",IF($C$1="Estático · r0 · t0.2 · p1","static",IF($C$1="Estático · r0 · t1 · p0.5","static",IF($C$1="Estático · r0 · t1 · p1","static",IF($C$1="Est.+din. · r0 · t0.2 · p1","static+dynamic",IF($C$1="Est.+din. · r0 · t1 · p0.5","static+dynamic",IF($C$1="Est.+din. · r0 · t1 · p1","static+dynamic","Sem célula")))))))</x:f>
        <x:v>static</x:v>
      </x:c>
      <x:c r="E32" s="7" t="str">
        <x:f>IF($C$1="Estático · r1 · t1 · p1","static","Sem célula")</x:f>
        <x:v>Sem célula</x:v>
      </x:c>
      <x:c r="F32" s="7" t="str">
        <x:f>IF($C$1="Estático · r0 · t1 · p1","Desconhecida","Sem célula")</x:f>
        <x:v>Desconhecida</x:v>
      </x:c>
      <x:c r="G32" s="7" t="str">
        <x:f>IF($C$1="Estático · r1 · t1 · p1","Desconhecida","Sem célula")</x:f>
        <x:v>Sem célula</x:v>
      </x:c>
      <x:c r="H32" s="7" t="str">
        <x:f>IF($C$1="Dinâmico · r0 · t1 · p1","Desconhecida",IF($C$1="Estático · r0 · t1 · p1","static",IF($C$1="Est.+din. · r0 · t0.2 · p1","static+dynamic",IF($C$1="Est.+din. · r0 · t1 · p0.5","Desconhecida",IF($C$1="Est.+din. · r0 · t1 · p1","static+dynamic","Sem célula")))))</x:f>
        <x:v>static</x:v>
      </x:c>
      <x:c r="I32" s="7" t="str">
        <x:f>IF($C$1="Estático · r1 · t1 · p1","Desconhecida","Sem célula")</x:f>
        <x:v>Sem célula</x:v>
      </x:c>
      <x:c r="J32" s="7" t="str">
        <x:f>IF($C$1="Dinâmico · r0 · t1 · p1","static+dynamic",IF($C$1="Estático · r0 · t1 · p1","static",IF($C$1="Est.+din. · r0 · t1 · p1","static+dynamic","Sem célula")))</x:f>
        <x:v>static</x:v>
      </x:c>
      <x:c r="K32" s="7" t="str">
        <x:f>IF($C$1="Estático · r1 · t1 · p1","Desconhecida","Sem célula")</x:f>
        <x:v>Sem célula</x:v>
      </x:c>
      <x:c r="L32" s="7" t="str">
        <x:f>IF($C$1="Estático · r0 · t1 · p1","Desconhecida","Sem célula")</x:f>
        <x:v>Desconhecida</x:v>
      </x:c>
      <x:c r="M32" s="7" t="str">
        <x:f>IF($C$1="Estático · r1 · t1 · p1","Desconhecida","Sem célula")</x:f>
        <x:v>Sem célula</x:v>
      </x:c>
      <x:c r="N32" s="7" t="str">
        <x:f>IF($C$1="Dinâmico · r0 · t1 · p1","static+dynamic",IF($C$1="Estático · r0 · t0.2 · p1","static",IF($C$1="Estático · r0 · t1 · p0.5","static",IF($C$1="Estático · r0 · t1 · p1","static",IF($C$1="Est.+din. · r0 · t0.2 · p1","static+dynamic",IF($C$1="Est.+din. · r0 · t1 · p0.5","static+dynamic",IF($C$1="Est.+din. · r0 · t1 · p1","static+dynamic","Sem célula")))))))</x:f>
        <x:v>static</x:v>
      </x:c>
    </x:row>
    <x:row r="33" ht="32" customHeight="1">
      <x:c r="A33" s="2"/>
      <x:c r="B33" s="29" t="str">
        <x:v>Tem manifest?</x:v>
      </x:c>
      <x:c r="C33" s="7" t="str">
        <x:f>IF($C$1="Estático · r0 · t1 · p1","Não","Sem célula")</x:f>
        <x:v>Não</x:v>
      </x:c>
      <x:c r="D33" s="7" t="str">
        <x:f>IF($C$1="Dinâmico · r0 · t1 · p1","Sim",IF($C$1="Estático · r0 · t0.2 · p1","Sim",IF($C$1="Estático · r0 · t1 · p0.5","Sim",IF($C$1="Estático · r0 · t1 · p1","Sim",IF($C$1="Est.+din. · r0 · t0.2 · p1","Sim",IF($C$1="Est.+din. · r0 · t1 · p0.5","Sim",IF($C$1="Est.+din. · r0 · t1 · p1","Sim","Sem célula")))))))</x:f>
        <x:v>Sim</x:v>
      </x:c>
      <x:c r="E33" s="7" t="str">
        <x:f>IF($C$1="Estático · r1 · t1 · p1","Sim","Sem célula")</x:f>
        <x:v>Sem célula</x:v>
      </x:c>
      <x:c r="F33" s="7" t="str">
        <x:f>IF($C$1="Estático · r0 · t1 · p1","Não","Sem célula")</x:f>
        <x:v>Não</x:v>
      </x:c>
      <x:c r="G33" s="7" t="str">
        <x:f>IF($C$1="Estático · r1 · t1 · p1","Não","Sem célula")</x:f>
        <x:v>Sem célula</x:v>
      </x:c>
      <x:c r="H33" s="7" t="str">
        <x:f>IF($C$1="Dinâmico · r0 · t1 · p1","Não",IF($C$1="Estático · r0 · t1 · p1","Sim",IF($C$1="Est.+din. · r0 · t0.2 · p1","Sim",IF($C$1="Est.+din. · r0 · t1 · p0.5","Não",IF($C$1="Est.+din. · r0 · t1 · p1","Sim","Sem célula")))))</x:f>
        <x:v>Sim</x:v>
      </x:c>
      <x:c r="I33" s="7" t="str">
        <x:f>IF($C$1="Estático · r1 · t1 · p1","Não","Sem célula")</x:f>
        <x:v>Sem célula</x:v>
      </x:c>
      <x:c r="J33" s="7" t="str">
        <x:f>IF($C$1="Dinâmico · r0 · t1 · p1","Sim",IF($C$1="Estático · r0 · t1 · p1","Sim",IF($C$1="Est.+din. · r0 · t1 · p1","Sim","Sem célula")))</x:f>
        <x:v>Sim</x:v>
      </x:c>
      <x:c r="K33" s="7" t="str">
        <x:f>IF($C$1="Estático · r1 · t1 · p1","Não","Sem célula")</x:f>
        <x:v>Sem célula</x:v>
      </x:c>
      <x:c r="L33" s="7" t="str">
        <x:f>IF($C$1="Estático · r0 · t1 · p1","Não","Sem célula")</x:f>
        <x:v>Não</x:v>
      </x:c>
      <x:c r="M33" s="7" t="str">
        <x:f>IF($C$1="Estático · r1 · t1 · p1","Não","Sem célula")</x:f>
        <x:v>Sem célula</x:v>
      </x:c>
      <x:c r="N33" s="7" t="str">
        <x:f>IF($C$1="Dinâmico · r0 · t1 · p1","Sim",IF($C$1="Estático · r0 · t0.2 · p1","Sim",IF($C$1="Estático · r0 · t1 · p0.5","Sim",IF($C$1="Estático · r0 · t1 · p1","Sim",IF($C$1="Est.+din. · r0 · t0.2 · p1","Sim",IF($C$1="Est.+din. · r0 · t1 · p0.5","Sim",IF($C$1="Est.+din. · r0 · t1 · p1","Sim","Sem célula")))))))</x:f>
        <x:v>Sim</x:v>
      </x:c>
    </x:row>
    <x:row r="34" ht="32" customHeight="1">
      <x:c r="A34" s="2"/>
      <x:c r="B34" s="29" t="str">
        <x:v>Códigos por amostra</x:v>
      </x:c>
      <x:c r="C34" s="7" t="str">
        <x:f>IF($C$1="Estático · r0 · t1 · p1","1ª: 26","Sem célula")</x:f>
        <x:v>1ª: 26</x:v>
      </x:c>
      <x:c r="D34" s="7" t="str">
        <x:f>IF($C$1="Dinâmico · r0 · t1 · p1","1ª: 200 · 2ª: 200 · 3ª: 200",IF($C$1="Estático · r0 · t0.2 · p1","1ª: 200",IF($C$1="Estático · r0 · t1 · p0.5","1ª: 200",IF($C$1="Estático · r0 · t1 · p1","1ª: 974 · 2ª: 974 · 3ª: 974",IF($C$1="Est.+din. · r0 · t0.2 · p1","1ª: 200 · 2ª: 200 · 3ª: 200",IF($C$1="Est.+din. · r0 · t1 · p0.5","1ª: 200 · 2ª: 200 · 3ª: 200",IF($C$1="Est.+din. · r0 · t1 · p1","1ª: 200 · 2ª: 200 · 3ª: 200","Sem célula")))))))</x:f>
        <x:v>1ª: 974 · 2ª: 974 · 3ª: 974</x:v>
      </x:c>
      <x:c r="E34" s="7" t="str">
        <x:f>IF($C$1="Estático · r1 · t1 · p1","1ª: 201 · 2ª: 198 · 3ª: 199","Sem célula")</x:f>
        <x:v>Sem célula</x:v>
      </x:c>
      <x:c r="F34" s="7" t="str">
        <x:f>IF($C$1="Estático · r0 · t1 · p1","1ª: 8","Sem célula")</x:f>
        <x:v>1ª: 8</x:v>
      </x:c>
      <x:c r="G34" s="7" t="str">
        <x:f>IF($C$1="Estático · r1 · t1 · p1","1ª: 1","Sem célula")</x:f>
        <x:v>Sem célula</x:v>
      </x:c>
      <x:c r="H34" s="7" t="str">
        <x:f>IF($C$1="Dinâmico · r0 · t1 · p1","1ª: 200 · 2ª: 200 · 3ª: 200",IF($C$1="Estático · r0 · t1 · p1","1ª: 974 · 2ª: 974 · 3ª: 974",IF($C$1="Est.+din. · r0 · t0.2 · p1","1ª: 200 · 2ª: 200 · 3ª: 200",IF($C$1="Est.+din. · r0 · t1 · p0.5","1ª: 200 · 2ª: 200 · 3ª: 200",IF($C$1="Est.+din. · r0 · t1 · p1","1ª: 200 · 2ª: 200 · 3ª: 200","Sem célula")))))</x:f>
        <x:v>1ª: 974 · 2ª: 974 · 3ª: 974</x:v>
      </x:c>
      <x:c r="I34" s="7" t="str">
        <x:f>IF($C$1="Estático · r1 · t1 · p1","1ª: 1","Sem célula")</x:f>
        <x:v>Sem célula</x:v>
      </x:c>
      <x:c r="J34" s="7" t="str">
        <x:f>IF($C$1="Dinâmico · r0 · t1 · p1","1ª: 200 · 2ª: 200 · 3ª: 200",IF($C$1="Estático · r0 · t1 · p1","1ª: 974 · 2ª: 974 · 3ª: 974",IF($C$1="Est.+din. · r0 · t1 · p1","1ª: 200 · 2ª: 200 · 3ª: 200","Sem célula")))</x:f>
        <x:v>1ª: 974 · 2ª: 974 · 3ª: 974</x:v>
      </x:c>
      <x:c r="K34" s="7" t="str">
        <x:f>IF($C$1="Estático · r1 · t1 · p1","1ª: 171","Sem célula")</x:f>
        <x:v>Sem célula</x:v>
      </x:c>
      <x:c r="L34" s="7" t="str">
        <x:f>IF($C$1="Estático · r0 · t1 · p1","1ª: 19","Sem célula")</x:f>
        <x:v>1ª: 19</x:v>
      </x:c>
      <x:c r="M34" s="7" t="str">
        <x:f>IF($C$1="Estático · r1 · t1 · p1","1ª: 1","Sem célula")</x:f>
        <x:v>Sem célula</x:v>
      </x:c>
      <x:c r="N34" s="7" t="str">
        <x:f>IF($C$1="Dinâmico · r0 · t1 · p1","1ª: 200 · 2ª: 200 · 3ª: 200",IF($C$1="Estático · r0 · t0.2 · p1","1ª: 200",IF($C$1="Estático · r0 · t1 · p0.5","1ª: 200",IF($C$1="Estático · r0 · t1 · p1","1ª: 974 · 2ª: 974 · 3ª: 974",IF($C$1="Est.+din. · r0 · t0.2 · p1","1ª: 200 · 2ª: 200 · 3ª: 200",IF($C$1="Est.+din. · r0 · t1 · p0.5","1ª: 200 · 2ª: 200 · 3ª: 200",IF($C$1="Est.+din. · r0 · t1 · p1","1ª: 200 · 2ª: 200","Sem célula")))))))</x:f>
        <x:v>1ª: 974 · 2ª: 974 · 3ª: 974</x:v>
      </x:c>
    </x:row>
    <x:row r="35" ht="60" customHeight="1">
      <x:c r="A35" s="2"/>
      <x:c r="B35" s="29" t="str">
        <x:v>Caminho relativo</x:v>
      </x:c>
      <x:c r="C35" s="11" t="str">
        <x:f>IF($C$1="Estático · r0 · t1 · p1",'Recalculados'!AD3,"Sem célula")</x:f>
        <x:v>collected_code_6/claude-fable-5/feedback-static-r0-t1.0-p1.0</x:v>
      </x:c>
      <x:c r="D35" s="11" t="str">
        <x:f>IF($C$1="Dinâmico · r0 · t1 · p1",'Recalculados'!AD4,IF($C$1="Estático · r0 · t0.2 · p1",'Recalculados'!AD5,IF($C$1="Estático · r0 · t1 · p0.5",'Recalculados'!AD6,IF($C$1="Estático · r0 · t1 · p1",'Recalculados'!AD7,IF($C$1="Est.+din. · r0 · t0.2 · p1",'Recalculados'!AD8,IF($C$1="Est.+din. · r0 · t1 · p0.5",'Recalculados'!AD9,IF($C$1="Est.+din. · r0 · t1 · p1",'Recalculados'!AD10,"Sem célula")))))))</x:f>
        <x:v>collected_code_6/deepseek-v4-pro/feedback-static-r0-t1.0-p1.0</x:v>
      </x:c>
      <x:c r="E35" s="11" t="str">
        <x:f>IF($C$1="Estático · r1 · t1 · p1",'Recalculados'!AD11,"Sem célula")</x:f>
        <x:v>Sem célula</x:v>
      </x:c>
      <x:c r="F35" s="11" t="str">
        <x:f>IF($C$1="Estático · r0 · t1 · p1",'Recalculados'!AD12,"Sem célula")</x:f>
        <x:v>collected_code_6/gemini-3-pro/feedback-static-r0-t1.0-p1.0</x:v>
      </x:c>
      <x:c r="G35" s="11" t="str">
        <x:f>IF($C$1="Estático · r1 · t1 · p1",'Recalculados'!AD13,"Sem célula")</x:f>
        <x:v>Sem célula</x:v>
      </x:c>
      <x:c r="H35" s="11" t="str">
        <x:f>IF($C$1="Dinâmico · r0 · t1 · p1",'Recalculados'!AD14,IF($C$1="Estático · r0 · t1 · p1",'Recalculados'!AD15,IF($C$1="Est.+din. · r0 · t0.2 · p1",'Recalculados'!AD16,IF($C$1="Est.+din. · r0 · t1 · p0.5",'Recalculados'!AD17,IF($C$1="Est.+din. · r0 · t1 · p1",'Recalculados'!AD18,"Sem célula")))))</x:f>
        <x:v>collected_code_6/glm-5.1/feedback-static-r0-t1.0-p1.0</x:v>
      </x:c>
      <x:c r="I35" s="11" t="str">
        <x:f>IF($C$1="Estático · r1 · t1 · p1",'Recalculados'!AD19,"Sem célula")</x:f>
        <x:v>Sem célula</x:v>
      </x:c>
      <x:c r="J35" s="11" t="str">
        <x:f>IF($C$1="Dinâmico · r0 · t1 · p1",'Recalculados'!AD20,IF($C$1="Estático · r0 · t1 · p1",'Recalculados'!AD21,IF($C$1="Est.+din. · r0 · t1 · p1",'Recalculados'!AD22,"Sem célula")))</x:f>
        <x:v>collected_code_6/kimi-k3/feedback-static-r0-t1.0-p1.0</x:v>
      </x:c>
      <x:c r="K35" s="11" t="str">
        <x:f>IF($C$1="Estático · r1 · t1 · p1",'Recalculados'!AD23,"Sem célula")</x:f>
        <x:v>Sem célula</x:v>
      </x:c>
      <x:c r="L35" s="11" t="str">
        <x:f>IF($C$1="Estático · r0 · t1 · p1",'Recalculados'!AD24,"Sem célula")</x:f>
        <x:v>collected_code_6/openai-gpt56-sol/feedback-static-r0-t1.0-p1.0</x:v>
      </x:c>
      <x:c r="M35" s="11" t="str">
        <x:f>IF($C$1="Estático · r1 · t1 · p1",'Recalculados'!AD25,"Sem célula")</x:f>
        <x:v>Sem célula</x:v>
      </x:c>
      <x:c r="N35" s="11" t="str">
        <x:f>IF($C$1="Dinâmico · r0 · t1 · p1",'Recalculados'!AD26,IF($C$1="Estático · r0 · t0.2 · p1",'Recalculados'!AD27,IF($C$1="Estático · r0 · t1 · p0.5",'Recalculados'!AD28,IF($C$1="Estático · r0 · t1 · p1",'Recalculados'!AD29,IF($C$1="Est.+din. · r0 · t0.2 · p1",'Recalculados'!AD30,IF($C$1="Est.+din. · r0 · t1 · p0.5",'Recalculados'!AD31,IF($C$1="Est.+din. · r0 · t1 · p1",'Recalculados'!AD32,"Sem célula")))))))</x:f>
        <x:v>collected_code_6/qwen-max/feedback-static-r0-t1.0-p1.0</x:v>
      </x:c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</x:sheetData>
  <x:conditionalFormatting sqref="C4:N4">
    <x:cfRule type="expression" dxfId="13" priority="1">
      <x:formula>$I$1="Diferença"</x:formula>
    </x:cfRule>
  </x:conditionalFormatting>
  <x:conditionalFormatting sqref="C7:N7">
    <x:cfRule type="expression" dxfId="14" priority="2">
      <x:formula>$I$1="Diferença"</x:formula>
    </x:cfRule>
  </x:conditionalFormatting>
  <x:conditionalFormatting sqref="C19:N19">
    <x:cfRule type="expression" dxfId="15" priority="3">
      <x:formula>$I$1="Diferença"</x:formula>
    </x:cfRule>
  </x:conditionalFormatting>
  <x:conditionalFormatting sqref="C21:N21">
    <x:cfRule type="expression" dxfId="16" priority="4">
      <x:formula>$I$1="Diferença"</x:formula>
    </x:cfRule>
  </x:conditionalFormatting>
  <x:conditionalFormatting sqref="C22:N22">
    <x:cfRule type="expression" dxfId="17" priority="5">
      <x:formula>$I$1="Diferença"</x:formula>
    </x:cfRule>
  </x:conditionalFormatting>
  <x:conditionalFormatting sqref="C3:N28">
    <x:cfRule type="expression" dxfId="18" priority="6">
      <x:formula>AND($I$1="Diferença",ISNUMBER(C3),C3&lt;&gt;0)</x:formula>
    </x:cfRule>
    <x:cfRule type="cellIs" dxfId="19" priority="7" operator="equal">
      <x:formula>"NV"</x:formula>
    </x:cfRule>
    <x:cfRule type="cellIs" dxfId="20" priority="8" operator="equal">
      <x:formula>"N/A"</x:formula>
    </x:cfRule>
    <x:cfRule type="cellIs" dxfId="21" priority="9" operator="equal">
      <x:formula>"Sem registro"</x:formula>
    </x:cfRule>
    <x:cfRule type="cellIs" dxfId="22" priority="10" operator="equal">
      <x:formula>"Sem célula"</x:formula>
    </x:cfRule>
  </x:conditionalFormatting>
  <x:dataValidations count="2">
    <x:dataValidation type="list" sqref="C1">
      <x:formula1>"Dinâmico · r0 · t1 · p1,Est.+din. · r0 · t0.2 · p1,Est.+din. · r0 · t1 · p0.5,Est.+din. · r0 · t1 · p1,Estático · r0 · t0.2 · p1,Estático · r0 · t1 · p0.5,Estático · r0 · t1 · p1,Estático · r1 · t1 · p1"</x:formula1>
    </x:dataValidation>
    <x:dataValidation type="list" sqref="I1">
      <x:formula1>"Recalculado,Registrado,Diferença"</x:formula1>
    </x:dataValidation>
  </x:dataValidations>
  <x:pageMargins left="0.7" right="0.7" top="0.75" bottom="0.75" header="0.3" footer="0.3"/>
  <x:legacyDrawing xmlns:r="http://schemas.openxmlformats.org/officeDocument/2006/relationships" r:id="Rd8f3f6e73e984915"/>
</x:worksheet>
</file>

<file path=xl/worksheets/sheet2.xml><?xml version="1.0" encoding="utf-8"?>
<x:worksheet xmlns:x="http://schemas.openxmlformats.org/spreadsheetml/2006/main">
  <x:sheetPr>
    <x:tabColor rgb="FF174D7A"/>
  </x:sheetPr>
  <x:sheetViews>
    <x:sheetView showGridLines="0" workbookViewId="0">
      <x:pane xSplit="3" ySplit="2" topLeftCell="D3" activePane="bottomRight" state="frozen"/>
    </x:sheetView>
  </x:sheetViews>
  <x:sheetFormatPr defaultRowHeight="15"/>
  <x:cols>
    <x:col min="1" max="1" width="2.440000057220459" hidden="0" customWidth="1"/>
    <x:col min="2" max="2" width="22" hidden="0" customWidth="1"/>
    <x:col min="3" max="3" width="35.11000061035156" hidden="0" customWidth="1"/>
    <x:col min="4" max="4" width="12.890000343322754" hidden="0" customWidth="1"/>
    <x:col min="5" max="5" width="12.890000343322754" hidden="0" customWidth="1"/>
    <x:col min="6" max="6" width="12.890000343322754" hidden="0" customWidth="1"/>
    <x:col min="7" max="7" width="12.890000343322754" hidden="0" customWidth="1"/>
    <x:col min="8" max="8" width="12.890000343322754" hidden="0" customWidth="1"/>
    <x:col min="9" max="9" width="12.890000343322754" hidden="0" customWidth="1"/>
    <x:col min="10" max="10" width="12.890000343322754" hidden="0" customWidth="1"/>
    <x:col min="11" max="11" width="12.890000343322754" hidden="0" customWidth="1"/>
    <x:col min="12" max="12" width="12.890000343322754" hidden="0" customWidth="1"/>
    <x:col min="13" max="13" width="12.890000343322754" hidden="0" customWidth="1"/>
    <x:col min="14" max="14" width="12.890000343322754" hidden="0" customWidth="1"/>
    <x:col min="15" max="15" width="12.890000343322754" hidden="0" customWidth="1"/>
    <x:col min="16" max="16" width="12.890000343322754" hidden="0" customWidth="1"/>
    <x:col min="17" max="17" width="12.890000343322754" hidden="0" customWidth="1"/>
    <x:col min="18" max="18" width="12.890000343322754" hidden="0" customWidth="1"/>
    <x:col min="19" max="19" width="12.890000343322754" hidden="0" customWidth="1"/>
    <x:col min="20" max="20" width="12.890000343322754" hidden="0" customWidth="1"/>
    <x:col min="21" max="21" width="12.890000343322754" hidden="0" customWidth="1"/>
    <x:col min="22" max="22" width="12.890000343322754" hidden="0" customWidth="1"/>
    <x:col min="23" max="23" width="12.890000343322754" hidden="0" customWidth="1"/>
    <x:col min="24" max="24" width="12.890000343322754" hidden="0" customWidth="1"/>
    <x:col min="25" max="25" width="12.890000343322754" hidden="0" customWidth="1"/>
    <x:col min="26" max="26" width="12.890000343322754" hidden="0" customWidth="1"/>
    <x:col min="27" max="27" width="12.890000343322754" hidden="0" customWidth="1"/>
    <x:col min="28" max="28" width="12.890000343322754" hidden="0" customWidth="1"/>
    <x:col min="29" max="29" width="40" hidden="0" customWidth="1"/>
    <x:col min="30" max="30" width="57.779998779296875" hidden="0" customWidth="1"/>
  </x:cols>
  <x:sheetData>
    <x:row r="1" ht="28" customHeight="1">
      <x:c r="A1" s="2"/>
      <x:c r="B1" s="2" t="str">
        <x:v>Conferência de 14/09/2026</x:v>
      </x:c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46" customHeight="1">
      <x:c r="A2" s="2"/>
      <x:c r="B2" s="6" t="str">
        <x:v>Modelo</x:v>
      </x:c>
      <x:c r="C2" s="6" t="str">
        <x:v>Configuração</x:v>
      </x:c>
      <x:c r="D2" s="6" t="str">
        <x:v>Gerados</x:v>
      </x:c>
      <x:c r="E2" s="6" t="str">
        <x:v>Compilam (%)</x:v>
      </x:c>
      <x:c r="F2" s="6" t="str">
        <x:v>Limpos no início</x:v>
      </x:c>
      <x:c r="G2" s="6" t="str">
        <x:v>Limpos após cura</x:v>
      </x:c>
      <x:c r="H2" s="6" t="str">
        <x:v>Limpos no fim (%)</x:v>
      </x:c>
      <x:c r="I2" s="6" t="str">
        <x:v>Compilam (n)</x:v>
      </x:c>
      <x:c r="J2" s="6" t="str">
        <x:v>Com alerta: GCC</x:v>
      </x:c>
      <x:c r="K2" s="6" t="str">
        <x:v>Com alerta: Clang</x:v>
      </x:c>
      <x:c r="L2" s="6" t="str">
        <x:v>Com alerta: Cppcheck</x:v>
      </x:c>
      <x:c r="M2" s="6" t="str">
        <x:v>Com alerta: Flawfinder</x:v>
      </x:c>
      <x:c r="N2" s="6" t="str">
        <x:v>Com alerta: ASan</x:v>
      </x:c>
      <x:c r="O2" s="6" t="str">
        <x:v>Com alerta: fuzz</x:v>
      </x:c>
      <x:c r="P2" s="6" t="str">
        <x:v>Com alerta: teste</x:v>
      </x:c>
      <x:c r="Q2" s="6" t="str">
        <x:v>Teste: sem relatório</x:v>
      </x:c>
      <x:c r="R2" s="6" t="str">
        <x:v>Teste: aprovados*</x:v>
      </x:c>
      <x:c r="S2" s="6" t="str">
        <x:v>Teste: falhas</x:v>
      </x:c>
      <x:c r="T2" s="6" t="str">
        <x:v>Teste: aprovação (%)*</x:v>
      </x:c>
      <x:c r="U2" s="6" t="str">
        <x:v>Com alertas no início</x:v>
      </x:c>
      <x:c r="V2" s="6" t="str">
        <x:v>Com alertas no início (%)</x:v>
      </x:c>
      <x:c r="W2" s="6" t="str">
        <x:v>Com alertas estáticos (%)</x:v>
      </x:c>
      <x:c r="X2" s="6" t="str">
        <x:v>Não ficaram limpos</x:v>
      </x:c>
      <x:c r="Y2" s="6" t="str">
        <x:v>Falhas na cura</x:v>
      </x:c>
      <x:c r="Z2" s="6" t="str">
        <x:v>Limite de rodadas</x:v>
      </x:c>
      <x:c r="AA2" s="6" t="str">
        <x:v>Rodadas: média</x:v>
      </x:c>
      <x:c r="AB2" s="6" t="str">
        <x:v>Rodadas: mediana</x:v>
      </x:c>
      <x:c r="AC2" s="6" t="str">
        <x:v>Fila por rodada</x:v>
      </x:c>
      <x:c r="AD2" s="6" t="str">
        <x:v>Caminho relativo</x:v>
      </x:c>
    </x:row>
    <x:row r="3" ht="40" customHeight="1">
      <x:c r="A3" s="2"/>
      <x:c r="B3" s="13" t="str">
        <x:v>claude-fable-5</x:v>
      </x:c>
      <x:c r="C3" s="14" t="str">
        <x:v>feedback-static-r0-t1.0-p1.0</x:v>
      </x:c>
      <x:c r="D3" s="17" t="n">
        <x:v>26</x:v>
      </x:c>
      <x:c r="E3" s="19" t="str">
        <x:v>NV</x:v>
      </x:c>
      <x:c r="F3" s="17" t="str">
        <x:v>NV</x:v>
      </x:c>
      <x:c r="G3" s="17" t="str">
        <x:v>NV</x:v>
      </x:c>
      <x:c r="H3" s="19" t="str">
        <x:v>NV</x:v>
      </x:c>
      <x:c r="I3" s="17" t="str">
        <x:v>NV</x:v>
      </x:c>
      <x:c r="J3" s="17" t="n">
        <x:v>0</x:v>
      </x:c>
      <x:c r="K3" s="17" t="n">
        <x:v>0</x:v>
      </x:c>
      <x:c r="L3" s="17" t="n">
        <x:v>0</x:v>
      </x:c>
      <x:c r="M3" s="17" t="n">
        <x:v>0</x:v>
      </x:c>
      <x:c r="N3" s="17" t="n">
        <x:v>0</x:v>
      </x:c>
      <x:c r="O3" s="17" t="n">
        <x:v>0</x:v>
      </x:c>
      <x:c r="P3" s="17" t="n">
        <x:v>0</x:v>
      </x:c>
      <x:c r="Q3" s="17" t="n">
        <x:v>26</x:v>
      </x:c>
      <x:c r="R3" s="17" t="n">
        <x:v>0</x:v>
      </x:c>
      <x:c r="S3" s="17" t="n">
        <x:v>0</x:v>
      </x:c>
      <x:c r="T3" s="19" t="str">
        <x:v>NV</x:v>
      </x:c>
      <x:c r="U3" s="17" t="n">
        <x:v>0</x:v>
      </x:c>
      <x:c r="V3" s="19" t="n">
        <x:v>0</x:v>
      </x:c>
      <x:c r="W3" s="19" t="n">
        <x:v>0</x:v>
      </x:c>
      <x:c r="X3" s="17" t="str">
        <x:v>NV</x:v>
      </x:c>
      <x:c r="Y3" s="17" t="str">
        <x:v>NV</x:v>
      </x:c>
      <x:c r="Z3" s="17" t="str">
        <x:v>NV</x:v>
      </x:c>
      <x:c r="AA3" s="21" t="str">
        <x:v>NV</x:v>
      </x:c>
      <x:c r="AB3" s="21" t="str">
        <x:v>NV</x:v>
      </x:c>
      <x:c r="AC3" s="17" t="str">
        <x:v>0: 0</x:v>
      </x:c>
      <x:c r="AD3" s="16" t="str">
        <x:v>collected_code_6/claude-fable-5/feedback-static-r0-t1.0-p1.0</x:v>
      </x:c>
      <x:c r="AE3" s="12"/>
    </x:row>
    <x:row r="4" ht="40" customHeight="1">
      <x:c r="A4" s="2"/>
      <x:c r="B4" s="13" t="str">
        <x:v>deepseek-v4-pro</x:v>
      </x:c>
      <x:c r="C4" s="14" t="str">
        <x:v>feedback-dynamic-r0-t1.0-p1.0</x:v>
      </x:c>
      <x:c r="D4" s="17" t="n">
        <x:v>600</x:v>
      </x:c>
      <x:c r="E4" s="19" t="str">
        <x:v>NV</x:v>
      </x:c>
      <x:c r="F4" s="17" t="n">
        <x:v>559</x:v>
      </x:c>
      <x:c r="G4" s="17" t="n">
        <x:v>13</x:v>
      </x:c>
      <x:c r="H4" s="19" t="n">
        <x:v>0.9533</x:v>
      </x:c>
      <x:c r="I4" s="17" t="str">
        <x:v>NV</x:v>
      </x:c>
      <x:c r="J4" s="17" t="n">
        <x:v>22</x:v>
      </x:c>
      <x:c r="K4" s="17" t="n">
        <x:v>24</x:v>
      </x:c>
      <x:c r="L4" s="17" t="n">
        <x:v>222</x:v>
      </x:c>
      <x:c r="M4" s="17" t="n">
        <x:v>0</x:v>
      </x:c>
      <x:c r="N4" s="17" t="n">
        <x:v>4</x:v>
      </x:c>
      <x:c r="O4" s="17" t="n">
        <x:v>0</x:v>
      </x:c>
      <x:c r="P4" s="17" t="n">
        <x:v>37</x:v>
      </x:c>
      <x:c r="Q4" s="17" t="n">
        <x:v>0</x:v>
      </x:c>
      <x:c r="R4" s="17" t="n">
        <x:v>563</x:v>
      </x:c>
      <x:c r="S4" s="17" t="n">
        <x:v>37</x:v>
      </x:c>
      <x:c r="T4" s="19" t="n">
        <x:v>0.9383</x:v>
      </x:c>
      <x:c r="U4" s="17" t="n">
        <x:v>257</x:v>
      </x:c>
      <x:c r="V4" s="19" t="n">
        <x:v>0.4283</x:v>
      </x:c>
      <x:c r="W4" s="19" t="n">
        <x:v>0.395</x:v>
      </x:c>
      <x:c r="X4" s="17" t="n">
        <x:v>28</x:v>
      </x:c>
      <x:c r="Y4" s="17" t="n">
        <x:v>0</x:v>
      </x:c>
      <x:c r="Z4" s="17" t="n">
        <x:v>10</x:v>
      </x:c>
      <x:c r="AA4" s="21" t="n">
        <x:v>1.692</x:v>
      </x:c>
      <x:c r="AB4" s="21" t="n">
        <x:v>1</x:v>
      </x:c>
      <x:c r="AC4" s="17" t="str">
        <x:v>0: 257 · 1: 41 · 2: 31 · 3: 29 · 4: 29 · 5: 29 · 6: 29 · 7: 29 · 8: 29 · 9: 28 · 10: 28 · 11: 28</x:v>
      </x:c>
      <x:c r="AD4" s="16" t="str">
        <x:v>collected_code_6/deepseek-v4-pro/feedback-dynamic-r0-t1.0-p1.0</x:v>
      </x:c>
      <x:c r="AE4" s="12"/>
    </x:row>
    <x:row r="5" ht="40" customHeight="1">
      <x:c r="A5" s="2"/>
      <x:c r="B5" s="9" t="str">
        <x:v>deepseek-v4-pro</x:v>
      </x:c>
      <x:c r="C5" s="8" t="str">
        <x:v>feedback-static-r0-t0.2-p1.0</x:v>
      </x:c>
      <x:c r="D5" s="18" t="n">
        <x:v>200</x:v>
      </x:c>
      <x:c r="E5" s="20" t="str">
        <x:v>NV</x:v>
      </x:c>
      <x:c r="F5" s="18" t="n">
        <x:v>139</x:v>
      </x:c>
      <x:c r="G5" s="18" t="n">
        <x:v>57</x:v>
      </x:c>
      <x:c r="H5" s="20" t="n">
        <x:v>0.98</x:v>
      </x:c>
      <x:c r="I5" s="18" t="str">
        <x:v>NV</x:v>
      </x:c>
      <x:c r="J5" s="18" t="n">
        <x:v>4</x:v>
      </x:c>
      <x:c r="K5" s="18" t="n">
        <x:v>6</x:v>
      </x:c>
      <x:c r="L5" s="18" t="n">
        <x:v>58</x:v>
      </x:c>
      <x:c r="M5" s="18" t="n">
        <x:v>0</x:v>
      </x:c>
      <x:c r="N5" s="18" t="n">
        <x:v>0</x:v>
      </x:c>
      <x:c r="O5" s="18" t="n">
        <x:v>0</x:v>
      </x:c>
      <x:c r="P5" s="18" t="n">
        <x:v>0</x:v>
      </x:c>
      <x:c r="Q5" s="18" t="n">
        <x:v>200</x:v>
      </x:c>
      <x:c r="R5" s="18" t="n">
        <x:v>0</x:v>
      </x:c>
      <x:c r="S5" s="18" t="n">
        <x:v>0</x:v>
      </x:c>
      <x:c r="T5" s="20" t="str">
        <x:v>NV</x:v>
      </x:c>
      <x:c r="U5" s="18" t="n">
        <x:v>61</x:v>
      </x:c>
      <x:c r="V5" s="20" t="n">
        <x:v>0.305</x:v>
      </x:c>
      <x:c r="W5" s="20" t="n">
        <x:v>0.305</x:v>
      </x:c>
      <x:c r="X5" s="18" t="n">
        <x:v>4</x:v>
      </x:c>
      <x:c r="Y5" s="18" t="n">
        <x:v>0</x:v>
      </x:c>
      <x:c r="Z5" s="18" t="n">
        <x:v>10</x:v>
      </x:c>
      <x:c r="AA5" s="22" t="n">
        <x:v>1.386</x:v>
      </x:c>
      <x:c r="AB5" s="22" t="n">
        <x:v>1</x:v>
      </x:c>
      <x:c r="AC5" s="18" t="str">
        <x:v>0: 61 · 1: 61 · 2: 17 · 3: 7 · 4: 6 · 5: 5 · 6: 5 · 7: 5 · 8: 5 · 9: 4 · 10: 4 · 11: 4</x:v>
      </x:c>
      <x:c r="AD5" s="11" t="str">
        <x:v>collected_code_6/deepseek-v4-pro/feedback-static-r0-t0.2-p1.0</x:v>
      </x:c>
      <x:c r="AE5" s="12"/>
    </x:row>
    <x:row r="6" ht="40" customHeight="1">
      <x:c r="A6" s="2"/>
      <x:c r="B6" s="9" t="str">
        <x:v>deepseek-v4-pro</x:v>
      </x:c>
      <x:c r="C6" s="8" t="str">
        <x:v>feedback-static-r0-t1.0-p0.5</x:v>
      </x:c>
      <x:c r="D6" s="18" t="n">
        <x:v>200</x:v>
      </x:c>
      <x:c r="E6" s="20" t="str">
        <x:v>NV</x:v>
      </x:c>
      <x:c r="F6" s="18" t="n">
        <x:v>127</x:v>
      </x:c>
      <x:c r="G6" s="18" t="n">
        <x:v>69</x:v>
      </x:c>
      <x:c r="H6" s="20" t="n">
        <x:v>0.98</x:v>
      </x:c>
      <x:c r="I6" s="18" t="str">
        <x:v>NV</x:v>
      </x:c>
      <x:c r="J6" s="18" t="n">
        <x:v>5</x:v>
      </x:c>
      <x:c r="K6" s="18" t="n">
        <x:v>9</x:v>
      </x:c>
      <x:c r="L6" s="18" t="n">
        <x:v>69</x:v>
      </x:c>
      <x:c r="M6" s="18" t="n">
        <x:v>0</x:v>
      </x:c>
      <x:c r="N6" s="18" t="n">
        <x:v>0</x:v>
      </x:c>
      <x:c r="O6" s="18" t="n">
        <x:v>0</x:v>
      </x:c>
      <x:c r="P6" s="18" t="n">
        <x:v>0</x:v>
      </x:c>
      <x:c r="Q6" s="18" t="n">
        <x:v>200</x:v>
      </x:c>
      <x:c r="R6" s="18" t="n">
        <x:v>0</x:v>
      </x:c>
      <x:c r="S6" s="18" t="n">
        <x:v>0</x:v>
      </x:c>
      <x:c r="T6" s="20" t="str">
        <x:v>NV</x:v>
      </x:c>
      <x:c r="U6" s="18" t="n">
        <x:v>73</x:v>
      </x:c>
      <x:c r="V6" s="20" t="n">
        <x:v>0.365</x:v>
      </x:c>
      <x:c r="W6" s="20" t="n">
        <x:v>0.365</x:v>
      </x:c>
      <x:c r="X6" s="18" t="n">
        <x:v>4</x:v>
      </x:c>
      <x:c r="Y6" s="18" t="n">
        <x:v>0</x:v>
      </x:c>
      <x:c r="Z6" s="18" t="n">
        <x:v>10</x:v>
      </x:c>
      <x:c r="AA6" s="22" t="n">
        <x:v>1.319</x:v>
      </x:c>
      <x:c r="AB6" s="22" t="n">
        <x:v>1</x:v>
      </x:c>
      <x:c r="AC6" s="18" t="str">
        <x:v>0: 73 · 1: 73 · 2: 22 · 3: 7 · 4: 5 · 5: 4 · 6: 4 · 7: 4 · 8: 4 · 9: 4 · 10: 4 · 11: 4</x:v>
      </x:c>
      <x:c r="AD6" s="11" t="str">
        <x:v>collected_code_6/deepseek-v4-pro/feedback-static-r0-t1.0-p0.5</x:v>
      </x:c>
      <x:c r="AE6" s="12"/>
    </x:row>
    <x:row r="7" ht="40" customHeight="1">
      <x:c r="A7" s="2"/>
      <x:c r="B7" s="9" t="str">
        <x:v>deepseek-v4-pro</x:v>
      </x:c>
      <x:c r="C7" s="8" t="str">
        <x:v>feedback-static-r0-t1.0-p1.0</x:v>
      </x:c>
      <x:c r="D7" s="18" t="n">
        <x:v>2922</x:v>
      </x:c>
      <x:c r="E7" s="20" t="str">
        <x:v>NV</x:v>
      </x:c>
      <x:c r="F7" s="18" t="n">
        <x:v>1916</x:v>
      </x:c>
      <x:c r="G7" s="18" t="n">
        <x:v>916</x:v>
      </x:c>
      <x:c r="H7" s="20" t="n">
        <x:v>0.9692</x:v>
      </x:c>
      <x:c r="I7" s="18" t="str">
        <x:v>NV</x:v>
      </x:c>
      <x:c r="J7" s="18" t="n">
        <x:v>60</x:v>
      </x:c>
      <x:c r="K7" s="18" t="n">
        <x:v>71</x:v>
      </x:c>
      <x:c r="L7" s="18" t="n">
        <x:v>968</x:v>
      </x:c>
      <x:c r="M7" s="18" t="n">
        <x:v>0</x:v>
      </x:c>
      <x:c r="N7" s="18" t="n">
        <x:v>0</x:v>
      </x:c>
      <x:c r="O7" s="18" t="n">
        <x:v>0</x:v>
      </x:c>
      <x:c r="P7" s="18" t="n">
        <x:v>0</x:v>
      </x:c>
      <x:c r="Q7" s="18" t="n">
        <x:v>2922</x:v>
      </x:c>
      <x:c r="R7" s="18" t="n">
        <x:v>0</x:v>
      </x:c>
      <x:c r="S7" s="18" t="n">
        <x:v>0</x:v>
      </x:c>
      <x:c r="T7" s="20" t="str">
        <x:v>NV</x:v>
      </x:c>
      <x:c r="U7" s="18" t="n">
        <x:v>1006</x:v>
      </x:c>
      <x:c r="V7" s="20" t="n">
        <x:v>0.3443</x:v>
      </x:c>
      <x:c r="W7" s="20" t="n">
        <x:v>0.3443</x:v>
      </x:c>
      <x:c r="X7" s="18" t="n">
        <x:v>90</x:v>
      </x:c>
      <x:c r="Y7" s="18" t="n">
        <x:v>0</x:v>
      </x:c>
      <x:c r="Z7" s="18" t="n">
        <x:v>10</x:v>
      </x:c>
      <x:c r="AA7" s="22" t="n">
        <x:v>1.442</x:v>
      </x:c>
      <x:c r="AB7" s="22" t="n">
        <x:v>1</x:v>
      </x:c>
      <x:c r="AC7" s="18" t="str">
        <x:v>0: 1006 · 1: 1006 · 2: 293 · 3: 155 · 4: 137 · 5: 122 · 6: 116 · 7: 106 · 8: 98 · 9: 95 · 10: 93 · 11: 90</x:v>
      </x:c>
      <x:c r="AD7" s="11" t="str">
        <x:v>collected_code_6/deepseek-v4-pro/feedback-static-r0-t1.0-p1.0</x:v>
      </x:c>
      <x:c r="AE7" s="12"/>
    </x:row>
    <x:row r="8" ht="40" customHeight="1">
      <x:c r="A8" s="2"/>
      <x:c r="B8" s="9" t="str">
        <x:v>deepseek-v4-pro</x:v>
      </x:c>
      <x:c r="C8" s="8" t="str">
        <x:v>feedback-static+dynamic-r0-t0.2-p1.0</x:v>
      </x:c>
      <x:c r="D8" s="18" t="n">
        <x:v>600</x:v>
      </x:c>
      <x:c r="E8" s="20" t="str">
        <x:v>NV</x:v>
      </x:c>
      <x:c r="F8" s="18" t="n">
        <x:v>367</x:v>
      </x:c>
      <x:c r="G8" s="18" t="n">
        <x:v>196</x:v>
      </x:c>
      <x:c r="H8" s="20" t="n">
        <x:v>0.9383</x:v>
      </x:c>
      <x:c r="I8" s="18" t="str">
        <x:v>NV</x:v>
      </x:c>
      <x:c r="J8" s="18" t="n">
        <x:v>13</x:v>
      </x:c>
      <x:c r="K8" s="18" t="n">
        <x:v>19</x:v>
      </x:c>
      <x:c r="L8" s="18" t="n">
        <x:v>193</x:v>
      </x:c>
      <x:c r="M8" s="18" t="n">
        <x:v>0</x:v>
      </x:c>
      <x:c r="N8" s="18" t="n">
        <x:v>7</x:v>
      </x:c>
      <x:c r="O8" s="18" t="n">
        <x:v>0</x:v>
      </x:c>
      <x:c r="P8" s="18" t="n">
        <x:v>40</x:v>
      </x:c>
      <x:c r="Q8" s="18" t="n">
        <x:v>2</x:v>
      </x:c>
      <x:c r="R8" s="18" t="n">
        <x:v>558</x:v>
      </x:c>
      <x:c r="S8" s="18" t="n">
        <x:v>40</x:v>
      </x:c>
      <x:c r="T8" s="20" t="n">
        <x:v>0.9331</x:v>
      </x:c>
      <x:c r="U8" s="18" t="n">
        <x:v>233</x:v>
      </x:c>
      <x:c r="V8" s="20" t="n">
        <x:v>0.3883</x:v>
      </x:c>
      <x:c r="W8" s="20" t="n">
        <x:v>0.3417</x:v>
      </x:c>
      <x:c r="X8" s="18" t="n">
        <x:v>37</x:v>
      </x:c>
      <x:c r="Y8" s="18" t="n">
        <x:v>0</x:v>
      </x:c>
      <x:c r="Z8" s="18" t="n">
        <x:v>10</x:v>
      </x:c>
      <x:c r="AA8" s="22" t="n">
        <x:v>1.745</x:v>
      </x:c>
      <x:c r="AB8" s="22" t="n">
        <x:v>1</x:v>
      </x:c>
      <x:c r="AC8" s="18" t="str">
        <x:v>0: 233 · 1: 233 · 2: 94 · 3: 60 · 4: 55 · 5: 50 · 6: 50 · 7: 47 · 8: 45 · 9: 40 · 10: 38 · 11: 37</x:v>
      </x:c>
      <x:c r="AD8" s="11" t="str">
        <x:v>collected_code_6/deepseek-v4-pro/feedback-static+dynamic-r0-t0.2-p1.0</x:v>
      </x:c>
      <x:c r="AE8" s="12"/>
    </x:row>
    <x:row r="9" ht="40" customHeight="1">
      <x:c r="A9" s="2"/>
      <x:c r="B9" s="9" t="str">
        <x:v>deepseek-v4-pro</x:v>
      </x:c>
      <x:c r="C9" s="8" t="str">
        <x:v>feedback-static+dynamic-r0-t1.0-p0.5</x:v>
      </x:c>
      <x:c r="D9" s="18" t="n">
        <x:v>600</x:v>
      </x:c>
      <x:c r="E9" s="20" t="str">
        <x:v>NV</x:v>
      </x:c>
      <x:c r="F9" s="18" t="n">
        <x:v>362</x:v>
      </x:c>
      <x:c r="G9" s="18" t="n">
        <x:v>206</x:v>
      </x:c>
      <x:c r="H9" s="20" t="n">
        <x:v>0.9467</x:v>
      </x:c>
      <x:c r="I9" s="18" t="str">
        <x:v>NV</x:v>
      </x:c>
      <x:c r="J9" s="18" t="n">
        <x:v>18</x:v>
      </x:c>
      <x:c r="K9" s="18" t="n">
        <x:v>27</x:v>
      </x:c>
      <x:c r="L9" s="18" t="n">
        <x:v>198</x:v>
      </x:c>
      <x:c r="M9" s="18" t="n">
        <x:v>0</x:v>
      </x:c>
      <x:c r="N9" s="18" t="n">
        <x:v>7</x:v>
      </x:c>
      <x:c r="O9" s="18" t="n">
        <x:v>0</x:v>
      </x:c>
      <x:c r="P9" s="18" t="n">
        <x:v>39</x:v>
      </x:c>
      <x:c r="Q9" s="18" t="n">
        <x:v>2</x:v>
      </x:c>
      <x:c r="R9" s="18" t="n">
        <x:v>559</x:v>
      </x:c>
      <x:c r="S9" s="18" t="n">
        <x:v>39</x:v>
      </x:c>
      <x:c r="T9" s="20" t="n">
        <x:v>0.9348</x:v>
      </x:c>
      <x:c r="U9" s="18" t="n">
        <x:v>238</x:v>
      </x:c>
      <x:c r="V9" s="20" t="n">
        <x:v>0.3967</x:v>
      </x:c>
      <x:c r="W9" s="20" t="n">
        <x:v>0.35</x:v>
      </x:c>
      <x:c r="X9" s="18" t="n">
        <x:v>32</x:v>
      </x:c>
      <x:c r="Y9" s="18" t="n">
        <x:v>0</x:v>
      </x:c>
      <x:c r="Z9" s="18" t="n">
        <x:v>10</x:v>
      </x:c>
      <x:c r="AA9" s="22" t="n">
        <x:v>1.631</x:v>
      </x:c>
      <x:c r="AB9" s="22" t="n">
        <x:v>1</x:v>
      </x:c>
      <x:c r="AC9" s="18" t="str">
        <x:v>0: 238 · 1: 238 · 2: 102 · 3: 49 · 4: 45 · 5: 42 · 6: 38 · 7: 37 · 8: 36 · 9: 35 · 10: 34 · 11: 32</x:v>
      </x:c>
      <x:c r="AD9" s="11" t="str">
        <x:v>collected_code_6/deepseek-v4-pro/feedback-static+dynamic-r0-t1.0-p0.5</x:v>
      </x:c>
      <x:c r="AE9" s="12"/>
    </x:row>
    <x:row r="10" ht="40" customHeight="1">
      <x:c r="A10" s="2"/>
      <x:c r="B10" s="9" t="str">
        <x:v>deepseek-v4-pro</x:v>
      </x:c>
      <x:c r="C10" s="8" t="str">
        <x:v>feedback-static+dynamic-r0-t1.0-p1.0</x:v>
      </x:c>
      <x:c r="D10" s="18" t="n">
        <x:v>600</x:v>
      </x:c>
      <x:c r="E10" s="20" t="str">
        <x:v>NV</x:v>
      </x:c>
      <x:c r="F10" s="18" t="n">
        <x:v>337</x:v>
      </x:c>
      <x:c r="G10" s="18" t="n">
        <x:v>230</x:v>
      </x:c>
      <x:c r="H10" s="20" t="n">
        <x:v>0.945</x:v>
      </x:c>
      <x:c r="I10" s="18" t="str">
        <x:v>NV</x:v>
      </x:c>
      <x:c r="J10" s="18" t="n">
        <x:v>22</x:v>
      </x:c>
      <x:c r="K10" s="18" t="n">
        <x:v>24</x:v>
      </x:c>
      <x:c r="L10" s="18" t="n">
        <x:v>222</x:v>
      </x:c>
      <x:c r="M10" s="18" t="n">
        <x:v>0</x:v>
      </x:c>
      <x:c r="N10" s="18" t="n">
        <x:v>8</x:v>
      </x:c>
      <x:c r="O10" s="18" t="n">
        <x:v>0</x:v>
      </x:c>
      <x:c r="P10" s="18" t="n">
        <x:v>41</x:v>
      </x:c>
      <x:c r="Q10" s="18" t="n">
        <x:v>0</x:v>
      </x:c>
      <x:c r="R10" s="18" t="n">
        <x:v>559</x:v>
      </x:c>
      <x:c r="S10" s="18" t="n">
        <x:v>41</x:v>
      </x:c>
      <x:c r="T10" s="20" t="n">
        <x:v>0.9317</x:v>
      </x:c>
      <x:c r="U10" s="18" t="n">
        <x:v>262</x:v>
      </x:c>
      <x:c r="V10" s="20" t="n">
        <x:v>0.4367</x:v>
      </x:c>
      <x:c r="W10" s="20" t="n">
        <x:v>0.395</x:v>
      </x:c>
      <x:c r="X10" s="18" t="n">
        <x:v>33</x:v>
      </x:c>
      <x:c r="Y10" s="18" t="n">
        <x:v>0</x:v>
      </x:c>
      <x:c r="Z10" s="18" t="n">
        <x:v>10</x:v>
      </x:c>
      <x:c r="AA10" s="22" t="n">
        <x:v>1.383</x:v>
      </x:c>
      <x:c r="AB10" s="22" t="n">
        <x:v>1</x:v>
      </x:c>
      <x:c r="AC10" s="18" t="str">
        <x:v>0: 262 · 1: 263 · 2: 95 · 3: 42 · 4: 41 · 5: 37 · 6: 36 · 7: 34 · 8: 34 · 9: 33 · 10: 33 · 11: 33</x:v>
      </x:c>
      <x:c r="AD10" s="11" t="str">
        <x:v>collected_code_6/deepseek-v4-pro/feedback-static+dynamic-r0-t1.0-p1.0</x:v>
      </x:c>
      <x:c r="AE10" s="12"/>
    </x:row>
    <x:row r="11" ht="40" customHeight="1">
      <x:c r="A11" s="2"/>
      <x:c r="B11" s="13" t="str">
        <x:v>deepseek-v4-pro-thinking</x:v>
      </x:c>
      <x:c r="C11" s="14" t="str">
        <x:v>feedback-static-r1-t1.0-p1.0</x:v>
      </x:c>
      <x:c r="D11" s="17" t="n">
        <x:v>598</x:v>
      </x:c>
      <x:c r="E11" s="19" t="str">
        <x:v>NV</x:v>
      </x:c>
      <x:c r="F11" s="17" t="n">
        <x:v>462</x:v>
      </x:c>
      <x:c r="G11" s="17" t="n">
        <x:v>133</x:v>
      </x:c>
      <x:c r="H11" s="19" t="n">
        <x:v>0.9983</x:v>
      </x:c>
      <x:c r="I11" s="17" t="str">
        <x:v>NV</x:v>
      </x:c>
      <x:c r="J11" s="17" t="n">
        <x:v>12</x:v>
      </x:c>
      <x:c r="K11" s="17" t="n">
        <x:v>15</x:v>
      </x:c>
      <x:c r="L11" s="17" t="n">
        <x:v>133</x:v>
      </x:c>
      <x:c r="M11" s="17" t="n">
        <x:v>0</x:v>
      </x:c>
      <x:c r="N11" s="17" t="n">
        <x:v>0</x:v>
      </x:c>
      <x:c r="O11" s="17" t="n">
        <x:v>0</x:v>
      </x:c>
      <x:c r="P11" s="17" t="n">
        <x:v>0</x:v>
      </x:c>
      <x:c r="Q11" s="17" t="n">
        <x:v>596</x:v>
      </x:c>
      <x:c r="R11" s="17" t="n">
        <x:v>2</x:v>
      </x:c>
      <x:c r="S11" s="17" t="n">
        <x:v>0</x:v>
      </x:c>
      <x:c r="T11" s="19" t="n">
        <x:v>1</x:v>
      </x:c>
      <x:c r="U11" s="17" t="n">
        <x:v>136</x:v>
      </x:c>
      <x:c r="V11" s="19" t="n">
        <x:v>0.2274</x:v>
      </x:c>
      <x:c r="W11" s="19" t="n">
        <x:v>0.2274</x:v>
      </x:c>
      <x:c r="X11" s="17" t="n">
        <x:v>1</x:v>
      </x:c>
      <x:c r="Y11" s="17" t="n">
        <x:v>2</x:v>
      </x:c>
      <x:c r="Z11" s="17" t="n">
        <x:v>10</x:v>
      </x:c>
      <x:c r="AA11" s="21" t="n">
        <x:v>1.083</x:v>
      </x:c>
      <x:c r="AB11" s="21" t="n">
        <x:v>1</x:v>
      </x:c>
      <x:c r="AC11" s="17" t="str">
        <x:v>0: 136 · 1: 136 · 2: 12 · 3: 3 · 4: 2 · 5: 1 · 6: 1 · 7: 1 · 8: 1 · 9: 1 · 10: 1 · 11: 1</x:v>
      </x:c>
      <x:c r="AD11" s="16" t="str">
        <x:v>collected_code_6/deepseek-v4-pro-thinking/feedback-static-r1-t1.0-p1.0</x:v>
      </x:c>
      <x:c r="AE11" s="12"/>
    </x:row>
    <x:row r="12" ht="40" customHeight="1">
      <x:c r="A12" s="2"/>
      <x:c r="B12" s="13" t="str">
        <x:v>gemini-3-pro</x:v>
      </x:c>
      <x:c r="C12" s="14" t="str">
        <x:v>feedback-static-r0-t1.0-p1.0</x:v>
      </x:c>
      <x:c r="D12" s="17" t="n">
        <x:v>8</x:v>
      </x:c>
      <x:c r="E12" s="19" t="str">
        <x:v>NV</x:v>
      </x:c>
      <x:c r="F12" s="17" t="str">
        <x:v>NV</x:v>
      </x:c>
      <x:c r="G12" s="17" t="str">
        <x:v>NV</x:v>
      </x:c>
      <x:c r="H12" s="19" t="str">
        <x:v>NV</x:v>
      </x:c>
      <x:c r="I12" s="17" t="str">
        <x:v>NV</x:v>
      </x:c>
      <x:c r="J12" s="17" t="n">
        <x:v>0</x:v>
      </x:c>
      <x:c r="K12" s="17" t="n">
        <x:v>0</x:v>
      </x:c>
      <x:c r="L12" s="17" t="n">
        <x:v>0</x:v>
      </x:c>
      <x:c r="M12" s="17" t="n">
        <x:v>0</x:v>
      </x:c>
      <x:c r="N12" s="17" t="n">
        <x:v>0</x:v>
      </x:c>
      <x:c r="O12" s="17" t="n">
        <x:v>0</x:v>
      </x:c>
      <x:c r="P12" s="17" t="n">
        <x:v>0</x:v>
      </x:c>
      <x:c r="Q12" s="17" t="n">
        <x:v>8</x:v>
      </x:c>
      <x:c r="R12" s="17" t="n">
        <x:v>0</x:v>
      </x:c>
      <x:c r="S12" s="17" t="n">
        <x:v>0</x:v>
      </x:c>
      <x:c r="T12" s="19" t="str">
        <x:v>NV</x:v>
      </x:c>
      <x:c r="U12" s="17" t="n">
        <x:v>0</x:v>
      </x:c>
      <x:c r="V12" s="19" t="n">
        <x:v>0</x:v>
      </x:c>
      <x:c r="W12" s="19" t="n">
        <x:v>0</x:v>
      </x:c>
      <x:c r="X12" s="17" t="str">
        <x:v>NV</x:v>
      </x:c>
      <x:c r="Y12" s="17" t="str">
        <x:v>NV</x:v>
      </x:c>
      <x:c r="Z12" s="17" t="str">
        <x:v>NV</x:v>
      </x:c>
      <x:c r="AA12" s="21" t="str">
        <x:v>NV</x:v>
      </x:c>
      <x:c r="AB12" s="21" t="str">
        <x:v>NV</x:v>
      </x:c>
      <x:c r="AC12" s="17" t="str">
        <x:v>0: 0</x:v>
      </x:c>
      <x:c r="AD12" s="16" t="str">
        <x:v>collected_code_6/gemini-3-pro/feedback-static-r0-t1.0-p1.0</x:v>
      </x:c>
      <x:c r="AE12" s="12"/>
    </x:row>
    <x:row r="13" ht="40" customHeight="1">
      <x:c r="A13" s="2"/>
      <x:c r="B13" s="13" t="str">
        <x:v>gemini-3-pro-thinking</x:v>
      </x:c>
      <x:c r="C13" s="14" t="str">
        <x:v>feedback-static-r1-t1.0-p1.0</x:v>
      </x:c>
      <x:c r="D13" s="17" t="n">
        <x:v>1</x:v>
      </x:c>
      <x:c r="E13" s="19" t="str">
        <x:v>NV</x:v>
      </x:c>
      <x:c r="F13" s="17" t="str">
        <x:v>NV</x:v>
      </x:c>
      <x:c r="G13" s="17" t="str">
        <x:v>NV</x:v>
      </x:c>
      <x:c r="H13" s="19" t="str">
        <x:v>NV</x:v>
      </x:c>
      <x:c r="I13" s="17" t="str">
        <x:v>NV</x:v>
      </x:c>
      <x:c r="J13" s="17" t="n">
        <x:v>0</x:v>
      </x:c>
      <x:c r="K13" s="17" t="n">
        <x:v>0</x:v>
      </x:c>
      <x:c r="L13" s="17" t="n">
        <x:v>0</x:v>
      </x:c>
      <x:c r="M13" s="17" t="n">
        <x:v>0</x:v>
      </x:c>
      <x:c r="N13" s="17" t="n">
        <x:v>0</x:v>
      </x:c>
      <x:c r="O13" s="17" t="n">
        <x:v>0</x:v>
      </x:c>
      <x:c r="P13" s="17" t="n">
        <x:v>0</x:v>
      </x:c>
      <x:c r="Q13" s="17" t="n">
        <x:v>1</x:v>
      </x:c>
      <x:c r="R13" s="17" t="n">
        <x:v>0</x:v>
      </x:c>
      <x:c r="S13" s="17" t="n">
        <x:v>0</x:v>
      </x:c>
      <x:c r="T13" s="19" t="str">
        <x:v>NV</x:v>
      </x:c>
      <x:c r="U13" s="17" t="n">
        <x:v>0</x:v>
      </x:c>
      <x:c r="V13" s="19" t="n">
        <x:v>0</x:v>
      </x:c>
      <x:c r="W13" s="19" t="n">
        <x:v>0</x:v>
      </x:c>
      <x:c r="X13" s="17" t="str">
        <x:v>NV</x:v>
      </x:c>
      <x:c r="Y13" s="17" t="str">
        <x:v>NV</x:v>
      </x:c>
      <x:c r="Z13" s="17" t="str">
        <x:v>NV</x:v>
      </x:c>
      <x:c r="AA13" s="21" t="str">
        <x:v>NV</x:v>
      </x:c>
      <x:c r="AB13" s="21" t="str">
        <x:v>NV</x:v>
      </x:c>
      <x:c r="AC13" s="17" t="str">
        <x:v>0: 0</x:v>
      </x:c>
      <x:c r="AD13" s="16" t="str">
        <x:v>collected_code_6/gemini-3-pro-thinking/feedback-static-r1-t1.0-p1.0</x:v>
      </x:c>
      <x:c r="AE13" s="12"/>
    </x:row>
    <x:row r="14" ht="40" customHeight="1">
      <x:c r="A14" s="2"/>
      <x:c r="B14" s="13" t="str">
        <x:v>glm-5.1</x:v>
      </x:c>
      <x:c r="C14" s="14" t="str">
        <x:v>feedback-dynamic-r0-t1.0-p1.0</x:v>
      </x:c>
      <x:c r="D14" s="17" t="n">
        <x:v>600</x:v>
      </x:c>
      <x:c r="E14" s="19" t="str">
        <x:v>NV</x:v>
      </x:c>
      <x:c r="F14" s="17" t="str">
        <x:v>NV</x:v>
      </x:c>
      <x:c r="G14" s="17" t="str">
        <x:v>NV</x:v>
      </x:c>
      <x:c r="H14" s="19" t="str">
        <x:v>NV</x:v>
      </x:c>
      <x:c r="I14" s="17" t="str">
        <x:v>NV</x:v>
      </x:c>
      <x:c r="J14" s="17" t="n">
        <x:v>23</x:v>
      </x:c>
      <x:c r="K14" s="17" t="n">
        <x:v>31</x:v>
      </x:c>
      <x:c r="L14" s="17" t="n">
        <x:v>225</x:v>
      </x:c>
      <x:c r="M14" s="17" t="n">
        <x:v>0</x:v>
      </x:c>
      <x:c r="N14" s="17" t="n">
        <x:v>0</x:v>
      </x:c>
      <x:c r="O14" s="17" t="n">
        <x:v>0</x:v>
      </x:c>
      <x:c r="P14" s="17" t="n">
        <x:v>36</x:v>
      </x:c>
      <x:c r="Q14" s="17" t="n">
        <x:v>0</x:v>
      </x:c>
      <x:c r="R14" s="17" t="n">
        <x:v>564</x:v>
      </x:c>
      <x:c r="S14" s="17" t="n">
        <x:v>36</x:v>
      </x:c>
      <x:c r="T14" s="19" t="n">
        <x:v>0.94</x:v>
      </x:c>
      <x:c r="U14" s="17" t="n">
        <x:v>264</x:v>
      </x:c>
      <x:c r="V14" s="19" t="n">
        <x:v>0.44</x:v>
      </x:c>
      <x:c r="W14" s="19" t="n">
        <x:v>0.4</x:v>
      </x:c>
      <x:c r="X14" s="17" t="str">
        <x:v>NV</x:v>
      </x:c>
      <x:c r="Y14" s="17" t="str">
        <x:v>NV</x:v>
      </x:c>
      <x:c r="Z14" s="17" t="str">
        <x:v>NV</x:v>
      </x:c>
      <x:c r="AA14" s="21" t="str">
        <x:v>NV</x:v>
      </x:c>
      <x:c r="AB14" s="21" t="str">
        <x:v>NV</x:v>
      </x:c>
      <x:c r="AC14" s="17" t="str">
        <x:v>0: 264 · 1: 36</x:v>
      </x:c>
      <x:c r="AD14" s="16" t="str">
        <x:v>collected_code_6/glm-5.1/feedback-dynamic-r0-t1.0-p1.0</x:v>
      </x:c>
      <x:c r="AE14" s="12"/>
    </x:row>
    <x:row r="15" ht="40" customHeight="1">
      <x:c r="A15" s="2"/>
      <x:c r="B15" s="9" t="str">
        <x:v>glm-5.1</x:v>
      </x:c>
      <x:c r="C15" s="8" t="str">
        <x:v>feedback-static-r0-t1.0-p1.0</x:v>
      </x:c>
      <x:c r="D15" s="18" t="n">
        <x:v>2922</x:v>
      </x:c>
      <x:c r="E15" s="20" t="str">
        <x:v>NV</x:v>
      </x:c>
      <x:c r="F15" s="18" t="n">
        <x:v>1431</x:v>
      </x:c>
      <x:c r="G15" s="18" t="n">
        <x:v>1337</x:v>
      </x:c>
      <x:c r="H15" s="20" t="n">
        <x:v>0.9473</x:v>
      </x:c>
      <x:c r="I15" s="18" t="str">
        <x:v>NV</x:v>
      </x:c>
      <x:c r="J15" s="18" t="n">
        <x:v>173</x:v>
      </x:c>
      <x:c r="K15" s="18" t="n">
        <x:v>199</x:v>
      </x:c>
      <x:c r="L15" s="18" t="n">
        <x:v>1447</x:v>
      </x:c>
      <x:c r="M15" s="18" t="n">
        <x:v>0</x:v>
      </x:c>
      <x:c r="N15" s="18" t="n">
        <x:v>0</x:v>
      </x:c>
      <x:c r="O15" s="18" t="n">
        <x:v>0</x:v>
      </x:c>
      <x:c r="P15" s="18" t="n">
        <x:v>0</x:v>
      </x:c>
      <x:c r="Q15" s="18" t="n">
        <x:v>2922</x:v>
      </x:c>
      <x:c r="R15" s="18" t="n">
        <x:v>0</x:v>
      </x:c>
      <x:c r="S15" s="18" t="n">
        <x:v>0</x:v>
      </x:c>
      <x:c r="T15" s="20" t="str">
        <x:v>NV</x:v>
      </x:c>
      <x:c r="U15" s="18" t="n">
        <x:v>1491</x:v>
      </x:c>
      <x:c r="V15" s="20" t="n">
        <x:v>0.5103</x:v>
      </x:c>
      <x:c r="W15" s="20" t="n">
        <x:v>0.5103</x:v>
      </x:c>
      <x:c r="X15" s="18" t="n">
        <x:v>154</x:v>
      </x:c>
      <x:c r="Y15" s="18" t="n">
        <x:v>0</x:v>
      </x:c>
      <x:c r="Z15" s="18" t="n">
        <x:v>10</x:v>
      </x:c>
      <x:c r="AA15" s="22" t="n">
        <x:v>2.339</x:v>
      </x:c>
      <x:c r="AB15" s="22" t="n">
        <x:v>2</x:v>
      </x:c>
      <x:c r="AC15" s="18" t="str">
        <x:v>0: 1491 · 1: 1491 · 2: 934 · 3: 508 · 4: 377 · 5: 303 · 6: 264 · 7: 232 · 8: 206 · 9: 185 · 10: 167 · 11: 154</x:v>
      </x:c>
      <x:c r="AD15" s="11" t="str">
        <x:v>collected_code_6/glm-5.1/feedback-static-r0-t1.0-p1.0</x:v>
      </x:c>
      <x:c r="AE15" s="12"/>
    </x:row>
    <x:row r="16" ht="40" customHeight="1">
      <x:c r="A16" s="2"/>
      <x:c r="B16" s="9" t="str">
        <x:v>glm-5.1</x:v>
      </x:c>
      <x:c r="C16" s="8" t="str">
        <x:v>feedback-static+dynamic-r0-t0.2-p1.0</x:v>
      </x:c>
      <x:c r="D16" s="18" t="n">
        <x:v>600</x:v>
      </x:c>
      <x:c r="E16" s="20" t="str">
        <x:v>NV</x:v>
      </x:c>
      <x:c r="F16" s="18" t="n">
        <x:v>337</x:v>
      </x:c>
      <x:c r="G16" s="18" t="n">
        <x:v>218</x:v>
      </x:c>
      <x:c r="H16" s="20" t="n">
        <x:v>0.925</x:v>
      </x:c>
      <x:c r="I16" s="18" t="str">
        <x:v>NV</x:v>
      </x:c>
      <x:c r="J16" s="18" t="n">
        <x:v>11</x:v>
      </x:c>
      <x:c r="K16" s="18" t="n">
        <x:v>20</x:v>
      </x:c>
      <x:c r="L16" s="18" t="n">
        <x:v>227</x:v>
      </x:c>
      <x:c r="M16" s="18" t="n">
        <x:v>0</x:v>
      </x:c>
      <x:c r="N16" s="18" t="n">
        <x:v>0</x:v>
      </x:c>
      <x:c r="O16" s="18" t="n">
        <x:v>0</x:v>
      </x:c>
      <x:c r="P16" s="18" t="n">
        <x:v>38</x:v>
      </x:c>
      <x:c r="Q16" s="18" t="n">
        <x:v>1</x:v>
      </x:c>
      <x:c r="R16" s="18" t="n">
        <x:v>561</x:v>
      </x:c>
      <x:c r="S16" s="18" t="n">
        <x:v>38</x:v>
      </x:c>
      <x:c r="T16" s="20" t="n">
        <x:v>0.9366</x:v>
      </x:c>
      <x:c r="U16" s="18" t="n">
        <x:v>263</x:v>
      </x:c>
      <x:c r="V16" s="20" t="n">
        <x:v>0.4383</x:v>
      </x:c>
      <x:c r="W16" s="20" t="n">
        <x:v>0.3933</x:v>
      </x:c>
      <x:c r="X16" s="18" t="n">
        <x:v>45</x:v>
      </x:c>
      <x:c r="Y16" s="18" t="n">
        <x:v>0</x:v>
      </x:c>
      <x:c r="Z16" s="18" t="n">
        <x:v>10</x:v>
      </x:c>
      <x:c r="AA16" s="22" t="n">
        <x:v>2.229</x:v>
      </x:c>
      <x:c r="AB16" s="22" t="n">
        <x:v>1</x:v>
      </x:c>
      <x:c r="AC16" s="18" t="str">
        <x:v>0: 263 · 1: 263 · 2: 148 · 3: 98 · 4: 84 · 5: 71 · 6: 63 · 7: 57 · 8: 53 · 9: 52 · 10: 47 · 11: 45</x:v>
      </x:c>
      <x:c r="AD16" s="11" t="str">
        <x:v>collected_code_6/glm-5.1/feedback-static+dynamic-r0-t0.2-p1.0</x:v>
      </x:c>
      <x:c r="AE16" s="12"/>
    </x:row>
    <x:row r="17" ht="40" customHeight="1">
      <x:c r="A17" s="2"/>
      <x:c r="B17" s="9" t="str">
        <x:v>glm-5.1</x:v>
      </x:c>
      <x:c r="C17" s="8" t="str">
        <x:v>feedback-static+dynamic-r0-t1.0-p0.5</x:v>
      </x:c>
      <x:c r="D17" s="18" t="n">
        <x:v>600</x:v>
      </x:c>
      <x:c r="E17" s="20" t="str">
        <x:v>NV</x:v>
      </x:c>
      <x:c r="F17" s="18" t="str">
        <x:v>NV</x:v>
      </x:c>
      <x:c r="G17" s="18" t="str">
        <x:v>NV</x:v>
      </x:c>
      <x:c r="H17" s="20" t="str">
        <x:v>NV</x:v>
      </x:c>
      <x:c r="I17" s="18" t="str">
        <x:v>NV</x:v>
      </x:c>
      <x:c r="J17" s="18" t="n">
        <x:v>16</x:v>
      </x:c>
      <x:c r="K17" s="18" t="n">
        <x:v>20</x:v>
      </x:c>
      <x:c r="L17" s="18" t="n">
        <x:v>220</x:v>
      </x:c>
      <x:c r="M17" s="18" t="n">
        <x:v>0</x:v>
      </x:c>
      <x:c r="N17" s="18" t="n">
        <x:v>0</x:v>
      </x:c>
      <x:c r="O17" s="18" t="n">
        <x:v>0</x:v>
      </x:c>
      <x:c r="P17" s="18" t="n">
        <x:v>38</x:v>
      </x:c>
      <x:c r="Q17" s="18" t="n">
        <x:v>0</x:v>
      </x:c>
      <x:c r="R17" s="18" t="n">
        <x:v>562</x:v>
      </x:c>
      <x:c r="S17" s="18" t="n">
        <x:v>38</x:v>
      </x:c>
      <x:c r="T17" s="20" t="n">
        <x:v>0.9367</x:v>
      </x:c>
      <x:c r="U17" s="18" t="n">
        <x:v>255</x:v>
      </x:c>
      <x:c r="V17" s="20" t="n">
        <x:v>0.425</x:v>
      </x:c>
      <x:c r="W17" s="20" t="n">
        <x:v>0.3817</x:v>
      </x:c>
      <x:c r="X17" s="18" t="str">
        <x:v>NV</x:v>
      </x:c>
      <x:c r="Y17" s="18" t="str">
        <x:v>NV</x:v>
      </x:c>
      <x:c r="Z17" s="18" t="str">
        <x:v>NV</x:v>
      </x:c>
      <x:c r="AA17" s="22" t="str">
        <x:v>NV</x:v>
      </x:c>
      <x:c r="AB17" s="22" t="str">
        <x:v>NV</x:v>
      </x:c>
      <x:c r="AC17" s="18" t="str">
        <x:v>0: 255 · 1: 255 · 2: 79</x:v>
      </x:c>
      <x:c r="AD17" s="11" t="str">
        <x:v>collected_code_6/glm-5.1/feedback-static+dynamic-r0-t1.0-p0.5</x:v>
      </x:c>
      <x:c r="AE17" s="12"/>
    </x:row>
    <x:row r="18" ht="40" customHeight="1">
      <x:c r="A18" s="2"/>
      <x:c r="B18" s="9" t="str">
        <x:v>glm-5.1</x:v>
      </x:c>
      <x:c r="C18" s="8" t="str">
        <x:v>feedback-static+dynamic-r0-t1.0-p1.0</x:v>
      </x:c>
      <x:c r="D18" s="18" t="n">
        <x:v>600</x:v>
      </x:c>
      <x:c r="E18" s="20" t="str">
        <x:v>NV</x:v>
      </x:c>
      <x:c r="F18" s="18" t="n">
        <x:v>336</x:v>
      </x:c>
      <x:c r="G18" s="18" t="n">
        <x:v>222</x:v>
      </x:c>
      <x:c r="H18" s="20" t="n">
        <x:v>0.93</x:v>
      </x:c>
      <x:c r="I18" s="18" t="str">
        <x:v>NV</x:v>
      </x:c>
      <x:c r="J18" s="18" t="n">
        <x:v>23</x:v>
      </x:c>
      <x:c r="K18" s="18" t="n">
        <x:v>31</x:v>
      </x:c>
      <x:c r="L18" s="18" t="n">
        <x:v>225</x:v>
      </x:c>
      <x:c r="M18" s="18" t="n">
        <x:v>0</x:v>
      </x:c>
      <x:c r="N18" s="18" t="n">
        <x:v>1</x:v>
      </x:c>
      <x:c r="O18" s="18" t="n">
        <x:v>0</x:v>
      </x:c>
      <x:c r="P18" s="18" t="n">
        <x:v>36</x:v>
      </x:c>
      <x:c r="Q18" s="18" t="n">
        <x:v>0</x:v>
      </x:c>
      <x:c r="R18" s="18" t="n">
        <x:v>564</x:v>
      </x:c>
      <x:c r="S18" s="18" t="n">
        <x:v>36</x:v>
      </x:c>
      <x:c r="T18" s="20" t="n">
        <x:v>0.94</x:v>
      </x:c>
      <x:c r="U18" s="18" t="n">
        <x:v>264</x:v>
      </x:c>
      <x:c r="V18" s="20" t="n">
        <x:v>0.44</x:v>
      </x:c>
      <x:c r="W18" s="20" t="n">
        <x:v>0.4</x:v>
      </x:c>
      <x:c r="X18" s="18" t="n">
        <x:v>42</x:v>
      </x:c>
      <x:c r="Y18" s="18" t="n">
        <x:v>0</x:v>
      </x:c>
      <x:c r="Z18" s="18" t="n">
        <x:v>10</x:v>
      </x:c>
      <x:c r="AA18" s="22" t="n">
        <x:v>1.982</x:v>
      </x:c>
      <x:c r="AB18" s="22" t="n">
        <x:v>1</x:v>
      </x:c>
      <x:c r="AC18" s="18" t="str">
        <x:v>0: 264 · 1: 264 · 2: 129 · 3: 81 · 4: 74 · 5: 66 · 6: 62 · 7: 50 · 8: 46 · 9: 45 · 10: 43 · 11: 42</x:v>
      </x:c>
      <x:c r="AD18" s="11" t="str">
        <x:v>collected_code_6/glm-5.1/feedback-static+dynamic-r0-t1.0-p1.0</x:v>
      </x:c>
      <x:c r="AE18" s="12"/>
    </x:row>
    <x:row r="19" ht="40" customHeight="1">
      <x:c r="A19" s="2"/>
      <x:c r="B19" s="13" t="str">
        <x:v>glm-5.1-thinking</x:v>
      </x:c>
      <x:c r="C19" s="14" t="str">
        <x:v>feedback-static-r1-t1.0-p1.0</x:v>
      </x:c>
      <x:c r="D19" s="17" t="n">
        <x:v>1</x:v>
      </x:c>
      <x:c r="E19" s="19" t="str">
        <x:v>NV</x:v>
      </x:c>
      <x:c r="F19" s="17" t="str">
        <x:v>NV</x:v>
      </x:c>
      <x:c r="G19" s="17" t="str">
        <x:v>NV</x:v>
      </x:c>
      <x:c r="H19" s="19" t="str">
        <x:v>NV</x:v>
      </x:c>
      <x:c r="I19" s="17" t="str">
        <x:v>NV</x:v>
      </x:c>
      <x:c r="J19" s="17" t="n">
        <x:v>0</x:v>
      </x:c>
      <x:c r="K19" s="17" t="n">
        <x:v>0</x:v>
      </x:c>
      <x:c r="L19" s="17" t="n">
        <x:v>0</x:v>
      </x:c>
      <x:c r="M19" s="17" t="n">
        <x:v>0</x:v>
      </x:c>
      <x:c r="N19" s="17" t="n">
        <x:v>0</x:v>
      </x:c>
      <x:c r="O19" s="17" t="n">
        <x:v>0</x:v>
      </x:c>
      <x:c r="P19" s="17" t="n">
        <x:v>0</x:v>
      </x:c>
      <x:c r="Q19" s="17" t="n">
        <x:v>1</x:v>
      </x:c>
      <x:c r="R19" s="17" t="n">
        <x:v>0</x:v>
      </x:c>
      <x:c r="S19" s="17" t="n">
        <x:v>0</x:v>
      </x:c>
      <x:c r="T19" s="19" t="str">
        <x:v>NV</x:v>
      </x:c>
      <x:c r="U19" s="17" t="n">
        <x:v>0</x:v>
      </x:c>
      <x:c r="V19" s="19" t="n">
        <x:v>0</x:v>
      </x:c>
      <x:c r="W19" s="19" t="n">
        <x:v>0</x:v>
      </x:c>
      <x:c r="X19" s="17" t="str">
        <x:v>NV</x:v>
      </x:c>
      <x:c r="Y19" s="17" t="str">
        <x:v>NV</x:v>
      </x:c>
      <x:c r="Z19" s="17" t="str">
        <x:v>NV</x:v>
      </x:c>
      <x:c r="AA19" s="21" t="str">
        <x:v>NV</x:v>
      </x:c>
      <x:c r="AB19" s="21" t="str">
        <x:v>NV</x:v>
      </x:c>
      <x:c r="AC19" s="17" t="str">
        <x:v>0: 0</x:v>
      </x:c>
      <x:c r="AD19" s="16" t="str">
        <x:v>collected_code_6/glm-5.1-thinking/feedback-static-r1-t1.0-p1.0</x:v>
      </x:c>
      <x:c r="AE19" s="12"/>
    </x:row>
    <x:row r="20" ht="40" customHeight="1">
      <x:c r="A20" s="2"/>
      <x:c r="B20" s="13" t="str">
        <x:v>kimi-k3</x:v>
      </x:c>
      <x:c r="C20" s="14" t="str">
        <x:v>feedback-dynamic-r0-t1.0-p1.0</x:v>
      </x:c>
      <x:c r="D20" s="17" t="n">
        <x:v>600</x:v>
      </x:c>
      <x:c r="E20" s="19" t="str">
        <x:v>NV</x:v>
      </x:c>
      <x:c r="F20" s="17" t="n">
        <x:v>564</x:v>
      </x:c>
      <x:c r="G20" s="17" t="n">
        <x:v>16</x:v>
      </x:c>
      <x:c r="H20" s="19" t="n">
        <x:v>0.9667</x:v>
      </x:c>
      <x:c r="I20" s="17" t="str">
        <x:v>NV</x:v>
      </x:c>
      <x:c r="J20" s="17" t="n">
        <x:v>4</x:v>
      </x:c>
      <x:c r="K20" s="17" t="n">
        <x:v>7</x:v>
      </x:c>
      <x:c r="L20" s="17" t="n">
        <x:v>173</x:v>
      </x:c>
      <x:c r="M20" s="17" t="n">
        <x:v>0</x:v>
      </x:c>
      <x:c r="N20" s="17" t="n">
        <x:v>2</x:v>
      </x:c>
      <x:c r="O20" s="17" t="n">
        <x:v>0</x:v>
      </x:c>
      <x:c r="P20" s="17" t="n">
        <x:v>34</x:v>
      </x:c>
      <x:c r="Q20" s="17" t="n">
        <x:v>0</x:v>
      </x:c>
      <x:c r="R20" s="17" t="n">
        <x:v>566</x:v>
      </x:c>
      <x:c r="S20" s="17" t="n">
        <x:v>34</x:v>
      </x:c>
      <x:c r="T20" s="19" t="n">
        <x:v>0.9433</x:v>
      </x:c>
      <x:c r="U20" s="17" t="n">
        <x:v>200</x:v>
      </x:c>
      <x:c r="V20" s="19" t="n">
        <x:v>0.3333</x:v>
      </x:c>
      <x:c r="W20" s="19" t="n">
        <x:v>0.2933</x:v>
      </x:c>
      <x:c r="X20" s="17" t="n">
        <x:v>20</x:v>
      </x:c>
      <x:c r="Y20" s="17" t="n">
        <x:v>0</x:v>
      </x:c>
      <x:c r="Z20" s="17" t="n">
        <x:v>10</x:v>
      </x:c>
      <x:c r="AA20" s="21" t="n">
        <x:v>3.625</x:v>
      </x:c>
      <x:c r="AB20" s="21" t="n">
        <x:v>1.5</x:v>
      </x:c>
      <x:c r="AC20" s="17" t="str">
        <x:v>0: 200 · 1: 36 · 2: 28 · 3: 26 · 4: 26 · 5: 26 · 6: 24 · 7: 24 · 8: 24 · 9: 23 · 10: 21 · 11: 20</x:v>
      </x:c>
      <x:c r="AD20" s="16" t="str">
        <x:v>collected_code_6/kimi-k3/feedback-dynamic-r0-t1.0-p1.0</x:v>
      </x:c>
      <x:c r="AE20" s="12"/>
    </x:row>
    <x:row r="21" ht="40" customHeight="1">
      <x:c r="A21" s="2"/>
      <x:c r="B21" s="9" t="str">
        <x:v>kimi-k3</x:v>
      </x:c>
      <x:c r="C21" s="8" t="str">
        <x:v>feedback-static-r0-t1.0-p1.0</x:v>
      </x:c>
      <x:c r="D21" s="18" t="n">
        <x:v>2922</x:v>
      </x:c>
      <x:c r="E21" s="20" t="str">
        <x:v>NV</x:v>
      </x:c>
      <x:c r="F21" s="18" t="n">
        <x:v>2284</x:v>
      </x:c>
      <x:c r="G21" s="18" t="n">
        <x:v>629</x:v>
      </x:c>
      <x:c r="H21" s="20" t="n">
        <x:v>0.9969</x:v>
      </x:c>
      <x:c r="I21" s="18" t="str">
        <x:v>NV</x:v>
      </x:c>
      <x:c r="J21" s="18" t="n">
        <x:v>30</x:v>
      </x:c>
      <x:c r="K21" s="18" t="n">
        <x:v>45</x:v>
      </x:c>
      <x:c r="L21" s="18" t="n">
        <x:v>615</x:v>
      </x:c>
      <x:c r="M21" s="18" t="n">
        <x:v>0</x:v>
      </x:c>
      <x:c r="N21" s="18" t="n">
        <x:v>0</x:v>
      </x:c>
      <x:c r="O21" s="18" t="n">
        <x:v>0</x:v>
      </x:c>
      <x:c r="P21" s="18" t="n">
        <x:v>0</x:v>
      </x:c>
      <x:c r="Q21" s="18" t="n">
        <x:v>2922</x:v>
      </x:c>
      <x:c r="R21" s="18" t="n">
        <x:v>0</x:v>
      </x:c>
      <x:c r="S21" s="18" t="n">
        <x:v>0</x:v>
      </x:c>
      <x:c r="T21" s="20" t="str">
        <x:v>NV</x:v>
      </x:c>
      <x:c r="U21" s="18" t="n">
        <x:v>638</x:v>
      </x:c>
      <x:c r="V21" s="20" t="n">
        <x:v>0.2183</x:v>
      </x:c>
      <x:c r="W21" s="20" t="n">
        <x:v>0.2183</x:v>
      </x:c>
      <x:c r="X21" s="18" t="n">
        <x:v>9</x:v>
      </x:c>
      <x:c r="Y21" s="18" t="n">
        <x:v>0</x:v>
      </x:c>
      <x:c r="Z21" s="18" t="n">
        <x:v>10</x:v>
      </x:c>
      <x:c r="AA21" s="22" t="n">
        <x:v>1.151</x:v>
      </x:c>
      <x:c r="AB21" s="22" t="n">
        <x:v>1</x:v>
      </x:c>
      <x:c r="AC21" s="18" t="str">
        <x:v>0: 638 · 1: 638 · 2: 66 · 3: 22 · 4: 14 · 5: 14 · 6: 14 · 7: 13 · 8: 12 · 9: 11 · 10: 10 · 11: 9</x:v>
      </x:c>
      <x:c r="AD21" s="11" t="str">
        <x:v>collected_code_6/kimi-k3/feedback-static-r0-t1.0-p1.0</x:v>
      </x:c>
      <x:c r="AE21" s="12"/>
    </x:row>
    <x:row r="22" ht="40" customHeight="1">
      <x:c r="A22" s="2"/>
      <x:c r="B22" s="9" t="str">
        <x:v>kimi-k3</x:v>
      </x:c>
      <x:c r="C22" s="8" t="str">
        <x:v>feedback-static+dynamic-r0-t1.0-p1.0</x:v>
      </x:c>
      <x:c r="D22" s="18" t="n">
        <x:v>600</x:v>
      </x:c>
      <x:c r="E22" s="20" t="str">
        <x:v>NV</x:v>
      </x:c>
      <x:c r="F22" s="18" t="n">
        <x:v>400</x:v>
      </x:c>
      <x:c r="G22" s="18" t="n">
        <x:v>173</x:v>
      </x:c>
      <x:c r="H22" s="20" t="n">
        <x:v>0.955</x:v>
      </x:c>
      <x:c r="I22" s="18" t="str">
        <x:v>NV</x:v>
      </x:c>
      <x:c r="J22" s="18" t="n">
        <x:v>4</x:v>
      </x:c>
      <x:c r="K22" s="18" t="n">
        <x:v>7</x:v>
      </x:c>
      <x:c r="L22" s="18" t="n">
        <x:v>173</x:v>
      </x:c>
      <x:c r="M22" s="18" t="n">
        <x:v>0</x:v>
      </x:c>
      <x:c r="N22" s="18" t="n">
        <x:v>1</x:v>
      </x:c>
      <x:c r="O22" s="18" t="n">
        <x:v>0</x:v>
      </x:c>
      <x:c r="P22" s="18" t="n">
        <x:v>35</x:v>
      </x:c>
      <x:c r="Q22" s="18" t="n">
        <x:v>0</x:v>
      </x:c>
      <x:c r="R22" s="18" t="n">
        <x:v>565</x:v>
      </x:c>
      <x:c r="S22" s="18" t="n">
        <x:v>35</x:v>
      </x:c>
      <x:c r="T22" s="20" t="n">
        <x:v>0.9417</x:v>
      </x:c>
      <x:c r="U22" s="18" t="n">
        <x:v>200</x:v>
      </x:c>
      <x:c r="V22" s="20" t="n">
        <x:v>0.3333</x:v>
      </x:c>
      <x:c r="W22" s="20" t="n">
        <x:v>0.2933</x:v>
      </x:c>
      <x:c r="X22" s="18" t="n">
        <x:v>27</x:v>
      </x:c>
      <x:c r="Y22" s="18" t="n">
        <x:v>0</x:v>
      </x:c>
      <x:c r="Z22" s="18" t="n">
        <x:v>10</x:v>
      </x:c>
      <x:c r="AA22" s="22" t="n">
        <x:v>1.329</x:v>
      </x:c>
      <x:c r="AB22" s="22" t="n">
        <x:v>1</x:v>
      </x:c>
      <x:c r="AC22" s="18" t="str">
        <x:v>0: 200 · 1: 200 · 2: 53 · 3: 35 · 4: 34 · 5: 33 · 6: 32 · 7: 29 · 8: 29 · 9: 28 · 10: 27 · 11: 27</x:v>
      </x:c>
      <x:c r="AD22" s="11" t="str">
        <x:v>collected_code_6/kimi-k3/feedback-static+dynamic-r0-t1.0-p1.0</x:v>
      </x:c>
      <x:c r="AE22" s="12"/>
    </x:row>
    <x:row r="23" ht="40" customHeight="1">
      <x:c r="A23" s="2"/>
      <x:c r="B23" s="13" t="str">
        <x:v>kimi-k3-thinking</x:v>
      </x:c>
      <x:c r="C23" s="14" t="str">
        <x:v>feedback-static-r1-t1.0-p1.0</x:v>
      </x:c>
      <x:c r="D23" s="17" t="n">
        <x:v>171</x:v>
      </x:c>
      <x:c r="E23" s="19" t="str">
        <x:v>NV</x:v>
      </x:c>
      <x:c r="F23" s="17" t="str">
        <x:v>NV</x:v>
      </x:c>
      <x:c r="G23" s="17" t="str">
        <x:v>NV</x:v>
      </x:c>
      <x:c r="H23" s="19" t="str">
        <x:v>NV</x:v>
      </x:c>
      <x:c r="I23" s="17" t="str">
        <x:v>NV</x:v>
      </x:c>
      <x:c r="J23" s="17" t="n">
        <x:v>2</x:v>
      </x:c>
      <x:c r="K23" s="17" t="n">
        <x:v>0</x:v>
      </x:c>
      <x:c r="L23" s="17" t="n">
        <x:v>58</x:v>
      </x:c>
      <x:c r="M23" s="17" t="n">
        <x:v>0</x:v>
      </x:c>
      <x:c r="N23" s="17" t="n">
        <x:v>0</x:v>
      </x:c>
      <x:c r="O23" s="17" t="n">
        <x:v>0</x:v>
      </x:c>
      <x:c r="P23" s="17" t="n">
        <x:v>0</x:v>
      </x:c>
      <x:c r="Q23" s="17" t="n">
        <x:v>171</x:v>
      </x:c>
      <x:c r="R23" s="17" t="n">
        <x:v>0</x:v>
      </x:c>
      <x:c r="S23" s="17" t="n">
        <x:v>0</x:v>
      </x:c>
      <x:c r="T23" s="19" t="str">
        <x:v>NV</x:v>
      </x:c>
      <x:c r="U23" s="17" t="n">
        <x:v>60</x:v>
      </x:c>
      <x:c r="V23" s="19" t="n">
        <x:v>0.3509</x:v>
      </x:c>
      <x:c r="W23" s="19" t="n">
        <x:v>0.3509</x:v>
      </x:c>
      <x:c r="X23" s="17" t="str">
        <x:v>NV</x:v>
      </x:c>
      <x:c r="Y23" s="17" t="str">
        <x:v>NV</x:v>
      </x:c>
      <x:c r="Z23" s="17" t="str">
        <x:v>NV</x:v>
      </x:c>
      <x:c r="AA23" s="21" t="str">
        <x:v>NV</x:v>
      </x:c>
      <x:c r="AB23" s="21" t="str">
        <x:v>NV</x:v>
      </x:c>
      <x:c r="AC23" s="17" t="str">
        <x:v>0: 60 · 1: 60</x:v>
      </x:c>
      <x:c r="AD23" s="16" t="str">
        <x:v>collected_code_6/kimi-k3-thinking/feedback-static-r1-t1.0-p1.0</x:v>
      </x:c>
      <x:c r="AE23" s="12"/>
    </x:row>
    <x:row r="24" ht="40" customHeight="1">
      <x:c r="A24" s="2"/>
      <x:c r="B24" s="13" t="str">
        <x:v>openai-gpt56-sol</x:v>
      </x:c>
      <x:c r="C24" s="14" t="str">
        <x:v>feedback-static-r0-t1.0-p1.0</x:v>
      </x:c>
      <x:c r="D24" s="17" t="n">
        <x:v>19</x:v>
      </x:c>
      <x:c r="E24" s="19" t="str">
        <x:v>NV</x:v>
      </x:c>
      <x:c r="F24" s="17" t="str">
        <x:v>NV</x:v>
      </x:c>
      <x:c r="G24" s="17" t="str">
        <x:v>NV</x:v>
      </x:c>
      <x:c r="H24" s="19" t="str">
        <x:v>NV</x:v>
      </x:c>
      <x:c r="I24" s="17" t="str">
        <x:v>NV</x:v>
      </x:c>
      <x:c r="J24" s="17" t="n">
        <x:v>0</x:v>
      </x:c>
      <x:c r="K24" s="17" t="n">
        <x:v>0</x:v>
      </x:c>
      <x:c r="L24" s="17" t="n">
        <x:v>0</x:v>
      </x:c>
      <x:c r="M24" s="17" t="n">
        <x:v>0</x:v>
      </x:c>
      <x:c r="N24" s="17" t="n">
        <x:v>0</x:v>
      </x:c>
      <x:c r="O24" s="17" t="n">
        <x:v>0</x:v>
      </x:c>
      <x:c r="P24" s="17" t="n">
        <x:v>0</x:v>
      </x:c>
      <x:c r="Q24" s="17" t="n">
        <x:v>19</x:v>
      </x:c>
      <x:c r="R24" s="17" t="n">
        <x:v>0</x:v>
      </x:c>
      <x:c r="S24" s="17" t="n">
        <x:v>0</x:v>
      </x:c>
      <x:c r="T24" s="19" t="str">
        <x:v>NV</x:v>
      </x:c>
      <x:c r="U24" s="17" t="n">
        <x:v>0</x:v>
      </x:c>
      <x:c r="V24" s="19" t="n">
        <x:v>0</x:v>
      </x:c>
      <x:c r="W24" s="19" t="n">
        <x:v>0</x:v>
      </x:c>
      <x:c r="X24" s="17" t="str">
        <x:v>NV</x:v>
      </x:c>
      <x:c r="Y24" s="17" t="str">
        <x:v>NV</x:v>
      </x:c>
      <x:c r="Z24" s="17" t="str">
        <x:v>NV</x:v>
      </x:c>
      <x:c r="AA24" s="21" t="str">
        <x:v>NV</x:v>
      </x:c>
      <x:c r="AB24" s="21" t="str">
        <x:v>NV</x:v>
      </x:c>
      <x:c r="AC24" s="17" t="str">
        <x:v>0: 0</x:v>
      </x:c>
      <x:c r="AD24" s="16" t="str">
        <x:v>collected_code_6/openai-gpt56-sol/feedback-static-r0-t1.0-p1.0</x:v>
      </x:c>
      <x:c r="AE24" s="12"/>
    </x:row>
    <x:row r="25" ht="40" customHeight="1">
      <x:c r="A25" s="2"/>
      <x:c r="B25" s="13" t="str">
        <x:v>openai-gpt56-sol-thinking</x:v>
      </x:c>
      <x:c r="C25" s="14" t="str">
        <x:v>feedback-static-r1-t1.0-p1.0</x:v>
      </x:c>
      <x:c r="D25" s="17" t="n">
        <x:v>1</x:v>
      </x:c>
      <x:c r="E25" s="19" t="str">
        <x:v>NV</x:v>
      </x:c>
      <x:c r="F25" s="17" t="str">
        <x:v>NV</x:v>
      </x:c>
      <x:c r="G25" s="17" t="str">
        <x:v>NV</x:v>
      </x:c>
      <x:c r="H25" s="19" t="str">
        <x:v>NV</x:v>
      </x:c>
      <x:c r="I25" s="17" t="str">
        <x:v>NV</x:v>
      </x:c>
      <x:c r="J25" s="17" t="n">
        <x:v>0</x:v>
      </x:c>
      <x:c r="K25" s="17" t="n">
        <x:v>0</x:v>
      </x:c>
      <x:c r="L25" s="17" t="n">
        <x:v>1</x:v>
      </x:c>
      <x:c r="M25" s="17" t="n">
        <x:v>0</x:v>
      </x:c>
      <x:c r="N25" s="17" t="n">
        <x:v>0</x:v>
      </x:c>
      <x:c r="O25" s="17" t="n">
        <x:v>0</x:v>
      </x:c>
      <x:c r="P25" s="17" t="n">
        <x:v>0</x:v>
      </x:c>
      <x:c r="Q25" s="17" t="n">
        <x:v>1</x:v>
      </x:c>
      <x:c r="R25" s="17" t="n">
        <x:v>0</x:v>
      </x:c>
      <x:c r="S25" s="17" t="n">
        <x:v>0</x:v>
      </x:c>
      <x:c r="T25" s="19" t="str">
        <x:v>NV</x:v>
      </x:c>
      <x:c r="U25" s="17" t="n">
        <x:v>1</x:v>
      </x:c>
      <x:c r="V25" s="19" t="n">
        <x:v>1</x:v>
      </x:c>
      <x:c r="W25" s="19" t="n">
        <x:v>1</x:v>
      </x:c>
      <x:c r="X25" s="17" t="str">
        <x:v>NV</x:v>
      </x:c>
      <x:c r="Y25" s="17" t="str">
        <x:v>NV</x:v>
      </x:c>
      <x:c r="Z25" s="17" t="str">
        <x:v>NV</x:v>
      </x:c>
      <x:c r="AA25" s="21" t="str">
        <x:v>NV</x:v>
      </x:c>
      <x:c r="AB25" s="21" t="str">
        <x:v>NV</x:v>
      </x:c>
      <x:c r="AC25" s="17" t="str">
        <x:v>0: 1 · 1: 1</x:v>
      </x:c>
      <x:c r="AD25" s="16" t="str">
        <x:v>collected_code_6/openai-gpt56-sol-thinking/feedback-static-r1-t1.0-p1.0</x:v>
      </x:c>
      <x:c r="AE25" s="12"/>
    </x:row>
    <x:row r="26" ht="40" customHeight="1">
      <x:c r="A26" s="2"/>
      <x:c r="B26" s="13" t="str">
        <x:v>qwen-max</x:v>
      </x:c>
      <x:c r="C26" s="14" t="str">
        <x:v>feedback-dynamic-r0-t1.0-p1.0</x:v>
      </x:c>
      <x:c r="D26" s="17" t="n">
        <x:v>600</x:v>
      </x:c>
      <x:c r="E26" s="19" t="str">
        <x:v>NV</x:v>
      </x:c>
      <x:c r="F26" s="17" t="n">
        <x:v>532</x:v>
      </x:c>
      <x:c r="G26" s="17" t="n">
        <x:v>50</x:v>
      </x:c>
      <x:c r="H26" s="19" t="n">
        <x:v>0.97</x:v>
      </x:c>
      <x:c r="I26" s="17" t="str">
        <x:v>NV</x:v>
      </x:c>
      <x:c r="J26" s="17" t="n">
        <x:v>70</x:v>
      </x:c>
      <x:c r="K26" s="17" t="n">
        <x:v>60</x:v>
      </x:c>
      <x:c r="L26" s="17" t="n">
        <x:v>205</x:v>
      </x:c>
      <x:c r="M26" s="17" t="n">
        <x:v>0</x:v>
      </x:c>
      <x:c r="N26" s="17" t="n">
        <x:v>34</x:v>
      </x:c>
      <x:c r="O26" s="17" t="n">
        <x:v>0</x:v>
      </x:c>
      <x:c r="P26" s="17" t="n">
        <x:v>34</x:v>
      </x:c>
      <x:c r="Q26" s="17" t="n">
        <x:v>3</x:v>
      </x:c>
      <x:c r="R26" s="17" t="n">
        <x:v>563</x:v>
      </x:c>
      <x:c r="S26" s="17" t="n">
        <x:v>34</x:v>
      </x:c>
      <x:c r="T26" s="19" t="n">
        <x:v>0.943</x:v>
      </x:c>
      <x:c r="U26" s="17" t="n">
        <x:v>285</x:v>
      </x:c>
      <x:c r="V26" s="19" t="n">
        <x:v>0.475</x:v>
      </x:c>
      <x:c r="W26" s="19" t="n">
        <x:v>0.4133</x:v>
      </x:c>
      <x:c r="X26" s="17" t="n">
        <x:v>18</x:v>
      </x:c>
      <x:c r="Y26" s="17" t="n">
        <x:v>0</x:v>
      </x:c>
      <x:c r="Z26" s="17" t="n">
        <x:v>10</x:v>
      </x:c>
      <x:c r="AA26" s="21" t="n">
        <x:v>2.26</x:v>
      </x:c>
      <x:c r="AB26" s="21" t="n">
        <x:v>1</x:v>
      </x:c>
      <x:c r="AC26" s="17" t="str">
        <x:v>0: 285 · 1: 68 · 2: 36 · 3: 31 · 4: 28 · 5: 25 · 6: 24 · 7: 22 · 8: 21 · 9: 20 · 10: 18 · 11: 18</x:v>
      </x:c>
      <x:c r="AD26" s="16" t="str">
        <x:v>collected_code_6/qwen-max/feedback-dynamic-r0-t1.0-p1.0</x:v>
      </x:c>
      <x:c r="AE26" s="12"/>
    </x:row>
    <x:row r="27" ht="40" customHeight="1">
      <x:c r="A27" s="2"/>
      <x:c r="B27" s="9" t="str">
        <x:v>qwen-max</x:v>
      </x:c>
      <x:c r="C27" s="8" t="str">
        <x:v>feedback-static-r0-t0.2-p1.0</x:v>
      </x:c>
      <x:c r="D27" s="18" t="n">
        <x:v>200</x:v>
      </x:c>
      <x:c r="E27" s="20" t="str">
        <x:v>NV</x:v>
      </x:c>
      <x:c r="F27" s="18" t="n">
        <x:v>126</x:v>
      </x:c>
      <x:c r="G27" s="18" t="n">
        <x:v>72</x:v>
      </x:c>
      <x:c r="H27" s="20" t="n">
        <x:v>0.99</x:v>
      </x:c>
      <x:c r="I27" s="18" t="str">
        <x:v>NV</x:v>
      </x:c>
      <x:c r="J27" s="18" t="n">
        <x:v>17</x:v>
      </x:c>
      <x:c r="K27" s="18" t="n">
        <x:v>17</x:v>
      </x:c>
      <x:c r="L27" s="18" t="n">
        <x:v>64</x:v>
      </x:c>
      <x:c r="M27" s="18" t="n">
        <x:v>0</x:v>
      </x:c>
      <x:c r="N27" s="18" t="n">
        <x:v>0</x:v>
      </x:c>
      <x:c r="O27" s="18" t="n">
        <x:v>0</x:v>
      </x:c>
      <x:c r="P27" s="18" t="n">
        <x:v>0</x:v>
      </x:c>
      <x:c r="Q27" s="18" t="n">
        <x:v>200</x:v>
      </x:c>
      <x:c r="R27" s="18" t="n">
        <x:v>0</x:v>
      </x:c>
      <x:c r="S27" s="18" t="n">
        <x:v>0</x:v>
      </x:c>
      <x:c r="T27" s="20" t="str">
        <x:v>NV</x:v>
      </x:c>
      <x:c r="U27" s="18" t="n">
        <x:v>74</x:v>
      </x:c>
      <x:c r="V27" s="20" t="n">
        <x:v>0.37</x:v>
      </x:c>
      <x:c r="W27" s="20" t="n">
        <x:v>0.37</x:v>
      </x:c>
      <x:c r="X27" s="18" t="n">
        <x:v>2</x:v>
      </x:c>
      <x:c r="Y27" s="18" t="n">
        <x:v>0</x:v>
      </x:c>
      <x:c r="Z27" s="18" t="n">
        <x:v>10</x:v>
      </x:c>
      <x:c r="AA27" s="22" t="n">
        <x:v>1.194</x:v>
      </x:c>
      <x:c r="AB27" s="22" t="n">
        <x:v>1</x:v>
      </x:c>
      <x:c r="AC27" s="18" t="str">
        <x:v>0: 74 · 1: 74 · 2: 13 · 3: 4 · 4: 3 · 5: 2 · 6: 2 · 7: 2 · 8: 2 · 9: 2 · 10: 2 · 11: 2</x:v>
      </x:c>
      <x:c r="AD27" s="11" t="str">
        <x:v>collected_code_6/qwen-max/feedback-static-r0-t0.2-p1.0</x:v>
      </x:c>
      <x:c r="AE27" s="12"/>
    </x:row>
    <x:row r="28" ht="40" customHeight="1">
      <x:c r="A28" s="2"/>
      <x:c r="B28" s="9" t="str">
        <x:v>qwen-max</x:v>
      </x:c>
      <x:c r="C28" s="8" t="str">
        <x:v>feedback-static-r0-t1.0-p0.5</x:v>
      </x:c>
      <x:c r="D28" s="18" t="n">
        <x:v>200</x:v>
      </x:c>
      <x:c r="E28" s="20" t="str">
        <x:v>NV</x:v>
      </x:c>
      <x:c r="F28" s="18" t="n">
        <x:v>142</x:v>
      </x:c>
      <x:c r="G28" s="18" t="n">
        <x:v>55</x:v>
      </x:c>
      <x:c r="H28" s="20" t="n">
        <x:v>0.985</x:v>
      </x:c>
      <x:c r="I28" s="18" t="str">
        <x:v>NV</x:v>
      </x:c>
      <x:c r="J28" s="18" t="n">
        <x:v>13</x:v>
      </x:c>
      <x:c r="K28" s="18" t="n">
        <x:v>14</x:v>
      </x:c>
      <x:c r="L28" s="18" t="n">
        <x:v>49</x:v>
      </x:c>
      <x:c r="M28" s="18" t="n">
        <x:v>0</x:v>
      </x:c>
      <x:c r="N28" s="18" t="n">
        <x:v>0</x:v>
      </x:c>
      <x:c r="O28" s="18" t="n">
        <x:v>0</x:v>
      </x:c>
      <x:c r="P28" s="18" t="n">
        <x:v>0</x:v>
      </x:c>
      <x:c r="Q28" s="18" t="n">
        <x:v>200</x:v>
      </x:c>
      <x:c r="R28" s="18" t="n">
        <x:v>0</x:v>
      </x:c>
      <x:c r="S28" s="18" t="n">
        <x:v>0</x:v>
      </x:c>
      <x:c r="T28" s="20" t="str">
        <x:v>NV</x:v>
      </x:c>
      <x:c r="U28" s="18" t="n">
        <x:v>58</x:v>
      </x:c>
      <x:c r="V28" s="20" t="n">
        <x:v>0.29</x:v>
      </x:c>
      <x:c r="W28" s="20" t="n">
        <x:v>0.29</x:v>
      </x:c>
      <x:c r="X28" s="18" t="n">
        <x:v>3</x:v>
      </x:c>
      <x:c r="Y28" s="18" t="n">
        <x:v>0</x:v>
      </x:c>
      <x:c r="Z28" s="18" t="n">
        <x:v>10</x:v>
      </x:c>
      <x:c r="AA28" s="22" t="n">
        <x:v>1.4</x:v>
      </x:c>
      <x:c r="AB28" s="22" t="n">
        <x:v>1</x:v>
      </x:c>
      <x:c r="AC28" s="18" t="str">
        <x:v>0: 58 · 1: 58 · 2: 15 · 3: 8 · 4: 4 · 5: 4 · 6: 4 · 7: 4 · 8: 4 · 9: 3 · 10: 3 · 11: 3</x:v>
      </x:c>
      <x:c r="AD28" s="11" t="str">
        <x:v>collected_code_6/qwen-max/feedback-static-r0-t1.0-p0.5</x:v>
      </x:c>
      <x:c r="AE28" s="12"/>
    </x:row>
    <x:row r="29" ht="40" customHeight="1">
      <x:c r="A29" s="2"/>
      <x:c r="B29" s="9" t="str">
        <x:v>qwen-max</x:v>
      </x:c>
      <x:c r="C29" s="8" t="str">
        <x:v>feedback-static-r0-t1.0-p1.0</x:v>
      </x:c>
      <x:c r="D29" s="18" t="n">
        <x:v>2922</x:v>
      </x:c>
      <x:c r="E29" s="20" t="str">
        <x:v>NV</x:v>
      </x:c>
      <x:c r="F29" s="18" t="n">
        <x:v>1804</x:v>
      </x:c>
      <x:c r="G29" s="18" t="n">
        <x:v>1082</x:v>
      </x:c>
      <x:c r="H29" s="20" t="n">
        <x:v>0.9877</x:v>
      </x:c>
      <x:c r="I29" s="18" t="str">
        <x:v>NV</x:v>
      </x:c>
      <x:c r="J29" s="18" t="n">
        <x:v>179</x:v>
      </x:c>
      <x:c r="K29" s="18" t="n">
        <x:v>176</x:v>
      </x:c>
      <x:c r="L29" s="18" t="n">
        <x:v>1007</x:v>
      </x:c>
      <x:c r="M29" s="18" t="n">
        <x:v>0</x:v>
      </x:c>
      <x:c r="N29" s="18" t="n">
        <x:v>0</x:v>
      </x:c>
      <x:c r="O29" s="18" t="n">
        <x:v>0</x:v>
      </x:c>
      <x:c r="P29" s="18" t="n">
        <x:v>0</x:v>
      </x:c>
      <x:c r="Q29" s="18" t="n">
        <x:v>2922</x:v>
      </x:c>
      <x:c r="R29" s="18" t="n">
        <x:v>0</x:v>
      </x:c>
      <x:c r="S29" s="18" t="n">
        <x:v>0</x:v>
      </x:c>
      <x:c r="T29" s="20" t="str">
        <x:v>NV</x:v>
      </x:c>
      <x:c r="U29" s="18" t="n">
        <x:v>1118</x:v>
      </x:c>
      <x:c r="V29" s="20" t="n">
        <x:v>0.3826</x:v>
      </x:c>
      <x:c r="W29" s="20" t="n">
        <x:v>0.3826</x:v>
      </x:c>
      <x:c r="X29" s="18" t="n">
        <x:v>36</x:v>
      </x:c>
      <x:c r="Y29" s="18" t="n">
        <x:v>0</x:v>
      </x:c>
      <x:c r="Z29" s="18" t="n">
        <x:v>10</x:v>
      </x:c>
      <x:c r="AA29" s="22" t="n">
        <x:v>1.25</x:v>
      </x:c>
      <x:c r="AB29" s="22" t="n">
        <x:v>1</x:v>
      </x:c>
      <x:c r="AC29" s="18" t="str">
        <x:v>0: 1118 · 1: 1118 · 2: 198 · 3: 74 · 4: 60 · 5: 54 · 6: 47 · 7: 43 · 8: 40 · 9: 39 · 10: 39 · 11: 36</x:v>
      </x:c>
      <x:c r="AD29" s="11" t="str">
        <x:v>collected_code_6/qwen-max/feedback-static-r0-t1.0-p1.0</x:v>
      </x:c>
      <x:c r="AE29" s="12"/>
    </x:row>
    <x:row r="30" ht="40" customHeight="1">
      <x:c r="A30" s="2"/>
      <x:c r="B30" s="9" t="str">
        <x:v>qwen-max</x:v>
      </x:c>
      <x:c r="C30" s="8" t="str">
        <x:v>feedback-static+dynamic-r0-t0.2-p1.0</x:v>
      </x:c>
      <x:c r="D30" s="18" t="n">
        <x:v>600</x:v>
      </x:c>
      <x:c r="E30" s="20" t="str">
        <x:v>NV</x:v>
      </x:c>
      <x:c r="F30" s="18" t="n">
        <x:v>326</x:v>
      </x:c>
      <x:c r="G30" s="18" t="n">
        <x:v>236</x:v>
      </x:c>
      <x:c r="H30" s="20" t="n">
        <x:v>0.9367</x:v>
      </x:c>
      <x:c r="I30" s="18" t="str">
        <x:v>NV</x:v>
      </x:c>
      <x:c r="J30" s="18" t="n">
        <x:v>49</x:v>
      </x:c>
      <x:c r="K30" s="18" t="n">
        <x:v>51</x:v>
      </x:c>
      <x:c r="L30" s="18" t="n">
        <x:v>189</x:v>
      </x:c>
      <x:c r="M30" s="18" t="n">
        <x:v>0</x:v>
      </x:c>
      <x:c r="N30" s="18" t="n">
        <x:v>35</x:v>
      </x:c>
      <x:c r="O30" s="18" t="n">
        <x:v>0</x:v>
      </x:c>
      <x:c r="P30" s="18" t="n">
        <x:v>45</x:v>
      </x:c>
      <x:c r="Q30" s="18" t="n">
        <x:v>0</x:v>
      </x:c>
      <x:c r="R30" s="18" t="n">
        <x:v>555</x:v>
      </x:c>
      <x:c r="S30" s="18" t="n">
        <x:v>45</x:v>
      </x:c>
      <x:c r="T30" s="20" t="n">
        <x:v>0.925</x:v>
      </x:c>
      <x:c r="U30" s="18" t="n">
        <x:v>270</x:v>
      </x:c>
      <x:c r="V30" s="20" t="n">
        <x:v>0.45</x:v>
      </x:c>
      <x:c r="W30" s="20" t="n">
        <x:v>0.365</x:v>
      </x:c>
      <x:c r="X30" s="18" t="n">
        <x:v>38</x:v>
      </x:c>
      <x:c r="Y30" s="18" t="n">
        <x:v>0</x:v>
      </x:c>
      <x:c r="Z30" s="18" t="n">
        <x:v>10</x:v>
      </x:c>
      <x:c r="AA30" s="22" t="n">
        <x:v>1.712</x:v>
      </x:c>
      <x:c r="AB30" s="22" t="n">
        <x:v>1</x:v>
      </x:c>
      <x:c r="AC30" s="18" t="str">
        <x:v>0: 270 · 1: 274 · 2: 106 · 3: 66 · 4: 58 · 5: 53 · 6: 48 · 7: 48 · 8: 45 · 9: 44 · 10: 42 · 11: 38</x:v>
      </x:c>
      <x:c r="AD30" s="11" t="str">
        <x:v>collected_code_6/qwen-max/feedback-static+dynamic-r0-t0.2-p1.0</x:v>
      </x:c>
      <x:c r="AE30" s="12"/>
    </x:row>
    <x:row r="31" ht="40" customHeight="1">
      <x:c r="A31" s="2"/>
      <x:c r="B31" s="9" t="str">
        <x:v>qwen-max</x:v>
      </x:c>
      <x:c r="C31" s="8" t="str">
        <x:v>feedback-static+dynamic-r0-t1.0-p0.5</x:v>
      </x:c>
      <x:c r="D31" s="18" t="n">
        <x:v>600</x:v>
      </x:c>
      <x:c r="E31" s="20" t="str">
        <x:v>NV</x:v>
      </x:c>
      <x:c r="F31" s="18" t="n">
        <x:v>355</x:v>
      </x:c>
      <x:c r="G31" s="18" t="n">
        <x:v>207</x:v>
      </x:c>
      <x:c r="H31" s="20" t="n">
        <x:v>0.9367</x:v>
      </x:c>
      <x:c r="I31" s="18" t="str">
        <x:v>NV</x:v>
      </x:c>
      <x:c r="J31" s="18" t="n">
        <x:v>52</x:v>
      </x:c>
      <x:c r="K31" s="18" t="n">
        <x:v>57</x:v>
      </x:c>
      <x:c r="L31" s="18" t="n">
        <x:v>173</x:v>
      </x:c>
      <x:c r="M31" s="18" t="n">
        <x:v>0</x:v>
      </x:c>
      <x:c r="N31" s="18" t="n">
        <x:v>23</x:v>
      </x:c>
      <x:c r="O31" s="18" t="n">
        <x:v>0</x:v>
      </x:c>
      <x:c r="P31" s="18" t="n">
        <x:v>36</x:v>
      </x:c>
      <x:c r="Q31" s="18" t="n">
        <x:v>0</x:v>
      </x:c>
      <x:c r="R31" s="18" t="n">
        <x:v>564</x:v>
      </x:c>
      <x:c r="S31" s="18" t="n">
        <x:v>36</x:v>
      </x:c>
      <x:c r="T31" s="20" t="n">
        <x:v>0.94</x:v>
      </x:c>
      <x:c r="U31" s="18" t="n">
        <x:v>245</x:v>
      </x:c>
      <x:c r="V31" s="20" t="n">
        <x:v>0.4083</x:v>
      </x:c>
      <x:c r="W31" s="20" t="n">
        <x:v>0.345</x:v>
      </x:c>
      <x:c r="X31" s="18" t="n">
        <x:v>38</x:v>
      </x:c>
      <x:c r="Y31" s="18" t="n">
        <x:v>0</x:v>
      </x:c>
      <x:c r="Z31" s="18" t="n">
        <x:v>10</x:v>
      </x:c>
      <x:c r="AA31" s="22" t="n">
        <x:v>1.686</x:v>
      </x:c>
      <x:c r="AB31" s="22" t="n">
        <x:v>1</x:v>
      </x:c>
      <x:c r="AC31" s="18" t="str">
        <x:v>0: 245 · 1: 245 · 2: 92 · 3: 64 · 4: 58 · 5: 53 · 6: 50 · 7: 45 · 8: 43 · 9: 40 · 10: 39 · 11: 38</x:v>
      </x:c>
      <x:c r="AD31" s="11" t="str">
        <x:v>collected_code_6/qwen-max/feedback-static+dynamic-r0-t1.0-p0.5</x:v>
      </x:c>
      <x:c r="AE31" s="12"/>
    </x:row>
    <x:row r="32" ht="40" customHeight="1">
      <x:c r="A32" s="2"/>
      <x:c r="B32" s="9" t="str">
        <x:v>qwen-max</x:v>
      </x:c>
      <x:c r="C32" s="8" t="str">
        <x:v>feedback-static+dynamic-r0-t1.0-p1.0</x:v>
      </x:c>
      <x:c r="D32" s="18" t="n">
        <x:v>400</x:v>
      </x:c>
      <x:c r="E32" s="20" t="str">
        <x:v>NV</x:v>
      </x:c>
      <x:c r="F32" s="18" t="n">
        <x:v>207</x:v>
      </x:c>
      <x:c r="G32" s="18" t="n">
        <x:v>160</x:v>
      </x:c>
      <x:c r="H32" s="20" t="n">
        <x:v>0.9175</x:v>
      </x:c>
      <x:c r="I32" s="18" t="str">
        <x:v>NV</x:v>
      </x:c>
      <x:c r="J32" s="18" t="n">
        <x:v>47</x:v>
      </x:c>
      <x:c r="K32" s="18" t="n">
        <x:v>48</x:v>
      </x:c>
      <x:c r="L32" s="18" t="n">
        <x:v>141</x:v>
      </x:c>
      <x:c r="M32" s="18" t="n">
        <x:v>0</x:v>
      </x:c>
      <x:c r="N32" s="18" t="n">
        <x:v>21</x:v>
      </x:c>
      <x:c r="O32" s="18" t="n">
        <x:v>0</x:v>
      </x:c>
      <x:c r="P32" s="18" t="n">
        <x:v>24</x:v>
      </x:c>
      <x:c r="Q32" s="18" t="n">
        <x:v>0</x:v>
      </x:c>
      <x:c r="R32" s="18" t="n">
        <x:v>376</x:v>
      </x:c>
      <x:c r="S32" s="18" t="n">
        <x:v>24</x:v>
      </x:c>
      <x:c r="T32" s="20" t="n">
        <x:v>0.94</x:v>
      </x:c>
      <x:c r="U32" s="18" t="n">
        <x:v>193</x:v>
      </x:c>
      <x:c r="V32" s="20" t="n">
        <x:v>0.4825</x:v>
      </x:c>
      <x:c r="W32" s="20" t="n">
        <x:v>0.41</x:v>
      </x:c>
      <x:c r="X32" s="18" t="n">
        <x:v>33</x:v>
      </x:c>
      <x:c r="Y32" s="18" t="n">
        <x:v>0</x:v>
      </x:c>
      <x:c r="Z32" s="18" t="n">
        <x:v>10</x:v>
      </x:c>
      <x:c r="AA32" s="22" t="n">
        <x:v>1.688</x:v>
      </x:c>
      <x:c r="AB32" s="22" t="n">
        <x:v>1</x:v>
      </x:c>
      <x:c r="AC32" s="18" t="str">
        <x:v>0: 193 · 1: 193 · 2: 81 · 3: 53 · 4: 48 · 5: 44 · 6: 40 · 7: 39 · 8: 35 · 9: 34 · 10: 33 · 11: 33</x:v>
      </x:c>
      <x:c r="AD32" s="11" t="str">
        <x:v>collected_code_6/qwen-max/feedback-static+dynamic-r0-t1.0-p1.0</x:v>
      </x:c>
      <x:c r="AE32" s="12"/>
    </x:row>
  </x:sheetData>
  <x:conditionalFormatting sqref="D3:AC32">
    <x:cfRule type="cellIs" dxfId="0" priority="1" operator="equal">
      <x:formula>"NV"</x:formula>
    </x:cfRule>
    <x:cfRule type="cellIs" dxfId="1" priority="2" operator="equal">
      <x:formula>"N/A"</x:formula>
    </x:cfRule>
    <x:cfRule type="cellIs" dxfId="2" priority="3" operator="equal">
      <x:formula>"Sem registro"</x:formula>
    </x:cfRule>
    <x:cfRule type="cellIs" dxfId="3" priority="4" operator="equal">
      <x:formula>"Sem célula"</x:formula>
    </x:cfRule>
  </x:conditionalFormatting>
  <x:pageMargins left="0.7" right="0.7" top="0.75" bottom="0.75" header="0.3" footer="0.3"/>
  <x:legacyDrawing xmlns:r="http://schemas.openxmlformats.org/officeDocument/2006/relationships" r:id="Re06873bd23414120"/>
</x:worksheet>
</file>

<file path=xl/worksheets/sheet3.xml><?xml version="1.0" encoding="utf-8"?>
<x:worksheet xmlns:x="http://schemas.openxmlformats.org/spreadsheetml/2006/main">
  <x:sheetPr>
    <x:tabColor rgb="FF174D7A"/>
  </x:sheetPr>
  <x:sheetViews>
    <x:sheetView showGridLines="0" workbookViewId="0">
      <x:pane xSplit="3" ySplit="2" topLeftCell="D3" activePane="bottomRight" state="frozen"/>
    </x:sheetView>
  </x:sheetViews>
  <x:sheetFormatPr defaultRowHeight="15"/>
  <x:cols>
    <x:col min="1" max="1" width="2.440000057220459" hidden="0" customWidth="1"/>
    <x:col min="2" max="2" width="22" hidden="0" customWidth="1"/>
    <x:col min="3" max="3" width="35.11000061035156" hidden="0" customWidth="1"/>
    <x:col min="4" max="4" width="12.890000343322754" hidden="0" customWidth="1"/>
    <x:col min="5" max="5" width="12.890000343322754" hidden="0" customWidth="1"/>
    <x:col min="6" max="6" width="12.890000343322754" hidden="0" customWidth="1"/>
    <x:col min="7" max="7" width="12.890000343322754" hidden="0" customWidth="1"/>
    <x:col min="8" max="8" width="12.890000343322754" hidden="0" customWidth="1"/>
    <x:col min="9" max="9" width="12.890000343322754" hidden="0" customWidth="1"/>
    <x:col min="10" max="10" width="12.890000343322754" hidden="0" customWidth="1"/>
    <x:col min="11" max="11" width="12.890000343322754" hidden="0" customWidth="1"/>
    <x:col min="12" max="12" width="12.890000343322754" hidden="0" customWidth="1"/>
    <x:col min="13" max="13" width="12.890000343322754" hidden="0" customWidth="1"/>
    <x:col min="14" max="14" width="12.890000343322754" hidden="0" customWidth="1"/>
    <x:col min="15" max="15" width="12.890000343322754" hidden="0" customWidth="1"/>
    <x:col min="16" max="16" width="12.890000343322754" hidden="0" customWidth="1"/>
    <x:col min="17" max="17" width="12.890000343322754" hidden="0" customWidth="1"/>
    <x:col min="18" max="18" width="12.890000343322754" hidden="0" customWidth="1"/>
    <x:col min="19" max="19" width="12.890000343322754" hidden="0" customWidth="1"/>
    <x:col min="20" max="20" width="12.890000343322754" hidden="0" customWidth="1"/>
    <x:col min="21" max="21" width="12.890000343322754" hidden="0" customWidth="1"/>
    <x:col min="22" max="22" width="12.890000343322754" hidden="0" customWidth="1"/>
    <x:col min="23" max="23" width="12.890000343322754" hidden="0" customWidth="1"/>
    <x:col min="24" max="24" width="12.890000343322754" hidden="0" customWidth="1"/>
    <x:col min="25" max="25" width="12.890000343322754" hidden="0" customWidth="1"/>
    <x:col min="26" max="26" width="12.890000343322754" hidden="0" customWidth="1"/>
    <x:col min="27" max="27" width="12.890000343322754" hidden="0" customWidth="1"/>
    <x:col min="28" max="28" width="12.890000343322754" hidden="0" customWidth="1"/>
    <x:col min="29" max="29" width="40" hidden="0" customWidth="1"/>
    <x:col min="30" max="30" width="57.779998779296875" hidden="0" customWidth="1"/>
  </x:cols>
  <x:sheetData>
    <x:row r="1" ht="28" customHeight="1">
      <x:c r="A1" s="2"/>
      <x:c r="B1" s="2" t="str">
        <x:v>Fonte: results/metrics.csv</x:v>
      </x:c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46" customHeight="1">
      <x:c r="A2" s="2"/>
      <x:c r="B2" s="6" t="str">
        <x:v>Modelo</x:v>
      </x:c>
      <x:c r="C2" s="6" t="str">
        <x:v>Configuração</x:v>
      </x:c>
      <x:c r="D2" s="6" t="str">
        <x:v>Gerados</x:v>
      </x:c>
      <x:c r="E2" s="6" t="str">
        <x:v>Compilam (%)</x:v>
      </x:c>
      <x:c r="F2" s="6" t="str">
        <x:v>Limpos no início</x:v>
      </x:c>
      <x:c r="G2" s="6" t="str">
        <x:v>Limpos após cura</x:v>
      </x:c>
      <x:c r="H2" s="6" t="str">
        <x:v>Limpos no fim (%)</x:v>
      </x:c>
      <x:c r="I2" s="6" t="str">
        <x:v>Compilam (n)</x:v>
      </x:c>
      <x:c r="J2" s="6" t="str">
        <x:v>Com alerta: GCC</x:v>
      </x:c>
      <x:c r="K2" s="6" t="str">
        <x:v>Com alerta: Clang</x:v>
      </x:c>
      <x:c r="L2" s="6" t="str">
        <x:v>Com alerta: Cppcheck</x:v>
      </x:c>
      <x:c r="M2" s="6" t="str">
        <x:v>Com alerta: Flawfinder</x:v>
      </x:c>
      <x:c r="N2" s="6" t="str">
        <x:v>Com alerta: ASan</x:v>
      </x:c>
      <x:c r="O2" s="6" t="str">
        <x:v>Com alerta: fuzz</x:v>
      </x:c>
      <x:c r="P2" s="6" t="str">
        <x:v>Com alerta: teste</x:v>
      </x:c>
      <x:c r="Q2" s="6" t="str">
        <x:v>Teste: sem relatório</x:v>
      </x:c>
      <x:c r="R2" s="6" t="str">
        <x:v>Teste: aprovados*</x:v>
      </x:c>
      <x:c r="S2" s="6" t="str">
        <x:v>Teste: falhas</x:v>
      </x:c>
      <x:c r="T2" s="6" t="str">
        <x:v>Teste: aprovação (%)*</x:v>
      </x:c>
      <x:c r="U2" s="6" t="str">
        <x:v>Com alertas no início</x:v>
      </x:c>
      <x:c r="V2" s="6" t="str">
        <x:v>Com alertas no início (%)</x:v>
      </x:c>
      <x:c r="W2" s="6" t="str">
        <x:v>Com alertas estáticos (%)</x:v>
      </x:c>
      <x:c r="X2" s="6" t="str">
        <x:v>Não ficaram limpos</x:v>
      </x:c>
      <x:c r="Y2" s="6" t="str">
        <x:v>Falhas na cura</x:v>
      </x:c>
      <x:c r="Z2" s="6" t="str">
        <x:v>Limite de rodadas</x:v>
      </x:c>
      <x:c r="AA2" s="6" t="str">
        <x:v>Rodadas: média</x:v>
      </x:c>
      <x:c r="AB2" s="6" t="str">
        <x:v>Rodadas: mediana</x:v>
      </x:c>
      <x:c r="AC2" s="6" t="str">
        <x:v>Fila por rodada</x:v>
      </x:c>
      <x:c r="AD2" s="6" t="str">
        <x:v>Caminho relativo</x:v>
      </x:c>
    </x:row>
    <x:row r="3" ht="40" customHeight="1">
      <x:c r="A3" s="2"/>
      <x:c r="B3" s="13" t="str">
        <x:v>claude-fable-5</x:v>
      </x:c>
      <x:c r="C3" s="14" t="str">
        <x:v>feedback-static-r0-t1.0-p1.0</x:v>
      </x:c>
      <x:c r="D3" s="17" t="str">
        <x:v>Sem registro</x:v>
      </x:c>
      <x:c r="E3" s="19" t="str">
        <x:v>Sem registro</x:v>
      </x:c>
      <x:c r="F3" s="17" t="str">
        <x:v>Sem registro</x:v>
      </x:c>
      <x:c r="G3" s="17" t="str">
        <x:v>Sem registro</x:v>
      </x:c>
      <x:c r="H3" s="19" t="str">
        <x:v>Sem registro</x:v>
      </x:c>
      <x:c r="I3" s="17" t="str">
        <x:v>Sem registro</x:v>
      </x:c>
      <x:c r="J3" s="17" t="str">
        <x:v>Sem registro</x:v>
      </x:c>
      <x:c r="K3" s="17" t="str">
        <x:v>Sem registro</x:v>
      </x:c>
      <x:c r="L3" s="17" t="str">
        <x:v>Sem registro</x:v>
      </x:c>
      <x:c r="M3" s="17" t="str">
        <x:v>Sem registro</x:v>
      </x:c>
      <x:c r="N3" s="17" t="str">
        <x:v>Sem registro</x:v>
      </x:c>
      <x:c r="O3" s="17" t="str">
        <x:v>Sem registro</x:v>
      </x:c>
      <x:c r="P3" s="17" t="str">
        <x:v>Sem registro</x:v>
      </x:c>
      <x:c r="Q3" s="17" t="str">
        <x:v>Sem registro</x:v>
      </x:c>
      <x:c r="R3" s="17" t="str">
        <x:v>Sem registro</x:v>
      </x:c>
      <x:c r="S3" s="17" t="str">
        <x:v>Sem registro</x:v>
      </x:c>
      <x:c r="T3" s="19" t="str">
        <x:v>Sem registro</x:v>
      </x:c>
      <x:c r="U3" s="17" t="str">
        <x:v>Sem registro</x:v>
      </x:c>
      <x:c r="V3" s="19" t="str">
        <x:v>Sem registro</x:v>
      </x:c>
      <x:c r="W3" s="19" t="str">
        <x:v>Sem registro</x:v>
      </x:c>
      <x:c r="X3" s="17" t="str">
        <x:v>Sem registro</x:v>
      </x:c>
      <x:c r="Y3" s="17" t="str">
        <x:v>Sem registro</x:v>
      </x:c>
      <x:c r="Z3" s="17" t="str">
        <x:v>Sem registro</x:v>
      </x:c>
      <x:c r="AA3" s="21" t="str">
        <x:v>Sem registro</x:v>
      </x:c>
      <x:c r="AB3" s="21" t="str">
        <x:v>Sem registro</x:v>
      </x:c>
      <x:c r="AC3" s="17" t="str">
        <x:v>Sem registro</x:v>
      </x:c>
      <x:c r="AD3" s="16" t="str">
        <x:v>collected_code_6/claude-fable-5/feedback-static-r0-t1.0-p1.0</x:v>
      </x:c>
      <x:c r="AE3" s="12"/>
    </x:row>
    <x:row r="4" ht="40" customHeight="1">
      <x:c r="A4" s="2"/>
      <x:c r="B4" s="13" t="str">
        <x:v>deepseek-v4-pro</x:v>
      </x:c>
      <x:c r="C4" s="14" t="str">
        <x:v>feedback-dynamic-r0-t1.0-p1.0</x:v>
      </x:c>
      <x:c r="D4" s="17" t="str">
        <x:v>Sem registro</x:v>
      </x:c>
      <x:c r="E4" s="19" t="str">
        <x:v>Sem registro</x:v>
      </x:c>
      <x:c r="F4" s="17" t="str">
        <x:v>Sem registro</x:v>
      </x:c>
      <x:c r="G4" s="17" t="str">
        <x:v>Sem registro</x:v>
      </x:c>
      <x:c r="H4" s="19" t="str">
        <x:v>Sem registro</x:v>
      </x:c>
      <x:c r="I4" s="17" t="str">
        <x:v>Sem registro</x:v>
      </x:c>
      <x:c r="J4" s="17" t="str">
        <x:v>Sem registro</x:v>
      </x:c>
      <x:c r="K4" s="17" t="str">
        <x:v>Sem registro</x:v>
      </x:c>
      <x:c r="L4" s="17" t="str">
        <x:v>Sem registro</x:v>
      </x:c>
      <x:c r="M4" s="17" t="str">
        <x:v>Sem registro</x:v>
      </x:c>
      <x:c r="N4" s="17" t="str">
        <x:v>Sem registro</x:v>
      </x:c>
      <x:c r="O4" s="17" t="str">
        <x:v>Sem registro</x:v>
      </x:c>
      <x:c r="P4" s="17" t="str">
        <x:v>Sem registro</x:v>
      </x:c>
      <x:c r="Q4" s="17" t="str">
        <x:v>Sem registro</x:v>
      </x:c>
      <x:c r="R4" s="17" t="str">
        <x:v>Sem registro</x:v>
      </x:c>
      <x:c r="S4" s="17" t="str">
        <x:v>Sem registro</x:v>
      </x:c>
      <x:c r="T4" s="19" t="str">
        <x:v>Sem registro</x:v>
      </x:c>
      <x:c r="U4" s="17" t="str">
        <x:v>Sem registro</x:v>
      </x:c>
      <x:c r="V4" s="19" t="str">
        <x:v>Sem registro</x:v>
      </x:c>
      <x:c r="W4" s="19" t="str">
        <x:v>Sem registro</x:v>
      </x:c>
      <x:c r="X4" s="17" t="str">
        <x:v>Sem registro</x:v>
      </x:c>
      <x:c r="Y4" s="17" t="str">
        <x:v>Sem registro</x:v>
      </x:c>
      <x:c r="Z4" s="17" t="str">
        <x:v>Sem registro</x:v>
      </x:c>
      <x:c r="AA4" s="21" t="str">
        <x:v>Sem registro</x:v>
      </x:c>
      <x:c r="AB4" s="21" t="str">
        <x:v>Sem registro</x:v>
      </x:c>
      <x:c r="AC4" s="17" t="str">
        <x:v>Sem registro</x:v>
      </x:c>
      <x:c r="AD4" s="16" t="str">
        <x:v>collected_code_6/deepseek-v4-pro/feedback-dynamic-r0-t1.0-p1.0</x:v>
      </x:c>
      <x:c r="AE4" s="12"/>
    </x:row>
    <x:row r="5" ht="40" customHeight="1">
      <x:c r="A5" s="2"/>
      <x:c r="B5" s="9" t="str">
        <x:v>deepseek-v4-pro</x:v>
      </x:c>
      <x:c r="C5" s="8" t="str">
        <x:v>feedback-static-r0-t0.2-p1.0</x:v>
      </x:c>
      <x:c r="D5" s="18" t="n">
        <x:v>200</x:v>
      </x:c>
      <x:c r="E5" s="20" t="n">
        <x:v>0.98</x:v>
      </x:c>
      <x:c r="F5" s="18" t="n">
        <x:v>139</x:v>
      </x:c>
      <x:c r="G5" s="18" t="n">
        <x:v>57</x:v>
      </x:c>
      <x:c r="H5" s="20" t="n">
        <x:v>0.98</x:v>
      </x:c>
      <x:c r="I5" s="18" t="n">
        <x:v>196</x:v>
      </x:c>
      <x:c r="J5" s="18" t="n">
        <x:v>4</x:v>
      </x:c>
      <x:c r="K5" s="18" t="n">
        <x:v>6</x:v>
      </x:c>
      <x:c r="L5" s="18" t="n">
        <x:v>58</x:v>
      </x:c>
      <x:c r="M5" s="18" t="n">
        <x:v>0</x:v>
      </x:c>
      <x:c r="N5" s="18" t="n">
        <x:v>0</x:v>
      </x:c>
      <x:c r="O5" s="18" t="n">
        <x:v>0</x:v>
      </x:c>
      <x:c r="P5" s="18" t="n">
        <x:v>0</x:v>
      </x:c>
      <x:c r="Q5" s="18" t="n">
        <x:v>200</x:v>
      </x:c>
      <x:c r="R5" s="18" t="n">
        <x:v>0</x:v>
      </x:c>
      <x:c r="S5" s="18" t="n">
        <x:v>0</x:v>
      </x:c>
      <x:c r="T5" s="20" t="str">
        <x:v>Sem registro</x:v>
      </x:c>
      <x:c r="U5" s="18" t="n">
        <x:v>61</x:v>
      </x:c>
      <x:c r="V5" s="20" t="n">
        <x:v>0.305</x:v>
      </x:c>
      <x:c r="W5" s="20" t="n">
        <x:v>0.305</x:v>
      </x:c>
      <x:c r="X5" s="18" t="n">
        <x:v>4</x:v>
      </x:c>
      <x:c r="Y5" s="18" t="n">
        <x:v>0</x:v>
      </x:c>
      <x:c r="Z5" s="18" t="n">
        <x:v>10</x:v>
      </x:c>
      <x:c r="AA5" s="22" t="n">
        <x:v>1.386</x:v>
      </x:c>
      <x:c r="AB5" s="22" t="n">
        <x:v>1</x:v>
      </x:c>
      <x:c r="AC5" s="18" t="str">
        <x:v>0: 61 · 1: 61 · 2: 17 · 3: 7 · 4: 6 · 5: 5 · 6: 5 · 7: 5 · 8: 5 · 9: 4 · 10: 4 · 11: 4</x:v>
      </x:c>
      <x:c r="AD5" s="11" t="str">
        <x:v>collected_code_6/deepseek-v4-pro/feedback-static-r0-t0.2-p1.0</x:v>
      </x:c>
      <x:c r="AE5" s="12"/>
    </x:row>
    <x:row r="6" ht="40" customHeight="1">
      <x:c r="A6" s="2"/>
      <x:c r="B6" s="9" t="str">
        <x:v>deepseek-v4-pro</x:v>
      </x:c>
      <x:c r="C6" s="8" t="str">
        <x:v>feedback-static-r0-t1.0-p0.5</x:v>
      </x:c>
      <x:c r="D6" s="18" t="n">
        <x:v>200</x:v>
      </x:c>
      <x:c r="E6" s="20" t="n">
        <x:v>0.975</x:v>
      </x:c>
      <x:c r="F6" s="18" t="n">
        <x:v>127</x:v>
      </x:c>
      <x:c r="G6" s="18" t="n">
        <x:v>69</x:v>
      </x:c>
      <x:c r="H6" s="20" t="n">
        <x:v>0.98</x:v>
      </x:c>
      <x:c r="I6" s="18" t="n">
        <x:v>195</x:v>
      </x:c>
      <x:c r="J6" s="18" t="n">
        <x:v>5</x:v>
      </x:c>
      <x:c r="K6" s="18" t="n">
        <x:v>9</x:v>
      </x:c>
      <x:c r="L6" s="18" t="n">
        <x:v>69</x:v>
      </x:c>
      <x:c r="M6" s="18" t="n">
        <x:v>0</x:v>
      </x:c>
      <x:c r="N6" s="18" t="n">
        <x:v>0</x:v>
      </x:c>
      <x:c r="O6" s="18" t="n">
        <x:v>0</x:v>
      </x:c>
      <x:c r="P6" s="18" t="n">
        <x:v>0</x:v>
      </x:c>
      <x:c r="Q6" s="18" t="n">
        <x:v>200</x:v>
      </x:c>
      <x:c r="R6" s="18" t="n">
        <x:v>0</x:v>
      </x:c>
      <x:c r="S6" s="18" t="n">
        <x:v>0</x:v>
      </x:c>
      <x:c r="T6" s="20" t="str">
        <x:v>Sem registro</x:v>
      </x:c>
      <x:c r="U6" s="18" t="n">
        <x:v>73</x:v>
      </x:c>
      <x:c r="V6" s="20" t="n">
        <x:v>0.365</x:v>
      </x:c>
      <x:c r="W6" s="20" t="n">
        <x:v>0.365</x:v>
      </x:c>
      <x:c r="X6" s="18" t="n">
        <x:v>4</x:v>
      </x:c>
      <x:c r="Y6" s="18" t="n">
        <x:v>0</x:v>
      </x:c>
      <x:c r="Z6" s="18" t="n">
        <x:v>10</x:v>
      </x:c>
      <x:c r="AA6" s="22" t="n">
        <x:v>1.319</x:v>
      </x:c>
      <x:c r="AB6" s="22" t="n">
        <x:v>1</x:v>
      </x:c>
      <x:c r="AC6" s="18" t="str">
        <x:v>0: 73 · 1: 73 · 2: 22 · 3: 7 · 4: 5 · 5: 4 · 6: 4 · 7: 4 · 8: 4 · 9: 4 · 10: 4 · 11: 4</x:v>
      </x:c>
      <x:c r="AD6" s="11" t="str">
        <x:v>collected_code_6/deepseek-v4-pro/feedback-static-r0-t1.0-p0.5</x:v>
      </x:c>
      <x:c r="AE6" s="12"/>
    </x:row>
    <x:row r="7" ht="40" customHeight="1">
      <x:c r="A7" s="2"/>
      <x:c r="B7" s="9" t="str">
        <x:v>deepseek-v4-pro</x:v>
      </x:c>
      <x:c r="C7" s="8" t="str">
        <x:v>feedback-static-r0-t1.0-p1.0</x:v>
      </x:c>
      <x:c r="D7" s="18" t="n">
        <x:v>2922</x:v>
      </x:c>
      <x:c r="E7" s="20" t="n">
        <x:v>0.9795</x:v>
      </x:c>
      <x:c r="F7" s="18" t="n">
        <x:v>1916</x:v>
      </x:c>
      <x:c r="G7" s="18" t="n">
        <x:v>916</x:v>
      </x:c>
      <x:c r="H7" s="20" t="n">
        <x:v>0.9692</x:v>
      </x:c>
      <x:c r="I7" s="18" t="n">
        <x:v>2862</x:v>
      </x:c>
      <x:c r="J7" s="18" t="n">
        <x:v>60</x:v>
      </x:c>
      <x:c r="K7" s="18" t="n">
        <x:v>71</x:v>
      </x:c>
      <x:c r="L7" s="18" t="n">
        <x:v>968</x:v>
      </x:c>
      <x:c r="M7" s="18" t="n">
        <x:v>0</x:v>
      </x:c>
      <x:c r="N7" s="18" t="n">
        <x:v>0</x:v>
      </x:c>
      <x:c r="O7" s="18" t="n">
        <x:v>0</x:v>
      </x:c>
      <x:c r="P7" s="18" t="n">
        <x:v>0</x:v>
      </x:c>
      <x:c r="Q7" s="18" t="n">
        <x:v>2922</x:v>
      </x:c>
      <x:c r="R7" s="18" t="n">
        <x:v>0</x:v>
      </x:c>
      <x:c r="S7" s="18" t="n">
        <x:v>0</x:v>
      </x:c>
      <x:c r="T7" s="20" t="str">
        <x:v>Sem registro</x:v>
      </x:c>
      <x:c r="U7" s="18" t="n">
        <x:v>1006</x:v>
      </x:c>
      <x:c r="V7" s="20" t="n">
        <x:v>0.3443</x:v>
      </x:c>
      <x:c r="W7" s="20" t="n">
        <x:v>0.3443</x:v>
      </x:c>
      <x:c r="X7" s="18" t="n">
        <x:v>90</x:v>
      </x:c>
      <x:c r="Y7" s="18" t="n">
        <x:v>0</x:v>
      </x:c>
      <x:c r="Z7" s="18" t="n">
        <x:v>10</x:v>
      </x:c>
      <x:c r="AA7" s="22" t="n">
        <x:v>1.442</x:v>
      </x:c>
      <x:c r="AB7" s="22" t="n">
        <x:v>1</x:v>
      </x:c>
      <x:c r="AC7" s="18" t="str">
        <x:v>0: 1006 · 1: 1006 · 2: 293 · 3: 155 · 4: 137 · 5: 122 · 6: 116 · 7: 106 · 8: 98 · 9: 95 · 10: 93 · 11: 90</x:v>
      </x:c>
      <x:c r="AD7" s="11" t="str">
        <x:v>collected_code_6/deepseek-v4-pro/feedback-static-r0-t1.0-p1.0</x:v>
      </x:c>
      <x:c r="AE7" s="12"/>
    </x:row>
    <x:row r="8" ht="40" customHeight="1">
      <x:c r="A8" s="2"/>
      <x:c r="B8" s="9" t="str">
        <x:v>deepseek-v4-pro</x:v>
      </x:c>
      <x:c r="C8" s="8" t="str">
        <x:v>feedback-static+dynamic-r0-t0.2-p1.0</x:v>
      </x:c>
      <x:c r="D8" s="18" t="str">
        <x:v>Sem registro</x:v>
      </x:c>
      <x:c r="E8" s="20" t="str">
        <x:v>Sem registro</x:v>
      </x:c>
      <x:c r="F8" s="18" t="str">
        <x:v>Sem registro</x:v>
      </x:c>
      <x:c r="G8" s="18" t="str">
        <x:v>Sem registro</x:v>
      </x:c>
      <x:c r="H8" s="20" t="str">
        <x:v>Sem registro</x:v>
      </x:c>
      <x:c r="I8" s="18" t="str">
        <x:v>Sem registro</x:v>
      </x:c>
      <x:c r="J8" s="18" t="str">
        <x:v>Sem registro</x:v>
      </x:c>
      <x:c r="K8" s="18" t="str">
        <x:v>Sem registro</x:v>
      </x:c>
      <x:c r="L8" s="18" t="str">
        <x:v>Sem registro</x:v>
      </x:c>
      <x:c r="M8" s="18" t="str">
        <x:v>Sem registro</x:v>
      </x:c>
      <x:c r="N8" s="18" t="str">
        <x:v>Sem registro</x:v>
      </x:c>
      <x:c r="O8" s="18" t="str">
        <x:v>Sem registro</x:v>
      </x:c>
      <x:c r="P8" s="18" t="str">
        <x:v>Sem registro</x:v>
      </x:c>
      <x:c r="Q8" s="18" t="str">
        <x:v>Sem registro</x:v>
      </x:c>
      <x:c r="R8" s="18" t="str">
        <x:v>Sem registro</x:v>
      </x:c>
      <x:c r="S8" s="18" t="str">
        <x:v>Sem registro</x:v>
      </x:c>
      <x:c r="T8" s="20" t="str">
        <x:v>Sem registro</x:v>
      </x:c>
      <x:c r="U8" s="18" t="str">
        <x:v>Sem registro</x:v>
      </x:c>
      <x:c r="V8" s="20" t="str">
        <x:v>Sem registro</x:v>
      </x:c>
      <x:c r="W8" s="20" t="str">
        <x:v>Sem registro</x:v>
      </x:c>
      <x:c r="X8" s="18" t="str">
        <x:v>Sem registro</x:v>
      </x:c>
      <x:c r="Y8" s="18" t="str">
        <x:v>Sem registro</x:v>
      </x:c>
      <x:c r="Z8" s="18" t="str">
        <x:v>Sem registro</x:v>
      </x:c>
      <x:c r="AA8" s="22" t="str">
        <x:v>Sem registro</x:v>
      </x:c>
      <x:c r="AB8" s="22" t="str">
        <x:v>Sem registro</x:v>
      </x:c>
      <x:c r="AC8" s="18" t="str">
        <x:v>Sem registro</x:v>
      </x:c>
      <x:c r="AD8" s="11" t="str">
        <x:v>collected_code_6/deepseek-v4-pro/feedback-static+dynamic-r0-t0.2-p1.0</x:v>
      </x:c>
      <x:c r="AE8" s="12"/>
    </x:row>
    <x:row r="9" ht="40" customHeight="1">
      <x:c r="A9" s="2"/>
      <x:c r="B9" s="9" t="str">
        <x:v>deepseek-v4-pro</x:v>
      </x:c>
      <x:c r="C9" s="8" t="str">
        <x:v>feedback-static+dynamic-r0-t1.0-p0.5</x:v>
      </x:c>
      <x:c r="D9" s="18" t="str">
        <x:v>Sem registro</x:v>
      </x:c>
      <x:c r="E9" s="20" t="str">
        <x:v>Sem registro</x:v>
      </x:c>
      <x:c r="F9" s="18" t="str">
        <x:v>Sem registro</x:v>
      </x:c>
      <x:c r="G9" s="18" t="str">
        <x:v>Sem registro</x:v>
      </x:c>
      <x:c r="H9" s="20" t="str">
        <x:v>Sem registro</x:v>
      </x:c>
      <x:c r="I9" s="18" t="str">
        <x:v>Sem registro</x:v>
      </x:c>
      <x:c r="J9" s="18" t="str">
        <x:v>Sem registro</x:v>
      </x:c>
      <x:c r="K9" s="18" t="str">
        <x:v>Sem registro</x:v>
      </x:c>
      <x:c r="L9" s="18" t="str">
        <x:v>Sem registro</x:v>
      </x:c>
      <x:c r="M9" s="18" t="str">
        <x:v>Sem registro</x:v>
      </x:c>
      <x:c r="N9" s="18" t="str">
        <x:v>Sem registro</x:v>
      </x:c>
      <x:c r="O9" s="18" t="str">
        <x:v>Sem registro</x:v>
      </x:c>
      <x:c r="P9" s="18" t="str">
        <x:v>Sem registro</x:v>
      </x:c>
      <x:c r="Q9" s="18" t="str">
        <x:v>Sem registro</x:v>
      </x:c>
      <x:c r="R9" s="18" t="str">
        <x:v>Sem registro</x:v>
      </x:c>
      <x:c r="S9" s="18" t="str">
        <x:v>Sem registro</x:v>
      </x:c>
      <x:c r="T9" s="20" t="str">
        <x:v>Sem registro</x:v>
      </x:c>
      <x:c r="U9" s="18" t="str">
        <x:v>Sem registro</x:v>
      </x:c>
      <x:c r="V9" s="20" t="str">
        <x:v>Sem registro</x:v>
      </x:c>
      <x:c r="W9" s="20" t="str">
        <x:v>Sem registro</x:v>
      </x:c>
      <x:c r="X9" s="18" t="str">
        <x:v>Sem registro</x:v>
      </x:c>
      <x:c r="Y9" s="18" t="str">
        <x:v>Sem registro</x:v>
      </x:c>
      <x:c r="Z9" s="18" t="str">
        <x:v>Sem registro</x:v>
      </x:c>
      <x:c r="AA9" s="22" t="str">
        <x:v>Sem registro</x:v>
      </x:c>
      <x:c r="AB9" s="22" t="str">
        <x:v>Sem registro</x:v>
      </x:c>
      <x:c r="AC9" s="18" t="str">
        <x:v>Sem registro</x:v>
      </x:c>
      <x:c r="AD9" s="11" t="str">
        <x:v>collected_code_6/deepseek-v4-pro/feedback-static+dynamic-r0-t1.0-p0.5</x:v>
      </x:c>
      <x:c r="AE9" s="12"/>
    </x:row>
    <x:row r="10" ht="40" customHeight="1">
      <x:c r="A10" s="2"/>
      <x:c r="B10" s="9" t="str">
        <x:v>deepseek-v4-pro</x:v>
      </x:c>
      <x:c r="C10" s="8" t="str">
        <x:v>feedback-static+dynamic-r0-t1.0-p1.0</x:v>
      </x:c>
      <x:c r="D10" s="18" t="str">
        <x:v>Sem registro</x:v>
      </x:c>
      <x:c r="E10" s="20" t="str">
        <x:v>Sem registro</x:v>
      </x:c>
      <x:c r="F10" s="18" t="str">
        <x:v>Sem registro</x:v>
      </x:c>
      <x:c r="G10" s="18" t="str">
        <x:v>Sem registro</x:v>
      </x:c>
      <x:c r="H10" s="20" t="str">
        <x:v>Sem registro</x:v>
      </x:c>
      <x:c r="I10" s="18" t="str">
        <x:v>Sem registro</x:v>
      </x:c>
      <x:c r="J10" s="18" t="str">
        <x:v>Sem registro</x:v>
      </x:c>
      <x:c r="K10" s="18" t="str">
        <x:v>Sem registro</x:v>
      </x:c>
      <x:c r="L10" s="18" t="str">
        <x:v>Sem registro</x:v>
      </x:c>
      <x:c r="M10" s="18" t="str">
        <x:v>Sem registro</x:v>
      </x:c>
      <x:c r="N10" s="18" t="str">
        <x:v>Sem registro</x:v>
      </x:c>
      <x:c r="O10" s="18" t="str">
        <x:v>Sem registro</x:v>
      </x:c>
      <x:c r="P10" s="18" t="str">
        <x:v>Sem registro</x:v>
      </x:c>
      <x:c r="Q10" s="18" t="str">
        <x:v>Sem registro</x:v>
      </x:c>
      <x:c r="R10" s="18" t="str">
        <x:v>Sem registro</x:v>
      </x:c>
      <x:c r="S10" s="18" t="str">
        <x:v>Sem registro</x:v>
      </x:c>
      <x:c r="T10" s="20" t="str">
        <x:v>Sem registro</x:v>
      </x:c>
      <x:c r="U10" s="18" t="str">
        <x:v>Sem registro</x:v>
      </x:c>
      <x:c r="V10" s="20" t="str">
        <x:v>Sem registro</x:v>
      </x:c>
      <x:c r="W10" s="20" t="str">
        <x:v>Sem registro</x:v>
      </x:c>
      <x:c r="X10" s="18" t="str">
        <x:v>Sem registro</x:v>
      </x:c>
      <x:c r="Y10" s="18" t="str">
        <x:v>Sem registro</x:v>
      </x:c>
      <x:c r="Z10" s="18" t="str">
        <x:v>Sem registro</x:v>
      </x:c>
      <x:c r="AA10" s="22" t="str">
        <x:v>Sem registro</x:v>
      </x:c>
      <x:c r="AB10" s="22" t="str">
        <x:v>Sem registro</x:v>
      </x:c>
      <x:c r="AC10" s="18" t="str">
        <x:v>Sem registro</x:v>
      </x:c>
      <x:c r="AD10" s="11" t="str">
        <x:v>collected_code_6/deepseek-v4-pro/feedback-static+dynamic-r0-t1.0-p1.0</x:v>
      </x:c>
      <x:c r="AE10" s="12"/>
    </x:row>
    <x:row r="11" ht="40" customHeight="1">
      <x:c r="A11" s="2"/>
      <x:c r="B11" s="13" t="str">
        <x:v>deepseek-v4-pro-thinking</x:v>
      </x:c>
      <x:c r="C11" s="14" t="str">
        <x:v>feedback-static-r1-t1.0-p1.0</x:v>
      </x:c>
      <x:c r="D11" s="17" t="n">
        <x:v>2</x:v>
      </x:c>
      <x:c r="E11" s="19" t="n">
        <x:v>1</x:v>
      </x:c>
      <x:c r="F11" s="17" t="n">
        <x:v>2</x:v>
      </x:c>
      <x:c r="G11" s="17" t="n">
        <x:v>0</x:v>
      </x:c>
      <x:c r="H11" s="19" t="n">
        <x:v>1</x:v>
      </x:c>
      <x:c r="I11" s="17" t="n">
        <x:v>2</x:v>
      </x:c>
      <x:c r="J11" s="17" t="n">
        <x:v>0</x:v>
      </x:c>
      <x:c r="K11" s="17" t="n">
        <x:v>0</x:v>
      </x:c>
      <x:c r="L11" s="17" t="n">
        <x:v>0</x:v>
      </x:c>
      <x:c r="M11" s="17" t="n">
        <x:v>0</x:v>
      </x:c>
      <x:c r="N11" s="17" t="n">
        <x:v>0</x:v>
      </x:c>
      <x:c r="O11" s="17" t="n">
        <x:v>0</x:v>
      </x:c>
      <x:c r="P11" s="17" t="n">
        <x:v>0</x:v>
      </x:c>
      <x:c r="Q11" s="17" t="n">
        <x:v>0</x:v>
      </x:c>
      <x:c r="R11" s="17" t="n">
        <x:v>2</x:v>
      </x:c>
      <x:c r="S11" s="17" t="n">
        <x:v>0</x:v>
      </x:c>
      <x:c r="T11" s="19" t="n">
        <x:v>1</x:v>
      </x:c>
      <x:c r="U11" s="17" t="n">
        <x:v>0</x:v>
      </x:c>
      <x:c r="V11" s="19" t="n">
        <x:v>0</x:v>
      </x:c>
      <x:c r="W11" s="19" t="n">
        <x:v>0</x:v>
      </x:c>
      <x:c r="X11" s="17" t="n">
        <x:v>0</x:v>
      </x:c>
      <x:c r="Y11" s="17" t="n">
        <x:v>0</x:v>
      </x:c>
      <x:c r="Z11" s="17" t="n">
        <x:v>1</x:v>
      </x:c>
      <x:c r="AA11" s="21" t="str">
        <x:v>Sem registro</x:v>
      </x:c>
      <x:c r="AB11" s="21" t="str">
        <x:v>Sem registro</x:v>
      </x:c>
      <x:c r="AC11" s="17" t="str">
        <x:v>0: 0</x:v>
      </x:c>
      <x:c r="AD11" s="16" t="str">
        <x:v>collected_code_6/deepseek-v4-pro-thinking/feedback-static-r1-t1.0-p1.0</x:v>
      </x:c>
      <x:c r="AE11" s="12"/>
    </x:row>
    <x:row r="12" ht="40" customHeight="1">
      <x:c r="A12" s="2"/>
      <x:c r="B12" s="13" t="str">
        <x:v>gemini-3-pro</x:v>
      </x:c>
      <x:c r="C12" s="14" t="str">
        <x:v>feedback-static-r0-t1.0-p1.0</x:v>
      </x:c>
      <x:c r="D12" s="17" t="str">
        <x:v>Sem registro</x:v>
      </x:c>
      <x:c r="E12" s="19" t="str">
        <x:v>Sem registro</x:v>
      </x:c>
      <x:c r="F12" s="17" t="str">
        <x:v>Sem registro</x:v>
      </x:c>
      <x:c r="G12" s="17" t="str">
        <x:v>Sem registro</x:v>
      </x:c>
      <x:c r="H12" s="19" t="str">
        <x:v>Sem registro</x:v>
      </x:c>
      <x:c r="I12" s="17" t="str">
        <x:v>Sem registro</x:v>
      </x:c>
      <x:c r="J12" s="17" t="str">
        <x:v>Sem registro</x:v>
      </x:c>
      <x:c r="K12" s="17" t="str">
        <x:v>Sem registro</x:v>
      </x:c>
      <x:c r="L12" s="17" t="str">
        <x:v>Sem registro</x:v>
      </x:c>
      <x:c r="M12" s="17" t="str">
        <x:v>Sem registro</x:v>
      </x:c>
      <x:c r="N12" s="17" t="str">
        <x:v>Sem registro</x:v>
      </x:c>
      <x:c r="O12" s="17" t="str">
        <x:v>Sem registro</x:v>
      </x:c>
      <x:c r="P12" s="17" t="str">
        <x:v>Sem registro</x:v>
      </x:c>
      <x:c r="Q12" s="17" t="str">
        <x:v>Sem registro</x:v>
      </x:c>
      <x:c r="R12" s="17" t="str">
        <x:v>Sem registro</x:v>
      </x:c>
      <x:c r="S12" s="17" t="str">
        <x:v>Sem registro</x:v>
      </x:c>
      <x:c r="T12" s="19" t="str">
        <x:v>Sem registro</x:v>
      </x:c>
      <x:c r="U12" s="17" t="str">
        <x:v>Sem registro</x:v>
      </x:c>
      <x:c r="V12" s="19" t="str">
        <x:v>Sem registro</x:v>
      </x:c>
      <x:c r="W12" s="19" t="str">
        <x:v>Sem registro</x:v>
      </x:c>
      <x:c r="X12" s="17" t="str">
        <x:v>Sem registro</x:v>
      </x:c>
      <x:c r="Y12" s="17" t="str">
        <x:v>Sem registro</x:v>
      </x:c>
      <x:c r="Z12" s="17" t="str">
        <x:v>Sem registro</x:v>
      </x:c>
      <x:c r="AA12" s="21" t="str">
        <x:v>Sem registro</x:v>
      </x:c>
      <x:c r="AB12" s="21" t="str">
        <x:v>Sem registro</x:v>
      </x:c>
      <x:c r="AC12" s="17" t="str">
        <x:v>Sem registro</x:v>
      </x:c>
      <x:c r="AD12" s="16" t="str">
        <x:v>collected_code_6/gemini-3-pro/feedback-static-r0-t1.0-p1.0</x:v>
      </x:c>
      <x:c r="AE12" s="12"/>
    </x:row>
    <x:row r="13" ht="40" customHeight="1">
      <x:c r="A13" s="2"/>
      <x:c r="B13" s="13" t="str">
        <x:v>gemini-3-pro-thinking</x:v>
      </x:c>
      <x:c r="C13" s="14" t="str">
        <x:v>feedback-static-r1-t1.0-p1.0</x:v>
      </x:c>
      <x:c r="D13" s="17" t="str">
        <x:v>Sem registro</x:v>
      </x:c>
      <x:c r="E13" s="19" t="str">
        <x:v>Sem registro</x:v>
      </x:c>
      <x:c r="F13" s="17" t="str">
        <x:v>Sem registro</x:v>
      </x:c>
      <x:c r="G13" s="17" t="str">
        <x:v>Sem registro</x:v>
      </x:c>
      <x:c r="H13" s="19" t="str">
        <x:v>Sem registro</x:v>
      </x:c>
      <x:c r="I13" s="17" t="str">
        <x:v>Sem registro</x:v>
      </x:c>
      <x:c r="J13" s="17" t="str">
        <x:v>Sem registro</x:v>
      </x:c>
      <x:c r="K13" s="17" t="str">
        <x:v>Sem registro</x:v>
      </x:c>
      <x:c r="L13" s="17" t="str">
        <x:v>Sem registro</x:v>
      </x:c>
      <x:c r="M13" s="17" t="str">
        <x:v>Sem registro</x:v>
      </x:c>
      <x:c r="N13" s="17" t="str">
        <x:v>Sem registro</x:v>
      </x:c>
      <x:c r="O13" s="17" t="str">
        <x:v>Sem registro</x:v>
      </x:c>
      <x:c r="P13" s="17" t="str">
        <x:v>Sem registro</x:v>
      </x:c>
      <x:c r="Q13" s="17" t="str">
        <x:v>Sem registro</x:v>
      </x:c>
      <x:c r="R13" s="17" t="str">
        <x:v>Sem registro</x:v>
      </x:c>
      <x:c r="S13" s="17" t="str">
        <x:v>Sem registro</x:v>
      </x:c>
      <x:c r="T13" s="19" t="str">
        <x:v>Sem registro</x:v>
      </x:c>
      <x:c r="U13" s="17" t="str">
        <x:v>Sem registro</x:v>
      </x:c>
      <x:c r="V13" s="19" t="str">
        <x:v>Sem registro</x:v>
      </x:c>
      <x:c r="W13" s="19" t="str">
        <x:v>Sem registro</x:v>
      </x:c>
      <x:c r="X13" s="17" t="str">
        <x:v>Sem registro</x:v>
      </x:c>
      <x:c r="Y13" s="17" t="str">
        <x:v>Sem registro</x:v>
      </x:c>
      <x:c r="Z13" s="17" t="str">
        <x:v>Sem registro</x:v>
      </x:c>
      <x:c r="AA13" s="21" t="str">
        <x:v>Sem registro</x:v>
      </x:c>
      <x:c r="AB13" s="21" t="str">
        <x:v>Sem registro</x:v>
      </x:c>
      <x:c r="AC13" s="17" t="str">
        <x:v>Sem registro</x:v>
      </x:c>
      <x:c r="AD13" s="16" t="str">
        <x:v>collected_code_6/gemini-3-pro-thinking/feedback-static-r1-t1.0-p1.0</x:v>
      </x:c>
      <x:c r="AE13" s="12"/>
    </x:row>
    <x:row r="14" ht="40" customHeight="1">
      <x:c r="A14" s="2"/>
      <x:c r="B14" s="13" t="str">
        <x:v>glm-5.1</x:v>
      </x:c>
      <x:c r="C14" s="14" t="str">
        <x:v>feedback-dynamic-r0-t1.0-p1.0</x:v>
      </x:c>
      <x:c r="D14" s="17" t="str">
        <x:v>Sem registro</x:v>
      </x:c>
      <x:c r="E14" s="19" t="str">
        <x:v>Sem registro</x:v>
      </x:c>
      <x:c r="F14" s="17" t="str">
        <x:v>Sem registro</x:v>
      </x:c>
      <x:c r="G14" s="17" t="str">
        <x:v>Sem registro</x:v>
      </x:c>
      <x:c r="H14" s="19" t="str">
        <x:v>Sem registro</x:v>
      </x:c>
      <x:c r="I14" s="17" t="str">
        <x:v>Sem registro</x:v>
      </x:c>
      <x:c r="J14" s="17" t="str">
        <x:v>Sem registro</x:v>
      </x:c>
      <x:c r="K14" s="17" t="str">
        <x:v>Sem registro</x:v>
      </x:c>
      <x:c r="L14" s="17" t="str">
        <x:v>Sem registro</x:v>
      </x:c>
      <x:c r="M14" s="17" t="str">
        <x:v>Sem registro</x:v>
      </x:c>
      <x:c r="N14" s="17" t="str">
        <x:v>Sem registro</x:v>
      </x:c>
      <x:c r="O14" s="17" t="str">
        <x:v>Sem registro</x:v>
      </x:c>
      <x:c r="P14" s="17" t="str">
        <x:v>Sem registro</x:v>
      </x:c>
      <x:c r="Q14" s="17" t="str">
        <x:v>Sem registro</x:v>
      </x:c>
      <x:c r="R14" s="17" t="str">
        <x:v>Sem registro</x:v>
      </x:c>
      <x:c r="S14" s="17" t="str">
        <x:v>Sem registro</x:v>
      </x:c>
      <x:c r="T14" s="19" t="str">
        <x:v>Sem registro</x:v>
      </x:c>
      <x:c r="U14" s="17" t="str">
        <x:v>Sem registro</x:v>
      </x:c>
      <x:c r="V14" s="19" t="str">
        <x:v>Sem registro</x:v>
      </x:c>
      <x:c r="W14" s="19" t="str">
        <x:v>Sem registro</x:v>
      </x:c>
      <x:c r="X14" s="17" t="str">
        <x:v>Sem registro</x:v>
      </x:c>
      <x:c r="Y14" s="17" t="str">
        <x:v>Sem registro</x:v>
      </x:c>
      <x:c r="Z14" s="17" t="str">
        <x:v>Sem registro</x:v>
      </x:c>
      <x:c r="AA14" s="21" t="str">
        <x:v>Sem registro</x:v>
      </x:c>
      <x:c r="AB14" s="21" t="str">
        <x:v>Sem registro</x:v>
      </x:c>
      <x:c r="AC14" s="17" t="str">
        <x:v>Sem registro</x:v>
      </x:c>
      <x:c r="AD14" s="16" t="str">
        <x:v>collected_code_6/glm-5.1/feedback-dynamic-r0-t1.0-p1.0</x:v>
      </x:c>
      <x:c r="AE14" s="12"/>
    </x:row>
    <x:row r="15" ht="40" customHeight="1">
      <x:c r="A15" s="2"/>
      <x:c r="B15" s="9" t="str">
        <x:v>glm-5.1</x:v>
      </x:c>
      <x:c r="C15" s="8" t="str">
        <x:v>feedback-static-r0-t1.0-p1.0</x:v>
      </x:c>
      <x:c r="D15" s="18" t="str">
        <x:v>Sem registro</x:v>
      </x:c>
      <x:c r="E15" s="20" t="str">
        <x:v>Sem registro</x:v>
      </x:c>
      <x:c r="F15" s="18" t="str">
        <x:v>Sem registro</x:v>
      </x:c>
      <x:c r="G15" s="18" t="str">
        <x:v>Sem registro</x:v>
      </x:c>
      <x:c r="H15" s="20" t="str">
        <x:v>Sem registro</x:v>
      </x:c>
      <x:c r="I15" s="18" t="str">
        <x:v>Sem registro</x:v>
      </x:c>
      <x:c r="J15" s="18" t="str">
        <x:v>Sem registro</x:v>
      </x:c>
      <x:c r="K15" s="18" t="str">
        <x:v>Sem registro</x:v>
      </x:c>
      <x:c r="L15" s="18" t="str">
        <x:v>Sem registro</x:v>
      </x:c>
      <x:c r="M15" s="18" t="str">
        <x:v>Sem registro</x:v>
      </x:c>
      <x:c r="N15" s="18" t="str">
        <x:v>Sem registro</x:v>
      </x:c>
      <x:c r="O15" s="18" t="str">
        <x:v>Sem registro</x:v>
      </x:c>
      <x:c r="P15" s="18" t="str">
        <x:v>Sem registro</x:v>
      </x:c>
      <x:c r="Q15" s="18" t="str">
        <x:v>Sem registro</x:v>
      </x:c>
      <x:c r="R15" s="18" t="str">
        <x:v>Sem registro</x:v>
      </x:c>
      <x:c r="S15" s="18" t="str">
        <x:v>Sem registro</x:v>
      </x:c>
      <x:c r="T15" s="20" t="str">
        <x:v>Sem registro</x:v>
      </x:c>
      <x:c r="U15" s="18" t="str">
        <x:v>Sem registro</x:v>
      </x:c>
      <x:c r="V15" s="20" t="str">
        <x:v>Sem registro</x:v>
      </x:c>
      <x:c r="W15" s="20" t="str">
        <x:v>Sem registro</x:v>
      </x:c>
      <x:c r="X15" s="18" t="str">
        <x:v>Sem registro</x:v>
      </x:c>
      <x:c r="Y15" s="18" t="str">
        <x:v>Sem registro</x:v>
      </x:c>
      <x:c r="Z15" s="18" t="str">
        <x:v>Sem registro</x:v>
      </x:c>
      <x:c r="AA15" s="22" t="str">
        <x:v>Sem registro</x:v>
      </x:c>
      <x:c r="AB15" s="22" t="str">
        <x:v>Sem registro</x:v>
      </x:c>
      <x:c r="AC15" s="18" t="str">
        <x:v>Sem registro</x:v>
      </x:c>
      <x:c r="AD15" s="11" t="str">
        <x:v>collected_code_6/glm-5.1/feedback-static-r0-t1.0-p1.0</x:v>
      </x:c>
      <x:c r="AE15" s="12"/>
    </x:row>
    <x:row r="16" ht="40" customHeight="1">
      <x:c r="A16" s="2"/>
      <x:c r="B16" s="9" t="str">
        <x:v>glm-5.1</x:v>
      </x:c>
      <x:c r="C16" s="8" t="str">
        <x:v>feedback-static+dynamic-r0-t0.2-p1.0</x:v>
      </x:c>
      <x:c r="D16" s="18" t="str">
        <x:v>Sem registro</x:v>
      </x:c>
      <x:c r="E16" s="20" t="str">
        <x:v>Sem registro</x:v>
      </x:c>
      <x:c r="F16" s="18" t="str">
        <x:v>Sem registro</x:v>
      </x:c>
      <x:c r="G16" s="18" t="str">
        <x:v>Sem registro</x:v>
      </x:c>
      <x:c r="H16" s="20" t="str">
        <x:v>Sem registro</x:v>
      </x:c>
      <x:c r="I16" s="18" t="str">
        <x:v>Sem registro</x:v>
      </x:c>
      <x:c r="J16" s="18" t="str">
        <x:v>Sem registro</x:v>
      </x:c>
      <x:c r="K16" s="18" t="str">
        <x:v>Sem registro</x:v>
      </x:c>
      <x:c r="L16" s="18" t="str">
        <x:v>Sem registro</x:v>
      </x:c>
      <x:c r="M16" s="18" t="str">
        <x:v>Sem registro</x:v>
      </x:c>
      <x:c r="N16" s="18" t="str">
        <x:v>Sem registro</x:v>
      </x:c>
      <x:c r="O16" s="18" t="str">
        <x:v>Sem registro</x:v>
      </x:c>
      <x:c r="P16" s="18" t="str">
        <x:v>Sem registro</x:v>
      </x:c>
      <x:c r="Q16" s="18" t="str">
        <x:v>Sem registro</x:v>
      </x:c>
      <x:c r="R16" s="18" t="str">
        <x:v>Sem registro</x:v>
      </x:c>
      <x:c r="S16" s="18" t="str">
        <x:v>Sem registro</x:v>
      </x:c>
      <x:c r="T16" s="20" t="str">
        <x:v>Sem registro</x:v>
      </x:c>
      <x:c r="U16" s="18" t="str">
        <x:v>Sem registro</x:v>
      </x:c>
      <x:c r="V16" s="20" t="str">
        <x:v>Sem registro</x:v>
      </x:c>
      <x:c r="W16" s="20" t="str">
        <x:v>Sem registro</x:v>
      </x:c>
      <x:c r="X16" s="18" t="str">
        <x:v>Sem registro</x:v>
      </x:c>
      <x:c r="Y16" s="18" t="str">
        <x:v>Sem registro</x:v>
      </x:c>
      <x:c r="Z16" s="18" t="str">
        <x:v>Sem registro</x:v>
      </x:c>
      <x:c r="AA16" s="22" t="str">
        <x:v>Sem registro</x:v>
      </x:c>
      <x:c r="AB16" s="22" t="str">
        <x:v>Sem registro</x:v>
      </x:c>
      <x:c r="AC16" s="18" t="str">
        <x:v>Sem registro</x:v>
      </x:c>
      <x:c r="AD16" s="11" t="str">
        <x:v>collected_code_6/glm-5.1/feedback-static+dynamic-r0-t0.2-p1.0</x:v>
      </x:c>
      <x:c r="AE16" s="12"/>
    </x:row>
    <x:row r="17" ht="40" customHeight="1">
      <x:c r="A17" s="2"/>
      <x:c r="B17" s="9" t="str">
        <x:v>glm-5.1</x:v>
      </x:c>
      <x:c r="C17" s="8" t="str">
        <x:v>feedback-static+dynamic-r0-t1.0-p0.5</x:v>
      </x:c>
      <x:c r="D17" s="18" t="str">
        <x:v>Sem registro</x:v>
      </x:c>
      <x:c r="E17" s="20" t="str">
        <x:v>Sem registro</x:v>
      </x:c>
      <x:c r="F17" s="18" t="str">
        <x:v>Sem registro</x:v>
      </x:c>
      <x:c r="G17" s="18" t="str">
        <x:v>Sem registro</x:v>
      </x:c>
      <x:c r="H17" s="20" t="str">
        <x:v>Sem registro</x:v>
      </x:c>
      <x:c r="I17" s="18" t="str">
        <x:v>Sem registro</x:v>
      </x:c>
      <x:c r="J17" s="18" t="str">
        <x:v>Sem registro</x:v>
      </x:c>
      <x:c r="K17" s="18" t="str">
        <x:v>Sem registro</x:v>
      </x:c>
      <x:c r="L17" s="18" t="str">
        <x:v>Sem registro</x:v>
      </x:c>
      <x:c r="M17" s="18" t="str">
        <x:v>Sem registro</x:v>
      </x:c>
      <x:c r="N17" s="18" t="str">
        <x:v>Sem registro</x:v>
      </x:c>
      <x:c r="O17" s="18" t="str">
        <x:v>Sem registro</x:v>
      </x:c>
      <x:c r="P17" s="18" t="str">
        <x:v>Sem registro</x:v>
      </x:c>
      <x:c r="Q17" s="18" t="str">
        <x:v>Sem registro</x:v>
      </x:c>
      <x:c r="R17" s="18" t="str">
        <x:v>Sem registro</x:v>
      </x:c>
      <x:c r="S17" s="18" t="str">
        <x:v>Sem registro</x:v>
      </x:c>
      <x:c r="T17" s="20" t="str">
        <x:v>Sem registro</x:v>
      </x:c>
      <x:c r="U17" s="18" t="str">
        <x:v>Sem registro</x:v>
      </x:c>
      <x:c r="V17" s="20" t="str">
        <x:v>Sem registro</x:v>
      </x:c>
      <x:c r="W17" s="20" t="str">
        <x:v>Sem registro</x:v>
      </x:c>
      <x:c r="X17" s="18" t="str">
        <x:v>Sem registro</x:v>
      </x:c>
      <x:c r="Y17" s="18" t="str">
        <x:v>Sem registro</x:v>
      </x:c>
      <x:c r="Z17" s="18" t="str">
        <x:v>Sem registro</x:v>
      </x:c>
      <x:c r="AA17" s="22" t="str">
        <x:v>Sem registro</x:v>
      </x:c>
      <x:c r="AB17" s="22" t="str">
        <x:v>Sem registro</x:v>
      </x:c>
      <x:c r="AC17" s="18" t="str">
        <x:v>Sem registro</x:v>
      </x:c>
      <x:c r="AD17" s="11" t="str">
        <x:v>collected_code_6/glm-5.1/feedback-static+dynamic-r0-t1.0-p0.5</x:v>
      </x:c>
      <x:c r="AE17" s="12"/>
    </x:row>
    <x:row r="18" ht="40" customHeight="1">
      <x:c r="A18" s="2"/>
      <x:c r="B18" s="9" t="str">
        <x:v>glm-5.1</x:v>
      </x:c>
      <x:c r="C18" s="8" t="str">
        <x:v>feedback-static+dynamic-r0-t1.0-p1.0</x:v>
      </x:c>
      <x:c r="D18" s="18" t="str">
        <x:v>Sem registro</x:v>
      </x:c>
      <x:c r="E18" s="20" t="str">
        <x:v>Sem registro</x:v>
      </x:c>
      <x:c r="F18" s="18" t="str">
        <x:v>Sem registro</x:v>
      </x:c>
      <x:c r="G18" s="18" t="str">
        <x:v>Sem registro</x:v>
      </x:c>
      <x:c r="H18" s="20" t="str">
        <x:v>Sem registro</x:v>
      </x:c>
      <x:c r="I18" s="18" t="str">
        <x:v>Sem registro</x:v>
      </x:c>
      <x:c r="J18" s="18" t="str">
        <x:v>Sem registro</x:v>
      </x:c>
      <x:c r="K18" s="18" t="str">
        <x:v>Sem registro</x:v>
      </x:c>
      <x:c r="L18" s="18" t="str">
        <x:v>Sem registro</x:v>
      </x:c>
      <x:c r="M18" s="18" t="str">
        <x:v>Sem registro</x:v>
      </x:c>
      <x:c r="N18" s="18" t="str">
        <x:v>Sem registro</x:v>
      </x:c>
      <x:c r="O18" s="18" t="str">
        <x:v>Sem registro</x:v>
      </x:c>
      <x:c r="P18" s="18" t="str">
        <x:v>Sem registro</x:v>
      </x:c>
      <x:c r="Q18" s="18" t="str">
        <x:v>Sem registro</x:v>
      </x:c>
      <x:c r="R18" s="18" t="str">
        <x:v>Sem registro</x:v>
      </x:c>
      <x:c r="S18" s="18" t="str">
        <x:v>Sem registro</x:v>
      </x:c>
      <x:c r="T18" s="20" t="str">
        <x:v>Sem registro</x:v>
      </x:c>
      <x:c r="U18" s="18" t="str">
        <x:v>Sem registro</x:v>
      </x:c>
      <x:c r="V18" s="20" t="str">
        <x:v>Sem registro</x:v>
      </x:c>
      <x:c r="W18" s="20" t="str">
        <x:v>Sem registro</x:v>
      </x:c>
      <x:c r="X18" s="18" t="str">
        <x:v>Sem registro</x:v>
      </x:c>
      <x:c r="Y18" s="18" t="str">
        <x:v>Sem registro</x:v>
      </x:c>
      <x:c r="Z18" s="18" t="str">
        <x:v>Sem registro</x:v>
      </x:c>
      <x:c r="AA18" s="22" t="str">
        <x:v>Sem registro</x:v>
      </x:c>
      <x:c r="AB18" s="22" t="str">
        <x:v>Sem registro</x:v>
      </x:c>
      <x:c r="AC18" s="18" t="str">
        <x:v>Sem registro</x:v>
      </x:c>
      <x:c r="AD18" s="11" t="str">
        <x:v>collected_code_6/glm-5.1/feedback-static+dynamic-r0-t1.0-p1.0</x:v>
      </x:c>
      <x:c r="AE18" s="12"/>
    </x:row>
    <x:row r="19" ht="40" customHeight="1">
      <x:c r="A19" s="2"/>
      <x:c r="B19" s="13" t="str">
        <x:v>glm-5.1-thinking</x:v>
      </x:c>
      <x:c r="C19" s="14" t="str">
        <x:v>feedback-static-r1-t1.0-p1.0</x:v>
      </x:c>
      <x:c r="D19" s="17" t="str">
        <x:v>Sem registro</x:v>
      </x:c>
      <x:c r="E19" s="19" t="str">
        <x:v>Sem registro</x:v>
      </x:c>
      <x:c r="F19" s="17" t="str">
        <x:v>Sem registro</x:v>
      </x:c>
      <x:c r="G19" s="17" t="str">
        <x:v>Sem registro</x:v>
      </x:c>
      <x:c r="H19" s="19" t="str">
        <x:v>Sem registro</x:v>
      </x:c>
      <x:c r="I19" s="17" t="str">
        <x:v>Sem registro</x:v>
      </x:c>
      <x:c r="J19" s="17" t="str">
        <x:v>Sem registro</x:v>
      </x:c>
      <x:c r="K19" s="17" t="str">
        <x:v>Sem registro</x:v>
      </x:c>
      <x:c r="L19" s="17" t="str">
        <x:v>Sem registro</x:v>
      </x:c>
      <x:c r="M19" s="17" t="str">
        <x:v>Sem registro</x:v>
      </x:c>
      <x:c r="N19" s="17" t="str">
        <x:v>Sem registro</x:v>
      </x:c>
      <x:c r="O19" s="17" t="str">
        <x:v>Sem registro</x:v>
      </x:c>
      <x:c r="P19" s="17" t="str">
        <x:v>Sem registro</x:v>
      </x:c>
      <x:c r="Q19" s="17" t="str">
        <x:v>Sem registro</x:v>
      </x:c>
      <x:c r="R19" s="17" t="str">
        <x:v>Sem registro</x:v>
      </x:c>
      <x:c r="S19" s="17" t="str">
        <x:v>Sem registro</x:v>
      </x:c>
      <x:c r="T19" s="19" t="str">
        <x:v>Sem registro</x:v>
      </x:c>
      <x:c r="U19" s="17" t="str">
        <x:v>Sem registro</x:v>
      </x:c>
      <x:c r="V19" s="19" t="str">
        <x:v>Sem registro</x:v>
      </x:c>
      <x:c r="W19" s="19" t="str">
        <x:v>Sem registro</x:v>
      </x:c>
      <x:c r="X19" s="17" t="str">
        <x:v>Sem registro</x:v>
      </x:c>
      <x:c r="Y19" s="17" t="str">
        <x:v>Sem registro</x:v>
      </x:c>
      <x:c r="Z19" s="17" t="str">
        <x:v>Sem registro</x:v>
      </x:c>
      <x:c r="AA19" s="21" t="str">
        <x:v>Sem registro</x:v>
      </x:c>
      <x:c r="AB19" s="21" t="str">
        <x:v>Sem registro</x:v>
      </x:c>
      <x:c r="AC19" s="17" t="str">
        <x:v>Sem registro</x:v>
      </x:c>
      <x:c r="AD19" s="16" t="str">
        <x:v>collected_code_6/glm-5.1-thinking/feedback-static-r1-t1.0-p1.0</x:v>
      </x:c>
      <x:c r="AE19" s="12"/>
    </x:row>
    <x:row r="20" ht="40" customHeight="1">
      <x:c r="A20" s="2"/>
      <x:c r="B20" s="13" t="str">
        <x:v>kimi-k3</x:v>
      </x:c>
      <x:c r="C20" s="14" t="str">
        <x:v>feedback-dynamic-r0-t1.0-p1.0</x:v>
      </x:c>
      <x:c r="D20" s="17" t="str">
        <x:v>Sem registro</x:v>
      </x:c>
      <x:c r="E20" s="19" t="str">
        <x:v>Sem registro</x:v>
      </x:c>
      <x:c r="F20" s="17" t="str">
        <x:v>Sem registro</x:v>
      </x:c>
      <x:c r="G20" s="17" t="str">
        <x:v>Sem registro</x:v>
      </x:c>
      <x:c r="H20" s="19" t="str">
        <x:v>Sem registro</x:v>
      </x:c>
      <x:c r="I20" s="17" t="str">
        <x:v>Sem registro</x:v>
      </x:c>
      <x:c r="J20" s="17" t="str">
        <x:v>Sem registro</x:v>
      </x:c>
      <x:c r="K20" s="17" t="str">
        <x:v>Sem registro</x:v>
      </x:c>
      <x:c r="L20" s="17" t="str">
        <x:v>Sem registro</x:v>
      </x:c>
      <x:c r="M20" s="17" t="str">
        <x:v>Sem registro</x:v>
      </x:c>
      <x:c r="N20" s="17" t="str">
        <x:v>Sem registro</x:v>
      </x:c>
      <x:c r="O20" s="17" t="str">
        <x:v>Sem registro</x:v>
      </x:c>
      <x:c r="P20" s="17" t="str">
        <x:v>Sem registro</x:v>
      </x:c>
      <x:c r="Q20" s="17" t="str">
        <x:v>Sem registro</x:v>
      </x:c>
      <x:c r="R20" s="17" t="str">
        <x:v>Sem registro</x:v>
      </x:c>
      <x:c r="S20" s="17" t="str">
        <x:v>Sem registro</x:v>
      </x:c>
      <x:c r="T20" s="19" t="str">
        <x:v>Sem registro</x:v>
      </x:c>
      <x:c r="U20" s="17" t="str">
        <x:v>Sem registro</x:v>
      </x:c>
      <x:c r="V20" s="19" t="str">
        <x:v>Sem registro</x:v>
      </x:c>
      <x:c r="W20" s="19" t="str">
        <x:v>Sem registro</x:v>
      </x:c>
      <x:c r="X20" s="17" t="str">
        <x:v>Sem registro</x:v>
      </x:c>
      <x:c r="Y20" s="17" t="str">
        <x:v>Sem registro</x:v>
      </x:c>
      <x:c r="Z20" s="17" t="str">
        <x:v>Sem registro</x:v>
      </x:c>
      <x:c r="AA20" s="21" t="str">
        <x:v>Sem registro</x:v>
      </x:c>
      <x:c r="AB20" s="21" t="str">
        <x:v>Sem registro</x:v>
      </x:c>
      <x:c r="AC20" s="17" t="str">
        <x:v>Sem registro</x:v>
      </x:c>
      <x:c r="AD20" s="16" t="str">
        <x:v>collected_code_6/kimi-k3/feedback-dynamic-r0-t1.0-p1.0</x:v>
      </x:c>
      <x:c r="AE20" s="12"/>
    </x:row>
    <x:row r="21" ht="40" customHeight="1">
      <x:c r="A21" s="2"/>
      <x:c r="B21" s="9" t="str">
        <x:v>kimi-k3</x:v>
      </x:c>
      <x:c r="C21" s="8" t="str">
        <x:v>feedback-static-r0-t1.0-p1.0</x:v>
      </x:c>
      <x:c r="D21" s="18" t="str">
        <x:v>Sem registro</x:v>
      </x:c>
      <x:c r="E21" s="20" t="str">
        <x:v>Sem registro</x:v>
      </x:c>
      <x:c r="F21" s="18" t="str">
        <x:v>Sem registro</x:v>
      </x:c>
      <x:c r="G21" s="18" t="str">
        <x:v>Sem registro</x:v>
      </x:c>
      <x:c r="H21" s="20" t="str">
        <x:v>Sem registro</x:v>
      </x:c>
      <x:c r="I21" s="18" t="str">
        <x:v>Sem registro</x:v>
      </x:c>
      <x:c r="J21" s="18" t="str">
        <x:v>Sem registro</x:v>
      </x:c>
      <x:c r="K21" s="18" t="str">
        <x:v>Sem registro</x:v>
      </x:c>
      <x:c r="L21" s="18" t="str">
        <x:v>Sem registro</x:v>
      </x:c>
      <x:c r="M21" s="18" t="str">
        <x:v>Sem registro</x:v>
      </x:c>
      <x:c r="N21" s="18" t="str">
        <x:v>Sem registro</x:v>
      </x:c>
      <x:c r="O21" s="18" t="str">
        <x:v>Sem registro</x:v>
      </x:c>
      <x:c r="P21" s="18" t="str">
        <x:v>Sem registro</x:v>
      </x:c>
      <x:c r="Q21" s="18" t="str">
        <x:v>Sem registro</x:v>
      </x:c>
      <x:c r="R21" s="18" t="str">
        <x:v>Sem registro</x:v>
      </x:c>
      <x:c r="S21" s="18" t="str">
        <x:v>Sem registro</x:v>
      </x:c>
      <x:c r="T21" s="20" t="str">
        <x:v>Sem registro</x:v>
      </x:c>
      <x:c r="U21" s="18" t="str">
        <x:v>Sem registro</x:v>
      </x:c>
      <x:c r="V21" s="20" t="str">
        <x:v>Sem registro</x:v>
      </x:c>
      <x:c r="W21" s="20" t="str">
        <x:v>Sem registro</x:v>
      </x:c>
      <x:c r="X21" s="18" t="str">
        <x:v>Sem registro</x:v>
      </x:c>
      <x:c r="Y21" s="18" t="str">
        <x:v>Sem registro</x:v>
      </x:c>
      <x:c r="Z21" s="18" t="str">
        <x:v>Sem registro</x:v>
      </x:c>
      <x:c r="AA21" s="22" t="str">
        <x:v>Sem registro</x:v>
      </x:c>
      <x:c r="AB21" s="22" t="str">
        <x:v>Sem registro</x:v>
      </x:c>
      <x:c r="AC21" s="18" t="str">
        <x:v>Sem registro</x:v>
      </x:c>
      <x:c r="AD21" s="11" t="str">
        <x:v>collected_code_6/kimi-k3/feedback-static-r0-t1.0-p1.0</x:v>
      </x:c>
      <x:c r="AE21" s="12"/>
    </x:row>
    <x:row r="22" ht="40" customHeight="1">
      <x:c r="A22" s="2"/>
      <x:c r="B22" s="9" t="str">
        <x:v>kimi-k3</x:v>
      </x:c>
      <x:c r="C22" s="8" t="str">
        <x:v>feedback-static+dynamic-r0-t1.0-p1.0</x:v>
      </x:c>
      <x:c r="D22" s="18" t="str">
        <x:v>Sem registro</x:v>
      </x:c>
      <x:c r="E22" s="20" t="str">
        <x:v>Sem registro</x:v>
      </x:c>
      <x:c r="F22" s="18" t="str">
        <x:v>Sem registro</x:v>
      </x:c>
      <x:c r="G22" s="18" t="str">
        <x:v>Sem registro</x:v>
      </x:c>
      <x:c r="H22" s="20" t="str">
        <x:v>Sem registro</x:v>
      </x:c>
      <x:c r="I22" s="18" t="str">
        <x:v>Sem registro</x:v>
      </x:c>
      <x:c r="J22" s="18" t="str">
        <x:v>Sem registro</x:v>
      </x:c>
      <x:c r="K22" s="18" t="str">
        <x:v>Sem registro</x:v>
      </x:c>
      <x:c r="L22" s="18" t="str">
        <x:v>Sem registro</x:v>
      </x:c>
      <x:c r="M22" s="18" t="str">
        <x:v>Sem registro</x:v>
      </x:c>
      <x:c r="N22" s="18" t="str">
        <x:v>Sem registro</x:v>
      </x:c>
      <x:c r="O22" s="18" t="str">
        <x:v>Sem registro</x:v>
      </x:c>
      <x:c r="P22" s="18" t="str">
        <x:v>Sem registro</x:v>
      </x:c>
      <x:c r="Q22" s="18" t="str">
        <x:v>Sem registro</x:v>
      </x:c>
      <x:c r="R22" s="18" t="str">
        <x:v>Sem registro</x:v>
      </x:c>
      <x:c r="S22" s="18" t="str">
        <x:v>Sem registro</x:v>
      </x:c>
      <x:c r="T22" s="20" t="str">
        <x:v>Sem registro</x:v>
      </x:c>
      <x:c r="U22" s="18" t="str">
        <x:v>Sem registro</x:v>
      </x:c>
      <x:c r="V22" s="20" t="str">
        <x:v>Sem registro</x:v>
      </x:c>
      <x:c r="W22" s="20" t="str">
        <x:v>Sem registro</x:v>
      </x:c>
      <x:c r="X22" s="18" t="str">
        <x:v>Sem registro</x:v>
      </x:c>
      <x:c r="Y22" s="18" t="str">
        <x:v>Sem registro</x:v>
      </x:c>
      <x:c r="Z22" s="18" t="str">
        <x:v>Sem registro</x:v>
      </x:c>
      <x:c r="AA22" s="22" t="str">
        <x:v>Sem registro</x:v>
      </x:c>
      <x:c r="AB22" s="22" t="str">
        <x:v>Sem registro</x:v>
      </x:c>
      <x:c r="AC22" s="18" t="str">
        <x:v>Sem registro</x:v>
      </x:c>
      <x:c r="AD22" s="11" t="str">
        <x:v>collected_code_6/kimi-k3/feedback-static+dynamic-r0-t1.0-p1.0</x:v>
      </x:c>
      <x:c r="AE22" s="12"/>
    </x:row>
    <x:row r="23" ht="40" customHeight="1">
      <x:c r="A23" s="2"/>
      <x:c r="B23" s="13" t="str">
        <x:v>kimi-k3-thinking</x:v>
      </x:c>
      <x:c r="C23" s="14" t="str">
        <x:v>feedback-static-r1-t1.0-p1.0</x:v>
      </x:c>
      <x:c r="D23" s="17" t="str">
        <x:v>Sem registro</x:v>
      </x:c>
      <x:c r="E23" s="19" t="str">
        <x:v>Sem registro</x:v>
      </x:c>
      <x:c r="F23" s="17" t="str">
        <x:v>Sem registro</x:v>
      </x:c>
      <x:c r="G23" s="17" t="str">
        <x:v>Sem registro</x:v>
      </x:c>
      <x:c r="H23" s="19" t="str">
        <x:v>Sem registro</x:v>
      </x:c>
      <x:c r="I23" s="17" t="str">
        <x:v>Sem registro</x:v>
      </x:c>
      <x:c r="J23" s="17" t="str">
        <x:v>Sem registro</x:v>
      </x:c>
      <x:c r="K23" s="17" t="str">
        <x:v>Sem registro</x:v>
      </x:c>
      <x:c r="L23" s="17" t="str">
        <x:v>Sem registro</x:v>
      </x:c>
      <x:c r="M23" s="17" t="str">
        <x:v>Sem registro</x:v>
      </x:c>
      <x:c r="N23" s="17" t="str">
        <x:v>Sem registro</x:v>
      </x:c>
      <x:c r="O23" s="17" t="str">
        <x:v>Sem registro</x:v>
      </x:c>
      <x:c r="P23" s="17" t="str">
        <x:v>Sem registro</x:v>
      </x:c>
      <x:c r="Q23" s="17" t="str">
        <x:v>Sem registro</x:v>
      </x:c>
      <x:c r="R23" s="17" t="str">
        <x:v>Sem registro</x:v>
      </x:c>
      <x:c r="S23" s="17" t="str">
        <x:v>Sem registro</x:v>
      </x:c>
      <x:c r="T23" s="19" t="str">
        <x:v>Sem registro</x:v>
      </x:c>
      <x:c r="U23" s="17" t="str">
        <x:v>Sem registro</x:v>
      </x:c>
      <x:c r="V23" s="19" t="str">
        <x:v>Sem registro</x:v>
      </x:c>
      <x:c r="W23" s="19" t="str">
        <x:v>Sem registro</x:v>
      </x:c>
      <x:c r="X23" s="17" t="str">
        <x:v>Sem registro</x:v>
      </x:c>
      <x:c r="Y23" s="17" t="str">
        <x:v>Sem registro</x:v>
      </x:c>
      <x:c r="Z23" s="17" t="str">
        <x:v>Sem registro</x:v>
      </x:c>
      <x:c r="AA23" s="21" t="str">
        <x:v>Sem registro</x:v>
      </x:c>
      <x:c r="AB23" s="21" t="str">
        <x:v>Sem registro</x:v>
      </x:c>
      <x:c r="AC23" s="17" t="str">
        <x:v>Sem registro</x:v>
      </x:c>
      <x:c r="AD23" s="16" t="str">
        <x:v>collected_code_6/kimi-k3-thinking/feedback-static-r1-t1.0-p1.0</x:v>
      </x:c>
      <x:c r="AE23" s="12"/>
    </x:row>
    <x:row r="24" ht="40" customHeight="1">
      <x:c r="A24" s="2"/>
      <x:c r="B24" s="13" t="str">
        <x:v>openai-gpt56-sol</x:v>
      </x:c>
      <x:c r="C24" s="14" t="str">
        <x:v>feedback-static-r0-t1.0-p1.0</x:v>
      </x:c>
      <x:c r="D24" s="17" t="str">
        <x:v>Sem registro</x:v>
      </x:c>
      <x:c r="E24" s="19" t="str">
        <x:v>Sem registro</x:v>
      </x:c>
      <x:c r="F24" s="17" t="str">
        <x:v>Sem registro</x:v>
      </x:c>
      <x:c r="G24" s="17" t="str">
        <x:v>Sem registro</x:v>
      </x:c>
      <x:c r="H24" s="19" t="str">
        <x:v>Sem registro</x:v>
      </x:c>
      <x:c r="I24" s="17" t="str">
        <x:v>Sem registro</x:v>
      </x:c>
      <x:c r="J24" s="17" t="str">
        <x:v>Sem registro</x:v>
      </x:c>
      <x:c r="K24" s="17" t="str">
        <x:v>Sem registro</x:v>
      </x:c>
      <x:c r="L24" s="17" t="str">
        <x:v>Sem registro</x:v>
      </x:c>
      <x:c r="M24" s="17" t="str">
        <x:v>Sem registro</x:v>
      </x:c>
      <x:c r="N24" s="17" t="str">
        <x:v>Sem registro</x:v>
      </x:c>
      <x:c r="O24" s="17" t="str">
        <x:v>Sem registro</x:v>
      </x:c>
      <x:c r="P24" s="17" t="str">
        <x:v>Sem registro</x:v>
      </x:c>
      <x:c r="Q24" s="17" t="str">
        <x:v>Sem registro</x:v>
      </x:c>
      <x:c r="R24" s="17" t="str">
        <x:v>Sem registro</x:v>
      </x:c>
      <x:c r="S24" s="17" t="str">
        <x:v>Sem registro</x:v>
      </x:c>
      <x:c r="T24" s="19" t="str">
        <x:v>Sem registro</x:v>
      </x:c>
      <x:c r="U24" s="17" t="str">
        <x:v>Sem registro</x:v>
      </x:c>
      <x:c r="V24" s="19" t="str">
        <x:v>Sem registro</x:v>
      </x:c>
      <x:c r="W24" s="19" t="str">
        <x:v>Sem registro</x:v>
      </x:c>
      <x:c r="X24" s="17" t="str">
        <x:v>Sem registro</x:v>
      </x:c>
      <x:c r="Y24" s="17" t="str">
        <x:v>Sem registro</x:v>
      </x:c>
      <x:c r="Z24" s="17" t="str">
        <x:v>Sem registro</x:v>
      </x:c>
      <x:c r="AA24" s="21" t="str">
        <x:v>Sem registro</x:v>
      </x:c>
      <x:c r="AB24" s="21" t="str">
        <x:v>Sem registro</x:v>
      </x:c>
      <x:c r="AC24" s="17" t="str">
        <x:v>Sem registro</x:v>
      </x:c>
      <x:c r="AD24" s="16" t="str">
        <x:v>collected_code_6/openai-gpt56-sol/feedback-static-r0-t1.0-p1.0</x:v>
      </x:c>
      <x:c r="AE24" s="12"/>
    </x:row>
    <x:row r="25" ht="40" customHeight="1">
      <x:c r="A25" s="2"/>
      <x:c r="B25" s="13" t="str">
        <x:v>openai-gpt56-sol-thinking</x:v>
      </x:c>
      <x:c r="C25" s="14" t="str">
        <x:v>feedback-static-r1-t1.0-p1.0</x:v>
      </x:c>
      <x:c r="D25" s="17" t="str">
        <x:v>Sem registro</x:v>
      </x:c>
      <x:c r="E25" s="19" t="str">
        <x:v>Sem registro</x:v>
      </x:c>
      <x:c r="F25" s="17" t="str">
        <x:v>Sem registro</x:v>
      </x:c>
      <x:c r="G25" s="17" t="str">
        <x:v>Sem registro</x:v>
      </x:c>
      <x:c r="H25" s="19" t="str">
        <x:v>Sem registro</x:v>
      </x:c>
      <x:c r="I25" s="17" t="str">
        <x:v>Sem registro</x:v>
      </x:c>
      <x:c r="J25" s="17" t="str">
        <x:v>Sem registro</x:v>
      </x:c>
      <x:c r="K25" s="17" t="str">
        <x:v>Sem registro</x:v>
      </x:c>
      <x:c r="L25" s="17" t="str">
        <x:v>Sem registro</x:v>
      </x:c>
      <x:c r="M25" s="17" t="str">
        <x:v>Sem registro</x:v>
      </x:c>
      <x:c r="N25" s="17" t="str">
        <x:v>Sem registro</x:v>
      </x:c>
      <x:c r="O25" s="17" t="str">
        <x:v>Sem registro</x:v>
      </x:c>
      <x:c r="P25" s="17" t="str">
        <x:v>Sem registro</x:v>
      </x:c>
      <x:c r="Q25" s="17" t="str">
        <x:v>Sem registro</x:v>
      </x:c>
      <x:c r="R25" s="17" t="str">
        <x:v>Sem registro</x:v>
      </x:c>
      <x:c r="S25" s="17" t="str">
        <x:v>Sem registro</x:v>
      </x:c>
      <x:c r="T25" s="19" t="str">
        <x:v>Sem registro</x:v>
      </x:c>
      <x:c r="U25" s="17" t="str">
        <x:v>Sem registro</x:v>
      </x:c>
      <x:c r="V25" s="19" t="str">
        <x:v>Sem registro</x:v>
      </x:c>
      <x:c r="W25" s="19" t="str">
        <x:v>Sem registro</x:v>
      </x:c>
      <x:c r="X25" s="17" t="str">
        <x:v>Sem registro</x:v>
      </x:c>
      <x:c r="Y25" s="17" t="str">
        <x:v>Sem registro</x:v>
      </x:c>
      <x:c r="Z25" s="17" t="str">
        <x:v>Sem registro</x:v>
      </x:c>
      <x:c r="AA25" s="21" t="str">
        <x:v>Sem registro</x:v>
      </x:c>
      <x:c r="AB25" s="21" t="str">
        <x:v>Sem registro</x:v>
      </x:c>
      <x:c r="AC25" s="17" t="str">
        <x:v>Sem registro</x:v>
      </x:c>
      <x:c r="AD25" s="16" t="str">
        <x:v>collected_code_6/openai-gpt56-sol-thinking/feedback-static-r1-t1.0-p1.0</x:v>
      </x:c>
      <x:c r="AE25" s="12"/>
    </x:row>
    <x:row r="26" ht="40" customHeight="1">
      <x:c r="A26" s="2"/>
      <x:c r="B26" s="13" t="str">
        <x:v>qwen-max</x:v>
      </x:c>
      <x:c r="C26" s="14" t="str">
        <x:v>feedback-dynamic-r0-t1.0-p1.0</x:v>
      </x:c>
      <x:c r="D26" s="17" t="str">
        <x:v>Sem registro</x:v>
      </x:c>
      <x:c r="E26" s="19" t="str">
        <x:v>Sem registro</x:v>
      </x:c>
      <x:c r="F26" s="17" t="str">
        <x:v>Sem registro</x:v>
      </x:c>
      <x:c r="G26" s="17" t="str">
        <x:v>Sem registro</x:v>
      </x:c>
      <x:c r="H26" s="19" t="str">
        <x:v>Sem registro</x:v>
      </x:c>
      <x:c r="I26" s="17" t="str">
        <x:v>Sem registro</x:v>
      </x:c>
      <x:c r="J26" s="17" t="str">
        <x:v>Sem registro</x:v>
      </x:c>
      <x:c r="K26" s="17" t="str">
        <x:v>Sem registro</x:v>
      </x:c>
      <x:c r="L26" s="17" t="str">
        <x:v>Sem registro</x:v>
      </x:c>
      <x:c r="M26" s="17" t="str">
        <x:v>Sem registro</x:v>
      </x:c>
      <x:c r="N26" s="17" t="str">
        <x:v>Sem registro</x:v>
      </x:c>
      <x:c r="O26" s="17" t="str">
        <x:v>Sem registro</x:v>
      </x:c>
      <x:c r="P26" s="17" t="str">
        <x:v>Sem registro</x:v>
      </x:c>
      <x:c r="Q26" s="17" t="str">
        <x:v>Sem registro</x:v>
      </x:c>
      <x:c r="R26" s="17" t="str">
        <x:v>Sem registro</x:v>
      </x:c>
      <x:c r="S26" s="17" t="str">
        <x:v>Sem registro</x:v>
      </x:c>
      <x:c r="T26" s="19" t="str">
        <x:v>Sem registro</x:v>
      </x:c>
      <x:c r="U26" s="17" t="str">
        <x:v>Sem registro</x:v>
      </x:c>
      <x:c r="V26" s="19" t="str">
        <x:v>Sem registro</x:v>
      </x:c>
      <x:c r="W26" s="19" t="str">
        <x:v>Sem registro</x:v>
      </x:c>
      <x:c r="X26" s="17" t="str">
        <x:v>Sem registro</x:v>
      </x:c>
      <x:c r="Y26" s="17" t="str">
        <x:v>Sem registro</x:v>
      </x:c>
      <x:c r="Z26" s="17" t="str">
        <x:v>Sem registro</x:v>
      </x:c>
      <x:c r="AA26" s="21" t="str">
        <x:v>Sem registro</x:v>
      </x:c>
      <x:c r="AB26" s="21" t="str">
        <x:v>Sem registro</x:v>
      </x:c>
      <x:c r="AC26" s="17" t="str">
        <x:v>Sem registro</x:v>
      </x:c>
      <x:c r="AD26" s="16" t="str">
        <x:v>collected_code_6/qwen-max/feedback-dynamic-r0-t1.0-p1.0</x:v>
      </x:c>
      <x:c r="AE26" s="12"/>
    </x:row>
    <x:row r="27" ht="40" customHeight="1">
      <x:c r="A27" s="2"/>
      <x:c r="B27" s="9" t="str">
        <x:v>qwen-max</x:v>
      </x:c>
      <x:c r="C27" s="8" t="str">
        <x:v>feedback-static-r0-t0.2-p1.0</x:v>
      </x:c>
      <x:c r="D27" s="18" t="n">
        <x:v>200</x:v>
      </x:c>
      <x:c r="E27" s="20" t="n">
        <x:v>0.915</x:v>
      </x:c>
      <x:c r="F27" s="18" t="n">
        <x:v>126</x:v>
      </x:c>
      <x:c r="G27" s="18" t="n">
        <x:v>72</x:v>
      </x:c>
      <x:c r="H27" s="20" t="n">
        <x:v>0.99</x:v>
      </x:c>
      <x:c r="I27" s="18" t="n">
        <x:v>183</x:v>
      </x:c>
      <x:c r="J27" s="18" t="n">
        <x:v>17</x:v>
      </x:c>
      <x:c r="K27" s="18" t="n">
        <x:v>17</x:v>
      </x:c>
      <x:c r="L27" s="18" t="n">
        <x:v>64</x:v>
      </x:c>
      <x:c r="M27" s="18" t="n">
        <x:v>0</x:v>
      </x:c>
      <x:c r="N27" s="18" t="n">
        <x:v>0</x:v>
      </x:c>
      <x:c r="O27" s="18" t="n">
        <x:v>0</x:v>
      </x:c>
      <x:c r="P27" s="18" t="n">
        <x:v>0</x:v>
      </x:c>
      <x:c r="Q27" s="18" t="n">
        <x:v>200</x:v>
      </x:c>
      <x:c r="R27" s="18" t="n">
        <x:v>0</x:v>
      </x:c>
      <x:c r="S27" s="18" t="n">
        <x:v>0</x:v>
      </x:c>
      <x:c r="T27" s="20" t="str">
        <x:v>Sem registro</x:v>
      </x:c>
      <x:c r="U27" s="18" t="n">
        <x:v>74</x:v>
      </x:c>
      <x:c r="V27" s="20" t="n">
        <x:v>0.37</x:v>
      </x:c>
      <x:c r="W27" s="20" t="n">
        <x:v>0.37</x:v>
      </x:c>
      <x:c r="X27" s="18" t="n">
        <x:v>2</x:v>
      </x:c>
      <x:c r="Y27" s="18" t="n">
        <x:v>0</x:v>
      </x:c>
      <x:c r="Z27" s="18" t="n">
        <x:v>10</x:v>
      </x:c>
      <x:c r="AA27" s="22" t="n">
        <x:v>1.194</x:v>
      </x:c>
      <x:c r="AB27" s="22" t="n">
        <x:v>1</x:v>
      </x:c>
      <x:c r="AC27" s="18" t="str">
        <x:v>0: 74 · 1: 74 · 2: 13 · 3: 4 · 4: 3 · 5: 2 · 6: 2 · 7: 2 · 8: 2 · 9: 2 · 10: 2 · 11: 2</x:v>
      </x:c>
      <x:c r="AD27" s="11" t="str">
        <x:v>collected_code_6/qwen-max/feedback-static-r0-t0.2-p1.0</x:v>
      </x:c>
      <x:c r="AE27" s="12"/>
    </x:row>
    <x:row r="28" ht="40" customHeight="1">
      <x:c r="A28" s="2"/>
      <x:c r="B28" s="9" t="str">
        <x:v>qwen-max</x:v>
      </x:c>
      <x:c r="C28" s="8" t="str">
        <x:v>feedback-static-r0-t1.0-p0.5</x:v>
      </x:c>
      <x:c r="D28" s="18" t="n">
        <x:v>200</x:v>
      </x:c>
      <x:c r="E28" s="20" t="n">
        <x:v>0.935</x:v>
      </x:c>
      <x:c r="F28" s="18" t="n">
        <x:v>142</x:v>
      </x:c>
      <x:c r="G28" s="18" t="n">
        <x:v>55</x:v>
      </x:c>
      <x:c r="H28" s="20" t="n">
        <x:v>0.985</x:v>
      </x:c>
      <x:c r="I28" s="18" t="n">
        <x:v>187</x:v>
      </x:c>
      <x:c r="J28" s="18" t="n">
        <x:v>13</x:v>
      </x:c>
      <x:c r="K28" s="18" t="n">
        <x:v>14</x:v>
      </x:c>
      <x:c r="L28" s="18" t="n">
        <x:v>49</x:v>
      </x:c>
      <x:c r="M28" s="18" t="n">
        <x:v>0</x:v>
      </x:c>
      <x:c r="N28" s="18" t="n">
        <x:v>0</x:v>
      </x:c>
      <x:c r="O28" s="18" t="n">
        <x:v>0</x:v>
      </x:c>
      <x:c r="P28" s="18" t="n">
        <x:v>0</x:v>
      </x:c>
      <x:c r="Q28" s="18" t="n">
        <x:v>200</x:v>
      </x:c>
      <x:c r="R28" s="18" t="n">
        <x:v>0</x:v>
      </x:c>
      <x:c r="S28" s="18" t="n">
        <x:v>0</x:v>
      </x:c>
      <x:c r="T28" s="20" t="str">
        <x:v>Sem registro</x:v>
      </x:c>
      <x:c r="U28" s="18" t="n">
        <x:v>58</x:v>
      </x:c>
      <x:c r="V28" s="20" t="n">
        <x:v>0.29</x:v>
      </x:c>
      <x:c r="W28" s="20" t="n">
        <x:v>0.29</x:v>
      </x:c>
      <x:c r="X28" s="18" t="n">
        <x:v>3</x:v>
      </x:c>
      <x:c r="Y28" s="18" t="n">
        <x:v>0</x:v>
      </x:c>
      <x:c r="Z28" s="18" t="n">
        <x:v>10</x:v>
      </x:c>
      <x:c r="AA28" s="22" t="n">
        <x:v>1.4</x:v>
      </x:c>
      <x:c r="AB28" s="22" t="n">
        <x:v>1</x:v>
      </x:c>
      <x:c r="AC28" s="18" t="str">
        <x:v>0: 58 · 1: 58 · 2: 15 · 3: 8 · 4: 4 · 5: 4 · 6: 4 · 7: 4 · 8: 4 · 9: 3 · 10: 3 · 11: 3</x:v>
      </x:c>
      <x:c r="AD28" s="11" t="str">
        <x:v>collected_code_6/qwen-max/feedback-static-r0-t1.0-p0.5</x:v>
      </x:c>
      <x:c r="AE28" s="12"/>
    </x:row>
    <x:row r="29" ht="40" customHeight="1">
      <x:c r="A29" s="2"/>
      <x:c r="B29" s="9" t="str">
        <x:v>qwen-max</x:v>
      </x:c>
      <x:c r="C29" s="8" t="str">
        <x:v>feedback-static-r0-t1.0-p1.0</x:v>
      </x:c>
      <x:c r="D29" s="18" t="n">
        <x:v>2922</x:v>
      </x:c>
      <x:c r="E29" s="20" t="n">
        <x:v>0.9387</x:v>
      </x:c>
      <x:c r="F29" s="18" t="n">
        <x:v>1804</x:v>
      </x:c>
      <x:c r="G29" s="18" t="n">
        <x:v>1082</x:v>
      </x:c>
      <x:c r="H29" s="20" t="n">
        <x:v>0.9877</x:v>
      </x:c>
      <x:c r="I29" s="18" t="n">
        <x:v>2743</x:v>
      </x:c>
      <x:c r="J29" s="18" t="n">
        <x:v>179</x:v>
      </x:c>
      <x:c r="K29" s="18" t="n">
        <x:v>176</x:v>
      </x:c>
      <x:c r="L29" s="18" t="n">
        <x:v>1007</x:v>
      </x:c>
      <x:c r="M29" s="18" t="n">
        <x:v>0</x:v>
      </x:c>
      <x:c r="N29" s="18" t="n">
        <x:v>0</x:v>
      </x:c>
      <x:c r="O29" s="18" t="n">
        <x:v>0</x:v>
      </x:c>
      <x:c r="P29" s="18" t="n">
        <x:v>0</x:v>
      </x:c>
      <x:c r="Q29" s="18" t="n">
        <x:v>2922</x:v>
      </x:c>
      <x:c r="R29" s="18" t="n">
        <x:v>0</x:v>
      </x:c>
      <x:c r="S29" s="18" t="n">
        <x:v>0</x:v>
      </x:c>
      <x:c r="T29" s="20" t="str">
        <x:v>Sem registro</x:v>
      </x:c>
      <x:c r="U29" s="18" t="n">
        <x:v>1118</x:v>
      </x:c>
      <x:c r="V29" s="20" t="n">
        <x:v>0.3826</x:v>
      </x:c>
      <x:c r="W29" s="20" t="n">
        <x:v>0.3826</x:v>
      </x:c>
      <x:c r="X29" s="18" t="n">
        <x:v>36</x:v>
      </x:c>
      <x:c r="Y29" s="18" t="n">
        <x:v>0</x:v>
      </x:c>
      <x:c r="Z29" s="18" t="n">
        <x:v>10</x:v>
      </x:c>
      <x:c r="AA29" s="22" t="n">
        <x:v>1.25</x:v>
      </x:c>
      <x:c r="AB29" s="22" t="n">
        <x:v>1</x:v>
      </x:c>
      <x:c r="AC29" s="18" t="str">
        <x:v>0: 1118 · 1: 1118 · 2: 198 · 3: 74 · 4: 60 · 5: 54 · 6: 47 · 7: 43 · 8: 40 · 9: 39 · 10: 39 · 11: 36</x:v>
      </x:c>
      <x:c r="AD29" s="11" t="str">
        <x:v>collected_code_6/qwen-max/feedback-static-r0-t1.0-p1.0</x:v>
      </x:c>
      <x:c r="AE29" s="12"/>
    </x:row>
    <x:row r="30" ht="40" customHeight="1">
      <x:c r="A30" s="2"/>
      <x:c r="B30" s="9" t="str">
        <x:v>qwen-max</x:v>
      </x:c>
      <x:c r="C30" s="8" t="str">
        <x:v>feedback-static+dynamic-r0-t0.2-p1.0</x:v>
      </x:c>
      <x:c r="D30" s="18" t="str">
        <x:v>Sem registro</x:v>
      </x:c>
      <x:c r="E30" s="20" t="str">
        <x:v>Sem registro</x:v>
      </x:c>
      <x:c r="F30" s="18" t="str">
        <x:v>Sem registro</x:v>
      </x:c>
      <x:c r="G30" s="18" t="str">
        <x:v>Sem registro</x:v>
      </x:c>
      <x:c r="H30" s="20" t="str">
        <x:v>Sem registro</x:v>
      </x:c>
      <x:c r="I30" s="18" t="str">
        <x:v>Sem registro</x:v>
      </x:c>
      <x:c r="J30" s="18" t="str">
        <x:v>Sem registro</x:v>
      </x:c>
      <x:c r="K30" s="18" t="str">
        <x:v>Sem registro</x:v>
      </x:c>
      <x:c r="L30" s="18" t="str">
        <x:v>Sem registro</x:v>
      </x:c>
      <x:c r="M30" s="18" t="str">
        <x:v>Sem registro</x:v>
      </x:c>
      <x:c r="N30" s="18" t="str">
        <x:v>Sem registro</x:v>
      </x:c>
      <x:c r="O30" s="18" t="str">
        <x:v>Sem registro</x:v>
      </x:c>
      <x:c r="P30" s="18" t="str">
        <x:v>Sem registro</x:v>
      </x:c>
      <x:c r="Q30" s="18" t="str">
        <x:v>Sem registro</x:v>
      </x:c>
      <x:c r="R30" s="18" t="str">
        <x:v>Sem registro</x:v>
      </x:c>
      <x:c r="S30" s="18" t="str">
        <x:v>Sem registro</x:v>
      </x:c>
      <x:c r="T30" s="20" t="str">
        <x:v>Sem registro</x:v>
      </x:c>
      <x:c r="U30" s="18" t="str">
        <x:v>Sem registro</x:v>
      </x:c>
      <x:c r="V30" s="20" t="str">
        <x:v>Sem registro</x:v>
      </x:c>
      <x:c r="W30" s="20" t="str">
        <x:v>Sem registro</x:v>
      </x:c>
      <x:c r="X30" s="18" t="str">
        <x:v>Sem registro</x:v>
      </x:c>
      <x:c r="Y30" s="18" t="str">
        <x:v>Sem registro</x:v>
      </x:c>
      <x:c r="Z30" s="18" t="str">
        <x:v>Sem registro</x:v>
      </x:c>
      <x:c r="AA30" s="22" t="str">
        <x:v>Sem registro</x:v>
      </x:c>
      <x:c r="AB30" s="22" t="str">
        <x:v>Sem registro</x:v>
      </x:c>
      <x:c r="AC30" s="18" t="str">
        <x:v>Sem registro</x:v>
      </x:c>
      <x:c r="AD30" s="11" t="str">
        <x:v>collected_code_6/qwen-max/feedback-static+dynamic-r0-t0.2-p1.0</x:v>
      </x:c>
      <x:c r="AE30" s="12"/>
    </x:row>
    <x:row r="31" ht="40" customHeight="1">
      <x:c r="A31" s="2"/>
      <x:c r="B31" s="9" t="str">
        <x:v>qwen-max</x:v>
      </x:c>
      <x:c r="C31" s="8" t="str">
        <x:v>feedback-static+dynamic-r0-t1.0-p0.5</x:v>
      </x:c>
      <x:c r="D31" s="18" t="str">
        <x:v>Sem registro</x:v>
      </x:c>
      <x:c r="E31" s="20" t="str">
        <x:v>Sem registro</x:v>
      </x:c>
      <x:c r="F31" s="18" t="str">
        <x:v>Sem registro</x:v>
      </x:c>
      <x:c r="G31" s="18" t="str">
        <x:v>Sem registro</x:v>
      </x:c>
      <x:c r="H31" s="20" t="str">
        <x:v>Sem registro</x:v>
      </x:c>
      <x:c r="I31" s="18" t="str">
        <x:v>Sem registro</x:v>
      </x:c>
      <x:c r="J31" s="18" t="str">
        <x:v>Sem registro</x:v>
      </x:c>
      <x:c r="K31" s="18" t="str">
        <x:v>Sem registro</x:v>
      </x:c>
      <x:c r="L31" s="18" t="str">
        <x:v>Sem registro</x:v>
      </x:c>
      <x:c r="M31" s="18" t="str">
        <x:v>Sem registro</x:v>
      </x:c>
      <x:c r="N31" s="18" t="str">
        <x:v>Sem registro</x:v>
      </x:c>
      <x:c r="O31" s="18" t="str">
        <x:v>Sem registro</x:v>
      </x:c>
      <x:c r="P31" s="18" t="str">
        <x:v>Sem registro</x:v>
      </x:c>
      <x:c r="Q31" s="18" t="str">
        <x:v>Sem registro</x:v>
      </x:c>
      <x:c r="R31" s="18" t="str">
        <x:v>Sem registro</x:v>
      </x:c>
      <x:c r="S31" s="18" t="str">
        <x:v>Sem registro</x:v>
      </x:c>
      <x:c r="T31" s="20" t="str">
        <x:v>Sem registro</x:v>
      </x:c>
      <x:c r="U31" s="18" t="str">
        <x:v>Sem registro</x:v>
      </x:c>
      <x:c r="V31" s="20" t="str">
        <x:v>Sem registro</x:v>
      </x:c>
      <x:c r="W31" s="20" t="str">
        <x:v>Sem registro</x:v>
      </x:c>
      <x:c r="X31" s="18" t="str">
        <x:v>Sem registro</x:v>
      </x:c>
      <x:c r="Y31" s="18" t="str">
        <x:v>Sem registro</x:v>
      </x:c>
      <x:c r="Z31" s="18" t="str">
        <x:v>Sem registro</x:v>
      </x:c>
      <x:c r="AA31" s="22" t="str">
        <x:v>Sem registro</x:v>
      </x:c>
      <x:c r="AB31" s="22" t="str">
        <x:v>Sem registro</x:v>
      </x:c>
      <x:c r="AC31" s="18" t="str">
        <x:v>Sem registro</x:v>
      </x:c>
      <x:c r="AD31" s="11" t="str">
        <x:v>collected_code_6/qwen-max/feedback-static+dynamic-r0-t1.0-p0.5</x:v>
      </x:c>
      <x:c r="AE31" s="12"/>
    </x:row>
    <x:row r="32" ht="40" customHeight="1">
      <x:c r="A32" s="2"/>
      <x:c r="B32" s="9" t="str">
        <x:v>qwen-max</x:v>
      </x:c>
      <x:c r="C32" s="8" t="str">
        <x:v>feedback-static+dynamic-r0-t1.0-p1.0</x:v>
      </x:c>
      <x:c r="D32" s="18" t="n">
        <x:v>400</x:v>
      </x:c>
      <x:c r="E32" s="20" t="n">
        <x:v>0.8825</x:v>
      </x:c>
      <x:c r="F32" s="18" t="n">
        <x:v>207</x:v>
      </x:c>
      <x:c r="G32" s="18" t="n">
        <x:v>160</x:v>
      </x:c>
      <x:c r="H32" s="20" t="n">
        <x:v>0.9175</x:v>
      </x:c>
      <x:c r="I32" s="18" t="n">
        <x:v>353</x:v>
      </x:c>
      <x:c r="J32" s="18" t="n">
        <x:v>47</x:v>
      </x:c>
      <x:c r="K32" s="18" t="n">
        <x:v>48</x:v>
      </x:c>
      <x:c r="L32" s="18" t="n">
        <x:v>141</x:v>
      </x:c>
      <x:c r="M32" s="18" t="n">
        <x:v>0</x:v>
      </x:c>
      <x:c r="N32" s="18" t="n">
        <x:v>21</x:v>
      </x:c>
      <x:c r="O32" s="18" t="n">
        <x:v>0</x:v>
      </x:c>
      <x:c r="P32" s="18" t="n">
        <x:v>24</x:v>
      </x:c>
      <x:c r="Q32" s="18" t="n">
        <x:v>0</x:v>
      </x:c>
      <x:c r="R32" s="18" t="n">
        <x:v>376</x:v>
      </x:c>
      <x:c r="S32" s="18" t="n">
        <x:v>24</x:v>
      </x:c>
      <x:c r="T32" s="20" t="n">
        <x:v>0.94</x:v>
      </x:c>
      <x:c r="U32" s="18" t="n">
        <x:v>193</x:v>
      </x:c>
      <x:c r="V32" s="20" t="n">
        <x:v>0.4825</x:v>
      </x:c>
      <x:c r="W32" s="20" t="n">
        <x:v>0.41</x:v>
      </x:c>
      <x:c r="X32" s="18" t="n">
        <x:v>33</x:v>
      </x:c>
      <x:c r="Y32" s="18" t="n">
        <x:v>0</x:v>
      </x:c>
      <x:c r="Z32" s="18" t="n">
        <x:v>10</x:v>
      </x:c>
      <x:c r="AA32" s="22" t="n">
        <x:v>1.688</x:v>
      </x:c>
      <x:c r="AB32" s="22" t="n">
        <x:v>1</x:v>
      </x:c>
      <x:c r="AC32" s="18" t="str">
        <x:v>0: 193 · 1: 193 · 2: 81 · 3: 53 · 4: 48 · 5: 44 · 6: 40 · 7: 39 · 8: 35 · 9: 34 · 10: 33 · 11: 33</x:v>
      </x:c>
      <x:c r="AD32" s="11" t="str">
        <x:v>collected_code_6/qwen-max/feedback-static+dynamic-r0-t1.0-p1.0</x:v>
      </x:c>
      <x:c r="AE32" s="12"/>
    </x:row>
  </x:sheetData>
  <x:conditionalFormatting sqref="D3:AC32">
    <x:cfRule type="cellIs" dxfId="4" priority="1" operator="equal">
      <x:formula>"NV"</x:formula>
    </x:cfRule>
    <x:cfRule type="cellIs" dxfId="5" priority="2" operator="equal">
      <x:formula>"N/A"</x:formula>
    </x:cfRule>
    <x:cfRule type="cellIs" dxfId="6" priority="3" operator="equal">
      <x:formula>"Sem registro"</x:formula>
    </x:cfRule>
    <x:cfRule type="cellIs" dxfId="7" priority="4" operator="equal">
      <x:formula>"Sem célula"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74D7A"/>
  </x:sheetPr>
  <x:sheetViews>
    <x:sheetView showGridLines="0" workbookViewId="0">
      <x:pane xSplit="3" ySplit="2" topLeftCell="D3" activePane="bottomRight" state="frozen"/>
    </x:sheetView>
  </x:sheetViews>
  <x:sheetFormatPr defaultRowHeight="15"/>
  <x:cols>
    <x:col min="1" max="1" width="2.440000057220459" hidden="0" customWidth="1"/>
    <x:col min="2" max="2" width="22" hidden="0" customWidth="1"/>
    <x:col min="3" max="3" width="35.11000061035156" hidden="0" customWidth="1"/>
    <x:col min="4" max="4" width="12.890000343322754" hidden="0" customWidth="1"/>
    <x:col min="5" max="5" width="12.890000343322754" hidden="0" customWidth="1"/>
    <x:col min="6" max="6" width="12.890000343322754" hidden="0" customWidth="1"/>
    <x:col min="7" max="7" width="12.890000343322754" hidden="0" customWidth="1"/>
    <x:col min="8" max="8" width="12.890000343322754" hidden="0" customWidth="1"/>
    <x:col min="9" max="9" width="12.890000343322754" hidden="0" customWidth="1"/>
    <x:col min="10" max="10" width="12.890000343322754" hidden="0" customWidth="1"/>
    <x:col min="11" max="11" width="12.890000343322754" hidden="0" customWidth="1"/>
    <x:col min="12" max="12" width="12.890000343322754" hidden="0" customWidth="1"/>
    <x:col min="13" max="13" width="12.890000343322754" hidden="0" customWidth="1"/>
    <x:col min="14" max="14" width="12.890000343322754" hidden="0" customWidth="1"/>
    <x:col min="15" max="15" width="12.890000343322754" hidden="0" customWidth="1"/>
    <x:col min="16" max="16" width="12.890000343322754" hidden="0" customWidth="1"/>
    <x:col min="17" max="17" width="12.890000343322754" hidden="0" customWidth="1"/>
    <x:col min="18" max="18" width="12.890000343322754" hidden="0" customWidth="1"/>
    <x:col min="19" max="19" width="12.890000343322754" hidden="0" customWidth="1"/>
    <x:col min="20" max="20" width="12.890000343322754" hidden="0" customWidth="1"/>
    <x:col min="21" max="21" width="12.890000343322754" hidden="0" customWidth="1"/>
    <x:col min="22" max="22" width="12.890000343322754" hidden="0" customWidth="1"/>
    <x:col min="23" max="23" width="12.890000343322754" hidden="0" customWidth="1"/>
    <x:col min="24" max="24" width="12.890000343322754" hidden="0" customWidth="1"/>
    <x:col min="25" max="25" width="12.890000343322754" hidden="0" customWidth="1"/>
    <x:col min="26" max="26" width="12.890000343322754" hidden="0" customWidth="1"/>
    <x:col min="27" max="27" width="12.890000343322754" hidden="0" customWidth="1"/>
    <x:col min="28" max="28" width="12.890000343322754" hidden="0" customWidth="1"/>
    <x:col min="29" max="29" width="40" hidden="0" customWidth="1"/>
    <x:col min="30" max="30" width="57.779998779296875" hidden="0" customWidth="1"/>
  </x:cols>
  <x:sheetData>
    <x:row r="1" ht="28" customHeight="1">
      <x:c r="A1" s="2"/>
      <x:c r="B1" s="2" t="str">
        <x:v>Recalculado menos registrado</x:v>
      </x:c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46" customHeight="1">
      <x:c r="A2" s="2"/>
      <x:c r="B2" s="6" t="str">
        <x:v>Modelo</x:v>
      </x:c>
      <x:c r="C2" s="6" t="str">
        <x:v>Configuração</x:v>
      </x:c>
      <x:c r="D2" s="6" t="str">
        <x:v>Gerados</x:v>
      </x:c>
      <x:c r="E2" s="6" t="str">
        <x:v>Compilam (%)</x:v>
      </x:c>
      <x:c r="F2" s="6" t="str">
        <x:v>Limpos no início</x:v>
      </x:c>
      <x:c r="G2" s="6" t="str">
        <x:v>Limpos após cura</x:v>
      </x:c>
      <x:c r="H2" s="6" t="str">
        <x:v>Limpos no fim (%)</x:v>
      </x:c>
      <x:c r="I2" s="6" t="str">
        <x:v>Compilam (n)</x:v>
      </x:c>
      <x:c r="J2" s="6" t="str">
        <x:v>Com alerta: GCC</x:v>
      </x:c>
      <x:c r="K2" s="6" t="str">
        <x:v>Com alerta: Clang</x:v>
      </x:c>
      <x:c r="L2" s="6" t="str">
        <x:v>Com alerta: Cppcheck</x:v>
      </x:c>
      <x:c r="M2" s="6" t="str">
        <x:v>Com alerta: Flawfinder</x:v>
      </x:c>
      <x:c r="N2" s="6" t="str">
        <x:v>Com alerta: ASan</x:v>
      </x:c>
      <x:c r="O2" s="6" t="str">
        <x:v>Com alerta: fuzz</x:v>
      </x:c>
      <x:c r="P2" s="6" t="str">
        <x:v>Com alerta: teste</x:v>
      </x:c>
      <x:c r="Q2" s="6" t="str">
        <x:v>Teste: sem relatório</x:v>
      </x:c>
      <x:c r="R2" s="6" t="str">
        <x:v>Teste: aprovados*</x:v>
      </x:c>
      <x:c r="S2" s="6" t="str">
        <x:v>Teste: falhas</x:v>
      </x:c>
      <x:c r="T2" s="6" t="str">
        <x:v>Teste: aprovação (%)*</x:v>
      </x:c>
      <x:c r="U2" s="6" t="str">
        <x:v>Com alertas no início</x:v>
      </x:c>
      <x:c r="V2" s="6" t="str">
        <x:v>Com alertas no início (%)</x:v>
      </x:c>
      <x:c r="W2" s="6" t="str">
        <x:v>Com alertas estáticos (%)</x:v>
      </x:c>
      <x:c r="X2" s="6" t="str">
        <x:v>Não ficaram limpos</x:v>
      </x:c>
      <x:c r="Y2" s="6" t="str">
        <x:v>Falhas na cura</x:v>
      </x:c>
      <x:c r="Z2" s="6" t="str">
        <x:v>Limite de rodadas</x:v>
      </x:c>
      <x:c r="AA2" s="6" t="str">
        <x:v>Rodadas: média</x:v>
      </x:c>
      <x:c r="AB2" s="6" t="str">
        <x:v>Rodadas: mediana</x:v>
      </x:c>
      <x:c r="AC2" s="6" t="str">
        <x:v>Fila por rodada</x:v>
      </x:c>
      <x:c r="AD2" s="6" t="str">
        <x:v>Caminho relativo</x:v>
      </x:c>
    </x:row>
    <x:row r="3" ht="40" customHeight="1">
      <x:c r="A3" s="2"/>
      <x:c r="B3" s="13" t="str">
        <x:v>claude-fable-5</x:v>
      </x:c>
      <x:c r="C3" s="14" t="str">
        <x:v>feedback-static-r0-t1.0-p1.0</x:v>
      </x:c>
      <x:c r="D3" s="17" t="str">
        <x:f>IF(AND(ISNUMBER('Recalculados'!D3),ISNUMBER('Registrados'!D3)),ROUND(('Recalculados'!D3-'Registrados'!D3),8),IF(OR('Recalculados'!D3="NV",'Registrados'!D3="Sem registro"),"NV","N/A"))</x:f>
        <x:v>NV</x:v>
      </x:c>
      <x:c r="E3" s="23" t="str">
        <x:f>IF(AND(ISNUMBER('Recalculados'!E3),ISNUMBER('Registrados'!E3)),ROUND(('Recalculados'!E3-'Registrados'!E3)*100,8),IF(OR('Recalculados'!E3="NV",'Registrados'!E3="Sem registro"),"NV","N/A"))</x:f>
        <x:v>NV</x:v>
      </x:c>
      <x:c r="F3" s="17" t="str">
        <x:f>IF(AND(ISNUMBER('Recalculados'!F3),ISNUMBER('Registrados'!F3)),ROUND(('Recalculados'!F3-'Registrados'!F3),8),IF(OR('Recalculados'!F3="NV",'Registrados'!F3="Sem registro"),"NV","N/A"))</x:f>
        <x:v>NV</x:v>
      </x:c>
      <x:c r="G3" s="17" t="str">
        <x:f>IF(AND(ISNUMBER('Recalculados'!G3),ISNUMBER('Registrados'!G3)),ROUND(('Recalculados'!G3-'Registrados'!G3),8),IF(OR('Recalculados'!G3="NV",'Registrados'!G3="Sem registro"),"NV","N/A"))</x:f>
        <x:v>NV</x:v>
      </x:c>
      <x:c r="H3" s="23" t="str">
        <x:f>IF(AND(ISNUMBER('Recalculados'!H3),ISNUMBER('Registrados'!H3)),ROUND(('Recalculados'!H3-'Registrados'!H3)*100,8),IF(OR('Recalculados'!H3="NV",'Registrados'!H3="Sem registro"),"NV","N/A"))</x:f>
        <x:v>NV</x:v>
      </x:c>
      <x:c r="I3" s="17" t="str">
        <x:f>IF(AND(ISNUMBER('Recalculados'!I3),ISNUMBER('Registrados'!I3)),ROUND(('Recalculados'!I3-'Registrados'!I3),8),IF(OR('Recalculados'!I3="NV",'Registrados'!I3="Sem registro"),"NV","N/A"))</x:f>
        <x:v>NV</x:v>
      </x:c>
      <x:c r="J3" s="17" t="str">
        <x:f>IF(AND(ISNUMBER('Recalculados'!J3),ISNUMBER('Registrados'!J3)),ROUND(('Recalculados'!J3-'Registrados'!J3),8),IF(OR('Recalculados'!J3="NV",'Registrados'!J3="Sem registro"),"NV","N/A"))</x:f>
        <x:v>NV</x:v>
      </x:c>
      <x:c r="K3" s="17" t="str">
        <x:f>IF(AND(ISNUMBER('Recalculados'!K3),ISNUMBER('Registrados'!K3)),ROUND(('Recalculados'!K3-'Registrados'!K3),8),IF(OR('Recalculados'!K3="NV",'Registrados'!K3="Sem registro"),"NV","N/A"))</x:f>
        <x:v>NV</x:v>
      </x:c>
      <x:c r="L3" s="17" t="str">
        <x:f>IF(AND(ISNUMBER('Recalculados'!L3),ISNUMBER('Registrados'!L3)),ROUND(('Recalculados'!L3-'Registrados'!L3),8),IF(OR('Recalculados'!L3="NV",'Registrados'!L3="Sem registro"),"NV","N/A"))</x:f>
        <x:v>NV</x:v>
      </x:c>
      <x:c r="M3" s="17" t="str">
        <x:f>IF(AND(ISNUMBER('Recalculados'!M3),ISNUMBER('Registrados'!M3)),ROUND(('Recalculados'!M3-'Registrados'!M3),8),IF(OR('Recalculados'!M3="NV",'Registrados'!M3="Sem registro"),"NV","N/A"))</x:f>
        <x:v>NV</x:v>
      </x:c>
      <x:c r="N3" s="17" t="str">
        <x:f>IF(AND(ISNUMBER('Recalculados'!N3),ISNUMBER('Registrados'!N3)),ROUND(('Recalculados'!N3-'Registrados'!N3),8),IF(OR('Recalculados'!N3="NV",'Registrados'!N3="Sem registro"),"NV","N/A"))</x:f>
        <x:v>NV</x:v>
      </x:c>
      <x:c r="O3" s="17" t="str">
        <x:f>IF(AND(ISNUMBER('Recalculados'!O3),ISNUMBER('Registrados'!O3)),ROUND(('Recalculados'!O3-'Registrados'!O3),8),IF(OR('Recalculados'!O3="NV",'Registrados'!O3="Sem registro"),"NV","N/A"))</x:f>
        <x:v>NV</x:v>
      </x:c>
      <x:c r="P3" s="17" t="str">
        <x:f>IF(AND(ISNUMBER('Recalculados'!P3),ISNUMBER('Registrados'!P3)),ROUND(('Recalculados'!P3-'Registrados'!P3),8),IF(OR('Recalculados'!P3="NV",'Registrados'!P3="Sem registro"),"NV","N/A"))</x:f>
        <x:v>NV</x:v>
      </x:c>
      <x:c r="Q3" s="17" t="str">
        <x:f>IF(AND(ISNUMBER('Recalculados'!Q3),ISNUMBER('Registrados'!Q3)),ROUND(('Recalculados'!Q3-'Registrados'!Q3),8),IF(OR('Recalculados'!Q3="NV",'Registrados'!Q3="Sem registro"),"NV","N/A"))</x:f>
        <x:v>NV</x:v>
      </x:c>
      <x:c r="R3" s="17" t="str">
        <x:f>IF(AND(ISNUMBER('Recalculados'!R3),ISNUMBER('Registrados'!R3)),ROUND(('Recalculados'!R3-'Registrados'!R3),8),IF(OR('Recalculados'!R3="NV",'Registrados'!R3="Sem registro"),"NV","N/A"))</x:f>
        <x:v>NV</x:v>
      </x:c>
      <x:c r="S3" s="17" t="str">
        <x:f>IF(AND(ISNUMBER('Recalculados'!S3),ISNUMBER('Registrados'!S3)),ROUND(('Recalculados'!S3-'Registrados'!S3),8),IF(OR('Recalculados'!S3="NV",'Registrados'!S3="Sem registro"),"NV","N/A"))</x:f>
        <x:v>NV</x:v>
      </x:c>
      <x:c r="T3" s="23" t="str">
        <x:f>IF(AND(ISNUMBER('Recalculados'!T3),ISNUMBER('Registrados'!T3)),ROUND(('Recalculados'!T3-'Registrados'!T3)*100,8),IF(OR('Recalculados'!T3="NV",'Registrados'!T3="Sem registro"),"NV","N/A"))</x:f>
        <x:v>NV</x:v>
      </x:c>
      <x:c r="U3" s="17" t="str">
        <x:f>IF(AND(ISNUMBER('Recalculados'!U3),ISNUMBER('Registrados'!U3)),ROUND(('Recalculados'!U3-'Registrados'!U3),8),IF(OR('Recalculados'!U3="NV",'Registrados'!U3="Sem registro"),"NV","N/A"))</x:f>
        <x:v>NV</x:v>
      </x:c>
      <x:c r="V3" s="23" t="str">
        <x:f>IF(AND(ISNUMBER('Recalculados'!V3),ISNUMBER('Registrados'!V3)),ROUND(('Recalculados'!V3-'Registrados'!V3)*100,8),IF(OR('Recalculados'!V3="NV",'Registrados'!V3="Sem registro"),"NV","N/A"))</x:f>
        <x:v>NV</x:v>
      </x:c>
      <x:c r="W3" s="23" t="str">
        <x:f>IF(AND(ISNUMBER('Recalculados'!W3),ISNUMBER('Registrados'!W3)),ROUND(('Recalculados'!W3-'Registrados'!W3)*100,8),IF(OR('Recalculados'!W3="NV",'Registrados'!W3="Sem registro"),"NV","N/A"))</x:f>
        <x:v>NV</x:v>
      </x:c>
      <x:c r="X3" s="17" t="str">
        <x:f>IF(AND(ISNUMBER('Recalculados'!X3),ISNUMBER('Registrados'!X3)),ROUND(('Recalculados'!X3-'Registrados'!X3),8),IF(OR('Recalculados'!X3="NV",'Registrados'!X3="Sem registro"),"NV","N/A"))</x:f>
        <x:v>NV</x:v>
      </x:c>
      <x:c r="Y3" s="17" t="str">
        <x:f>IF(AND(ISNUMBER('Recalculados'!Y3),ISNUMBER('Registrados'!Y3)),ROUND(('Recalculados'!Y3-'Registrados'!Y3),8),IF(OR('Recalculados'!Y3="NV",'Registrados'!Y3="Sem registro"),"NV","N/A"))</x:f>
        <x:v>NV</x:v>
      </x:c>
      <x:c r="Z3" s="17" t="str">
        <x:f>IF(AND(ISNUMBER('Recalculados'!Z3),ISNUMBER('Registrados'!Z3)),ROUND(('Recalculados'!Z3-'Registrados'!Z3),8),IF(OR('Recalculados'!Z3="NV",'Registrados'!Z3="Sem registro"),"NV","N/A"))</x:f>
        <x:v>NV</x:v>
      </x:c>
      <x:c r="AA3" s="21" t="str">
        <x:f>IF(AND(ISNUMBER('Recalculados'!AA3),ISNUMBER('Registrados'!AA3)),ROUND(('Recalculados'!AA3-'Registrados'!AA3),8),IF(OR('Recalculados'!AA3="NV",'Registrados'!AA3="Sem registro"),"NV","N/A"))</x:f>
        <x:v>NV</x:v>
      </x:c>
      <x:c r="AB3" s="21" t="str">
        <x:f>IF(AND(ISNUMBER('Recalculados'!AB3),ISNUMBER('Registrados'!AB3)),ROUND(('Recalculados'!AB3-'Registrados'!AB3),8),IF(OR('Recalculados'!AB3="NV",'Registrados'!AB3="Sem registro"),"NV","N/A"))</x:f>
        <x:v>NV</x:v>
      </x:c>
      <x:c r="AC3" s="17" t="str">
        <x:f>IF(AND(ISNUMBER('Recalculados'!AC3),ISNUMBER('Registrados'!AC3)),ROUND(('Recalculados'!AC3-'Registrados'!AC3),8),IF(OR('Recalculados'!AC3="NV",'Registrados'!AC3="Sem registro"),"NV","N/A"))</x:f>
        <x:v>NV</x:v>
      </x:c>
      <x:c r="AD3" s="16" t="str">
        <x:v>collected_code_6/claude-fable-5/feedback-static-r0-t1.0-p1.0</x:v>
      </x:c>
      <x:c r="AE3" s="12"/>
    </x:row>
    <x:row r="4" ht="40" customHeight="1">
      <x:c r="A4" s="2"/>
      <x:c r="B4" s="13" t="str">
        <x:v>deepseek-v4-pro</x:v>
      </x:c>
      <x:c r="C4" s="14" t="str">
        <x:v>feedback-dynamic-r0-t1.0-p1.0</x:v>
      </x:c>
      <x:c r="D4" s="17" t="str">
        <x:f>IF(AND(ISNUMBER('Recalculados'!D4),ISNUMBER('Registrados'!D4)),ROUND(('Recalculados'!D4-'Registrados'!D4),8),IF(OR('Recalculados'!D4="NV",'Registrados'!D4="Sem registro"),"NV","N/A"))</x:f>
        <x:v>NV</x:v>
      </x:c>
      <x:c r="E4" s="23" t="str">
        <x:f>IF(AND(ISNUMBER('Recalculados'!E4),ISNUMBER('Registrados'!E4)),ROUND(('Recalculados'!E4-'Registrados'!E4)*100,8),IF(OR('Recalculados'!E4="NV",'Registrados'!E4="Sem registro"),"NV","N/A"))</x:f>
        <x:v>NV</x:v>
      </x:c>
      <x:c r="F4" s="17" t="str">
        <x:f>IF(AND(ISNUMBER('Recalculados'!F4),ISNUMBER('Registrados'!F4)),ROUND(('Recalculados'!F4-'Registrados'!F4),8),IF(OR('Recalculados'!F4="NV",'Registrados'!F4="Sem registro"),"NV","N/A"))</x:f>
        <x:v>NV</x:v>
      </x:c>
      <x:c r="G4" s="17" t="str">
        <x:f>IF(AND(ISNUMBER('Recalculados'!G4),ISNUMBER('Registrados'!G4)),ROUND(('Recalculados'!G4-'Registrados'!G4),8),IF(OR('Recalculados'!G4="NV",'Registrados'!G4="Sem registro"),"NV","N/A"))</x:f>
        <x:v>NV</x:v>
      </x:c>
      <x:c r="H4" s="23" t="str">
        <x:f>IF(AND(ISNUMBER('Recalculados'!H4),ISNUMBER('Registrados'!H4)),ROUND(('Recalculados'!H4-'Registrados'!H4)*100,8),IF(OR('Recalculados'!H4="NV",'Registrados'!H4="Sem registro"),"NV","N/A"))</x:f>
        <x:v>NV</x:v>
      </x:c>
      <x:c r="I4" s="17" t="str">
        <x:f>IF(AND(ISNUMBER('Recalculados'!I4),ISNUMBER('Registrados'!I4)),ROUND(('Recalculados'!I4-'Registrados'!I4),8),IF(OR('Recalculados'!I4="NV",'Registrados'!I4="Sem registro"),"NV","N/A"))</x:f>
        <x:v>NV</x:v>
      </x:c>
      <x:c r="J4" s="17" t="str">
        <x:f>IF(AND(ISNUMBER('Recalculados'!J4),ISNUMBER('Registrados'!J4)),ROUND(('Recalculados'!J4-'Registrados'!J4),8),IF(OR('Recalculados'!J4="NV",'Registrados'!J4="Sem registro"),"NV","N/A"))</x:f>
        <x:v>NV</x:v>
      </x:c>
      <x:c r="K4" s="17" t="str">
        <x:f>IF(AND(ISNUMBER('Recalculados'!K4),ISNUMBER('Registrados'!K4)),ROUND(('Recalculados'!K4-'Registrados'!K4),8),IF(OR('Recalculados'!K4="NV",'Registrados'!K4="Sem registro"),"NV","N/A"))</x:f>
        <x:v>NV</x:v>
      </x:c>
      <x:c r="L4" s="17" t="str">
        <x:f>IF(AND(ISNUMBER('Recalculados'!L4),ISNUMBER('Registrados'!L4)),ROUND(('Recalculados'!L4-'Registrados'!L4),8),IF(OR('Recalculados'!L4="NV",'Registrados'!L4="Sem registro"),"NV","N/A"))</x:f>
        <x:v>NV</x:v>
      </x:c>
      <x:c r="M4" s="17" t="str">
        <x:f>IF(AND(ISNUMBER('Recalculados'!M4),ISNUMBER('Registrados'!M4)),ROUND(('Recalculados'!M4-'Registrados'!M4),8),IF(OR('Recalculados'!M4="NV",'Registrados'!M4="Sem registro"),"NV","N/A"))</x:f>
        <x:v>NV</x:v>
      </x:c>
      <x:c r="N4" s="17" t="str">
        <x:f>IF(AND(ISNUMBER('Recalculados'!N4),ISNUMBER('Registrados'!N4)),ROUND(('Recalculados'!N4-'Registrados'!N4),8),IF(OR('Recalculados'!N4="NV",'Registrados'!N4="Sem registro"),"NV","N/A"))</x:f>
        <x:v>NV</x:v>
      </x:c>
      <x:c r="O4" s="17" t="str">
        <x:f>IF(AND(ISNUMBER('Recalculados'!O4),ISNUMBER('Registrados'!O4)),ROUND(('Recalculados'!O4-'Registrados'!O4),8),IF(OR('Recalculados'!O4="NV",'Registrados'!O4="Sem registro"),"NV","N/A"))</x:f>
        <x:v>NV</x:v>
      </x:c>
      <x:c r="P4" s="17" t="str">
        <x:f>IF(AND(ISNUMBER('Recalculados'!P4),ISNUMBER('Registrados'!P4)),ROUND(('Recalculados'!P4-'Registrados'!P4),8),IF(OR('Recalculados'!P4="NV",'Registrados'!P4="Sem registro"),"NV","N/A"))</x:f>
        <x:v>NV</x:v>
      </x:c>
      <x:c r="Q4" s="17" t="str">
        <x:f>IF(AND(ISNUMBER('Recalculados'!Q4),ISNUMBER('Registrados'!Q4)),ROUND(('Recalculados'!Q4-'Registrados'!Q4),8),IF(OR('Recalculados'!Q4="NV",'Registrados'!Q4="Sem registro"),"NV","N/A"))</x:f>
        <x:v>NV</x:v>
      </x:c>
      <x:c r="R4" s="17" t="str">
        <x:f>IF(AND(ISNUMBER('Recalculados'!R4),ISNUMBER('Registrados'!R4)),ROUND(('Recalculados'!R4-'Registrados'!R4),8),IF(OR('Recalculados'!R4="NV",'Registrados'!R4="Sem registro"),"NV","N/A"))</x:f>
        <x:v>NV</x:v>
      </x:c>
      <x:c r="S4" s="17" t="str">
        <x:f>IF(AND(ISNUMBER('Recalculados'!S4),ISNUMBER('Registrados'!S4)),ROUND(('Recalculados'!S4-'Registrados'!S4),8),IF(OR('Recalculados'!S4="NV",'Registrados'!S4="Sem registro"),"NV","N/A"))</x:f>
        <x:v>NV</x:v>
      </x:c>
      <x:c r="T4" s="23" t="str">
        <x:f>IF(AND(ISNUMBER('Recalculados'!T4),ISNUMBER('Registrados'!T4)),ROUND(('Recalculados'!T4-'Registrados'!T4)*100,8),IF(OR('Recalculados'!T4="NV",'Registrados'!T4="Sem registro"),"NV","N/A"))</x:f>
        <x:v>NV</x:v>
      </x:c>
      <x:c r="U4" s="17" t="str">
        <x:f>IF(AND(ISNUMBER('Recalculados'!U4),ISNUMBER('Registrados'!U4)),ROUND(('Recalculados'!U4-'Registrados'!U4),8),IF(OR('Recalculados'!U4="NV",'Registrados'!U4="Sem registro"),"NV","N/A"))</x:f>
        <x:v>NV</x:v>
      </x:c>
      <x:c r="V4" s="23" t="str">
        <x:f>IF(AND(ISNUMBER('Recalculados'!V4),ISNUMBER('Registrados'!V4)),ROUND(('Recalculados'!V4-'Registrados'!V4)*100,8),IF(OR('Recalculados'!V4="NV",'Registrados'!V4="Sem registro"),"NV","N/A"))</x:f>
        <x:v>NV</x:v>
      </x:c>
      <x:c r="W4" s="23" t="str">
        <x:f>IF(AND(ISNUMBER('Recalculados'!W4),ISNUMBER('Registrados'!W4)),ROUND(('Recalculados'!W4-'Registrados'!W4)*100,8),IF(OR('Recalculados'!W4="NV",'Registrados'!W4="Sem registro"),"NV","N/A"))</x:f>
        <x:v>NV</x:v>
      </x:c>
      <x:c r="X4" s="17" t="str">
        <x:f>IF(AND(ISNUMBER('Recalculados'!X4),ISNUMBER('Registrados'!X4)),ROUND(('Recalculados'!X4-'Registrados'!X4),8),IF(OR('Recalculados'!X4="NV",'Registrados'!X4="Sem registro"),"NV","N/A"))</x:f>
        <x:v>NV</x:v>
      </x:c>
      <x:c r="Y4" s="17" t="str">
        <x:f>IF(AND(ISNUMBER('Recalculados'!Y4),ISNUMBER('Registrados'!Y4)),ROUND(('Recalculados'!Y4-'Registrados'!Y4),8),IF(OR('Recalculados'!Y4="NV",'Registrados'!Y4="Sem registro"),"NV","N/A"))</x:f>
        <x:v>NV</x:v>
      </x:c>
      <x:c r="Z4" s="17" t="str">
        <x:f>IF(AND(ISNUMBER('Recalculados'!Z4),ISNUMBER('Registrados'!Z4)),ROUND(('Recalculados'!Z4-'Registrados'!Z4),8),IF(OR('Recalculados'!Z4="NV",'Registrados'!Z4="Sem registro"),"NV","N/A"))</x:f>
        <x:v>NV</x:v>
      </x:c>
      <x:c r="AA4" s="21" t="str">
        <x:f>IF(AND(ISNUMBER('Recalculados'!AA4),ISNUMBER('Registrados'!AA4)),ROUND(('Recalculados'!AA4-'Registrados'!AA4),8),IF(OR('Recalculados'!AA4="NV",'Registrados'!AA4="Sem registro"),"NV","N/A"))</x:f>
        <x:v>NV</x:v>
      </x:c>
      <x:c r="AB4" s="21" t="str">
        <x:f>IF(AND(ISNUMBER('Recalculados'!AB4),ISNUMBER('Registrados'!AB4)),ROUND(('Recalculados'!AB4-'Registrados'!AB4),8),IF(OR('Recalculados'!AB4="NV",'Registrados'!AB4="Sem registro"),"NV","N/A"))</x:f>
        <x:v>NV</x:v>
      </x:c>
      <x:c r="AC4" s="17" t="str">
        <x:f>IF(AND(ISNUMBER('Recalculados'!AC4),ISNUMBER('Registrados'!AC4)),ROUND(('Recalculados'!AC4-'Registrados'!AC4),8),IF(OR('Recalculados'!AC4="NV",'Registrados'!AC4="Sem registro"),"NV","N/A"))</x:f>
        <x:v>NV</x:v>
      </x:c>
      <x:c r="AD4" s="16" t="str">
        <x:v>collected_code_6/deepseek-v4-pro/feedback-dynamic-r0-t1.0-p1.0</x:v>
      </x:c>
      <x:c r="AE4" s="12"/>
    </x:row>
    <x:row r="5" ht="40" customHeight="1">
      <x:c r="A5" s="2"/>
      <x:c r="B5" s="9" t="str">
        <x:v>deepseek-v4-pro</x:v>
      </x:c>
      <x:c r="C5" s="8" t="str">
        <x:v>feedback-static-r0-t0.2-p1.0</x:v>
      </x:c>
      <x:c r="D5" s="18" t="n">
        <x:f>IF(AND(ISNUMBER('Recalculados'!D5),ISNUMBER('Registrados'!D5)),ROUND(('Recalculados'!D5-'Registrados'!D5),8),IF(OR('Recalculados'!D5="NV",'Registrados'!D5="Sem registro"),"NV","N/A"))</x:f>
        <x:v>0</x:v>
      </x:c>
      <x:c r="E5" s="24" t="str">
        <x:f>IF(AND(ISNUMBER('Recalculados'!E5),ISNUMBER('Registrados'!E5)),ROUND(('Recalculados'!E5-'Registrados'!E5)*100,8),IF(OR('Recalculados'!E5="NV",'Registrados'!E5="Sem registro"),"NV","N/A"))</x:f>
        <x:v>NV</x:v>
      </x:c>
      <x:c r="F5" s="18" t="n">
        <x:f>IF(AND(ISNUMBER('Recalculados'!F5),ISNUMBER('Registrados'!F5)),ROUND(('Recalculados'!F5-'Registrados'!F5),8),IF(OR('Recalculados'!F5="NV",'Registrados'!F5="Sem registro"),"NV","N/A"))</x:f>
        <x:v>0</x:v>
      </x:c>
      <x:c r="G5" s="18" t="n">
        <x:f>IF(AND(ISNUMBER('Recalculados'!G5),ISNUMBER('Registrados'!G5)),ROUND(('Recalculados'!G5-'Registrados'!G5),8),IF(OR('Recalculados'!G5="NV",'Registrados'!G5="Sem registro"),"NV","N/A"))</x:f>
        <x:v>0</x:v>
      </x:c>
      <x:c r="H5" s="24" t="n">
        <x:f>IF(AND(ISNUMBER('Recalculados'!H5),ISNUMBER('Registrados'!H5)),ROUND(('Recalculados'!H5-'Registrados'!H5)*100,8),IF(OR('Recalculados'!H5="NV",'Registrados'!H5="Sem registro"),"NV","N/A"))</x:f>
        <x:v>0</x:v>
      </x:c>
      <x:c r="I5" s="18" t="str">
        <x:f>IF(AND(ISNUMBER('Recalculados'!I5),ISNUMBER('Registrados'!I5)),ROUND(('Recalculados'!I5-'Registrados'!I5),8),IF(OR('Recalculados'!I5="NV",'Registrados'!I5="Sem registro"),"NV","N/A"))</x:f>
        <x:v>NV</x:v>
      </x:c>
      <x:c r="J5" s="18" t="n">
        <x:f>IF(AND(ISNUMBER('Recalculados'!J5),ISNUMBER('Registrados'!J5)),ROUND(('Recalculados'!J5-'Registrados'!J5),8),IF(OR('Recalculados'!J5="NV",'Registrados'!J5="Sem registro"),"NV","N/A"))</x:f>
        <x:v>0</x:v>
      </x:c>
      <x:c r="K5" s="18" t="n">
        <x:f>IF(AND(ISNUMBER('Recalculados'!K5),ISNUMBER('Registrados'!K5)),ROUND(('Recalculados'!K5-'Registrados'!K5),8),IF(OR('Recalculados'!K5="NV",'Registrados'!K5="Sem registro"),"NV","N/A"))</x:f>
        <x:v>0</x:v>
      </x:c>
      <x:c r="L5" s="18" t="n">
        <x:f>IF(AND(ISNUMBER('Recalculados'!L5),ISNUMBER('Registrados'!L5)),ROUND(('Recalculados'!L5-'Registrados'!L5),8),IF(OR('Recalculados'!L5="NV",'Registrados'!L5="Sem registro"),"NV","N/A"))</x:f>
        <x:v>0</x:v>
      </x:c>
      <x:c r="M5" s="18" t="n">
        <x:f>IF(AND(ISNUMBER('Recalculados'!M5),ISNUMBER('Registrados'!M5)),ROUND(('Recalculados'!M5-'Registrados'!M5),8),IF(OR('Recalculados'!M5="NV",'Registrados'!M5="Sem registro"),"NV","N/A"))</x:f>
        <x:v>0</x:v>
      </x:c>
      <x:c r="N5" s="18" t="n">
        <x:f>IF(AND(ISNUMBER('Recalculados'!N5),ISNUMBER('Registrados'!N5)),ROUND(('Recalculados'!N5-'Registrados'!N5),8),IF(OR('Recalculados'!N5="NV",'Registrados'!N5="Sem registro"),"NV","N/A"))</x:f>
        <x:v>0</x:v>
      </x:c>
      <x:c r="O5" s="18" t="n">
        <x:f>IF(AND(ISNUMBER('Recalculados'!O5),ISNUMBER('Registrados'!O5)),ROUND(('Recalculados'!O5-'Registrados'!O5),8),IF(OR('Recalculados'!O5="NV",'Registrados'!O5="Sem registro"),"NV","N/A"))</x:f>
        <x:v>0</x:v>
      </x:c>
      <x:c r="P5" s="18" t="n">
        <x:f>IF(AND(ISNUMBER('Recalculados'!P5),ISNUMBER('Registrados'!P5)),ROUND(('Recalculados'!P5-'Registrados'!P5),8),IF(OR('Recalculados'!P5="NV",'Registrados'!P5="Sem registro"),"NV","N/A"))</x:f>
        <x:v>0</x:v>
      </x:c>
      <x:c r="Q5" s="18" t="n">
        <x:f>IF(AND(ISNUMBER('Recalculados'!Q5),ISNUMBER('Registrados'!Q5)),ROUND(('Recalculados'!Q5-'Registrados'!Q5),8),IF(OR('Recalculados'!Q5="NV",'Registrados'!Q5="Sem registro"),"NV","N/A"))</x:f>
        <x:v>0</x:v>
      </x:c>
      <x:c r="R5" s="18" t="n">
        <x:f>IF(AND(ISNUMBER('Recalculados'!R5),ISNUMBER('Registrados'!R5)),ROUND(('Recalculados'!R5-'Registrados'!R5),8),IF(OR('Recalculados'!R5="NV",'Registrados'!R5="Sem registro"),"NV","N/A"))</x:f>
        <x:v>0</x:v>
      </x:c>
      <x:c r="S5" s="18" t="n">
        <x:f>IF(AND(ISNUMBER('Recalculados'!S5),ISNUMBER('Registrados'!S5)),ROUND(('Recalculados'!S5-'Registrados'!S5),8),IF(OR('Recalculados'!S5="NV",'Registrados'!S5="Sem registro"),"NV","N/A"))</x:f>
        <x:v>0</x:v>
      </x:c>
      <x:c r="T5" s="24" t="str">
        <x:f>IF(AND(ISNUMBER('Recalculados'!T5),ISNUMBER('Registrados'!T5)),ROUND(('Recalculados'!T5-'Registrados'!T5)*100,8),IF(OR('Recalculados'!T5="NV",'Registrados'!T5="Sem registro"),"NV","N/A"))</x:f>
        <x:v>NV</x:v>
      </x:c>
      <x:c r="U5" s="18" t="n">
        <x:f>IF(AND(ISNUMBER('Recalculados'!U5),ISNUMBER('Registrados'!U5)),ROUND(('Recalculados'!U5-'Registrados'!U5),8),IF(OR('Recalculados'!U5="NV",'Registrados'!U5="Sem registro"),"NV","N/A"))</x:f>
        <x:v>0</x:v>
      </x:c>
      <x:c r="V5" s="24" t="n">
        <x:f>IF(AND(ISNUMBER('Recalculados'!V5),ISNUMBER('Registrados'!V5)),ROUND(('Recalculados'!V5-'Registrados'!V5)*100,8),IF(OR('Recalculados'!V5="NV",'Registrados'!V5="Sem registro"),"NV","N/A"))</x:f>
        <x:v>0</x:v>
      </x:c>
      <x:c r="W5" s="24" t="n">
        <x:f>IF(AND(ISNUMBER('Recalculados'!W5),ISNUMBER('Registrados'!W5)),ROUND(('Recalculados'!W5-'Registrados'!W5)*100,8),IF(OR('Recalculados'!W5="NV",'Registrados'!W5="Sem registro"),"NV","N/A"))</x:f>
        <x:v>0</x:v>
      </x:c>
      <x:c r="X5" s="18" t="n">
        <x:f>IF(AND(ISNUMBER('Recalculados'!X5),ISNUMBER('Registrados'!X5)),ROUND(('Recalculados'!X5-'Registrados'!X5),8),IF(OR('Recalculados'!X5="NV",'Registrados'!X5="Sem registro"),"NV","N/A"))</x:f>
        <x:v>0</x:v>
      </x:c>
      <x:c r="Y5" s="18" t="n">
        <x:f>IF(AND(ISNUMBER('Recalculados'!Y5),ISNUMBER('Registrados'!Y5)),ROUND(('Recalculados'!Y5-'Registrados'!Y5),8),IF(OR('Recalculados'!Y5="NV",'Registrados'!Y5="Sem registro"),"NV","N/A"))</x:f>
        <x:v>0</x:v>
      </x:c>
      <x:c r="Z5" s="18" t="n">
        <x:f>IF(AND(ISNUMBER('Recalculados'!Z5),ISNUMBER('Registrados'!Z5)),ROUND(('Recalculados'!Z5-'Registrados'!Z5),8),IF(OR('Recalculados'!Z5="NV",'Registrados'!Z5="Sem registro"),"NV","N/A"))</x:f>
        <x:v>0</x:v>
      </x:c>
      <x:c r="AA5" s="22" t="n">
        <x:f>IF(AND(ISNUMBER('Recalculados'!AA5),ISNUMBER('Registrados'!AA5)),ROUND(('Recalculados'!AA5-'Registrados'!AA5),8),IF(OR('Recalculados'!AA5="NV",'Registrados'!AA5="Sem registro"),"NV","N/A"))</x:f>
        <x:v>0</x:v>
      </x:c>
      <x:c r="AB5" s="22" t="n">
        <x:f>IF(AND(ISNUMBER('Recalculados'!AB5),ISNUMBER('Registrados'!AB5)),ROUND(('Recalculados'!AB5-'Registrados'!AB5),8),IF(OR('Recalculados'!AB5="NV",'Registrados'!AB5="Sem registro"),"NV","N/A"))</x:f>
        <x:v>0</x:v>
      </x:c>
      <x:c r="AC5" s="18" t="str">
        <x:f>IF(AND(ISNUMBER('Recalculados'!AC5),ISNUMBER('Registrados'!AC5)),ROUND(('Recalculados'!AC5-'Registrados'!AC5),8),IF(OR('Recalculados'!AC5="NV",'Registrados'!AC5="Sem registro"),"NV","N/A"))</x:f>
        <x:v>N/A</x:v>
      </x:c>
      <x:c r="AD5" s="11" t="str">
        <x:v>collected_code_6/deepseek-v4-pro/feedback-static-r0-t0.2-p1.0</x:v>
      </x:c>
      <x:c r="AE5" s="12"/>
    </x:row>
    <x:row r="6" ht="40" customHeight="1">
      <x:c r="A6" s="2"/>
      <x:c r="B6" s="9" t="str">
        <x:v>deepseek-v4-pro</x:v>
      </x:c>
      <x:c r="C6" s="8" t="str">
        <x:v>feedback-static-r0-t1.0-p0.5</x:v>
      </x:c>
      <x:c r="D6" s="18" t="n">
        <x:f>IF(AND(ISNUMBER('Recalculados'!D6),ISNUMBER('Registrados'!D6)),ROUND(('Recalculados'!D6-'Registrados'!D6),8),IF(OR('Recalculados'!D6="NV",'Registrados'!D6="Sem registro"),"NV","N/A"))</x:f>
        <x:v>0</x:v>
      </x:c>
      <x:c r="E6" s="24" t="str">
        <x:f>IF(AND(ISNUMBER('Recalculados'!E6),ISNUMBER('Registrados'!E6)),ROUND(('Recalculados'!E6-'Registrados'!E6)*100,8),IF(OR('Recalculados'!E6="NV",'Registrados'!E6="Sem registro"),"NV","N/A"))</x:f>
        <x:v>NV</x:v>
      </x:c>
      <x:c r="F6" s="18" t="n">
        <x:f>IF(AND(ISNUMBER('Recalculados'!F6),ISNUMBER('Registrados'!F6)),ROUND(('Recalculados'!F6-'Registrados'!F6),8),IF(OR('Recalculados'!F6="NV",'Registrados'!F6="Sem registro"),"NV","N/A"))</x:f>
        <x:v>0</x:v>
      </x:c>
      <x:c r="G6" s="18" t="n">
        <x:f>IF(AND(ISNUMBER('Recalculados'!G6),ISNUMBER('Registrados'!G6)),ROUND(('Recalculados'!G6-'Registrados'!G6),8),IF(OR('Recalculados'!G6="NV",'Registrados'!G6="Sem registro"),"NV","N/A"))</x:f>
        <x:v>0</x:v>
      </x:c>
      <x:c r="H6" s="24" t="n">
        <x:f>IF(AND(ISNUMBER('Recalculados'!H6),ISNUMBER('Registrados'!H6)),ROUND(('Recalculados'!H6-'Registrados'!H6)*100,8),IF(OR('Recalculados'!H6="NV",'Registrados'!H6="Sem registro"),"NV","N/A"))</x:f>
        <x:v>0</x:v>
      </x:c>
      <x:c r="I6" s="18" t="str">
        <x:f>IF(AND(ISNUMBER('Recalculados'!I6),ISNUMBER('Registrados'!I6)),ROUND(('Recalculados'!I6-'Registrados'!I6),8),IF(OR('Recalculados'!I6="NV",'Registrados'!I6="Sem registro"),"NV","N/A"))</x:f>
        <x:v>NV</x:v>
      </x:c>
      <x:c r="J6" s="18" t="n">
        <x:f>IF(AND(ISNUMBER('Recalculados'!J6),ISNUMBER('Registrados'!J6)),ROUND(('Recalculados'!J6-'Registrados'!J6),8),IF(OR('Recalculados'!J6="NV",'Registrados'!J6="Sem registro"),"NV","N/A"))</x:f>
        <x:v>0</x:v>
      </x:c>
      <x:c r="K6" s="18" t="n">
        <x:f>IF(AND(ISNUMBER('Recalculados'!K6),ISNUMBER('Registrados'!K6)),ROUND(('Recalculados'!K6-'Registrados'!K6),8),IF(OR('Recalculados'!K6="NV",'Registrados'!K6="Sem registro"),"NV","N/A"))</x:f>
        <x:v>0</x:v>
      </x:c>
      <x:c r="L6" s="18" t="n">
        <x:f>IF(AND(ISNUMBER('Recalculados'!L6),ISNUMBER('Registrados'!L6)),ROUND(('Recalculados'!L6-'Registrados'!L6),8),IF(OR('Recalculados'!L6="NV",'Registrados'!L6="Sem registro"),"NV","N/A"))</x:f>
        <x:v>0</x:v>
      </x:c>
      <x:c r="M6" s="18" t="n">
        <x:f>IF(AND(ISNUMBER('Recalculados'!M6),ISNUMBER('Registrados'!M6)),ROUND(('Recalculados'!M6-'Registrados'!M6),8),IF(OR('Recalculados'!M6="NV",'Registrados'!M6="Sem registro"),"NV","N/A"))</x:f>
        <x:v>0</x:v>
      </x:c>
      <x:c r="N6" s="18" t="n">
        <x:f>IF(AND(ISNUMBER('Recalculados'!N6),ISNUMBER('Registrados'!N6)),ROUND(('Recalculados'!N6-'Registrados'!N6),8),IF(OR('Recalculados'!N6="NV",'Registrados'!N6="Sem registro"),"NV","N/A"))</x:f>
        <x:v>0</x:v>
      </x:c>
      <x:c r="O6" s="18" t="n">
        <x:f>IF(AND(ISNUMBER('Recalculados'!O6),ISNUMBER('Registrados'!O6)),ROUND(('Recalculados'!O6-'Registrados'!O6),8),IF(OR('Recalculados'!O6="NV",'Registrados'!O6="Sem registro"),"NV","N/A"))</x:f>
        <x:v>0</x:v>
      </x:c>
      <x:c r="P6" s="18" t="n">
        <x:f>IF(AND(ISNUMBER('Recalculados'!P6),ISNUMBER('Registrados'!P6)),ROUND(('Recalculados'!P6-'Registrados'!P6),8),IF(OR('Recalculados'!P6="NV",'Registrados'!P6="Sem registro"),"NV","N/A"))</x:f>
        <x:v>0</x:v>
      </x:c>
      <x:c r="Q6" s="18" t="n">
        <x:f>IF(AND(ISNUMBER('Recalculados'!Q6),ISNUMBER('Registrados'!Q6)),ROUND(('Recalculados'!Q6-'Registrados'!Q6),8),IF(OR('Recalculados'!Q6="NV",'Registrados'!Q6="Sem registro"),"NV","N/A"))</x:f>
        <x:v>0</x:v>
      </x:c>
      <x:c r="R6" s="18" t="n">
        <x:f>IF(AND(ISNUMBER('Recalculados'!R6),ISNUMBER('Registrados'!R6)),ROUND(('Recalculados'!R6-'Registrados'!R6),8),IF(OR('Recalculados'!R6="NV",'Registrados'!R6="Sem registro"),"NV","N/A"))</x:f>
        <x:v>0</x:v>
      </x:c>
      <x:c r="S6" s="18" t="n">
        <x:f>IF(AND(ISNUMBER('Recalculados'!S6),ISNUMBER('Registrados'!S6)),ROUND(('Recalculados'!S6-'Registrados'!S6),8),IF(OR('Recalculados'!S6="NV",'Registrados'!S6="Sem registro"),"NV","N/A"))</x:f>
        <x:v>0</x:v>
      </x:c>
      <x:c r="T6" s="24" t="str">
        <x:f>IF(AND(ISNUMBER('Recalculados'!T6),ISNUMBER('Registrados'!T6)),ROUND(('Recalculados'!T6-'Registrados'!T6)*100,8),IF(OR('Recalculados'!T6="NV",'Registrados'!T6="Sem registro"),"NV","N/A"))</x:f>
        <x:v>NV</x:v>
      </x:c>
      <x:c r="U6" s="18" t="n">
        <x:f>IF(AND(ISNUMBER('Recalculados'!U6),ISNUMBER('Registrados'!U6)),ROUND(('Recalculados'!U6-'Registrados'!U6),8),IF(OR('Recalculados'!U6="NV",'Registrados'!U6="Sem registro"),"NV","N/A"))</x:f>
        <x:v>0</x:v>
      </x:c>
      <x:c r="V6" s="24" t="n">
        <x:f>IF(AND(ISNUMBER('Recalculados'!V6),ISNUMBER('Registrados'!V6)),ROUND(('Recalculados'!V6-'Registrados'!V6)*100,8),IF(OR('Recalculados'!V6="NV",'Registrados'!V6="Sem registro"),"NV","N/A"))</x:f>
        <x:v>0</x:v>
      </x:c>
      <x:c r="W6" s="24" t="n">
        <x:f>IF(AND(ISNUMBER('Recalculados'!W6),ISNUMBER('Registrados'!W6)),ROUND(('Recalculados'!W6-'Registrados'!W6)*100,8),IF(OR('Recalculados'!W6="NV",'Registrados'!W6="Sem registro"),"NV","N/A"))</x:f>
        <x:v>0</x:v>
      </x:c>
      <x:c r="X6" s="18" t="n">
        <x:f>IF(AND(ISNUMBER('Recalculados'!X6),ISNUMBER('Registrados'!X6)),ROUND(('Recalculados'!X6-'Registrados'!X6),8),IF(OR('Recalculados'!X6="NV",'Registrados'!X6="Sem registro"),"NV","N/A"))</x:f>
        <x:v>0</x:v>
      </x:c>
      <x:c r="Y6" s="18" t="n">
        <x:f>IF(AND(ISNUMBER('Recalculados'!Y6),ISNUMBER('Registrados'!Y6)),ROUND(('Recalculados'!Y6-'Registrados'!Y6),8),IF(OR('Recalculados'!Y6="NV",'Registrados'!Y6="Sem registro"),"NV","N/A"))</x:f>
        <x:v>0</x:v>
      </x:c>
      <x:c r="Z6" s="18" t="n">
        <x:f>IF(AND(ISNUMBER('Recalculados'!Z6),ISNUMBER('Registrados'!Z6)),ROUND(('Recalculados'!Z6-'Registrados'!Z6),8),IF(OR('Recalculados'!Z6="NV",'Registrados'!Z6="Sem registro"),"NV","N/A"))</x:f>
        <x:v>0</x:v>
      </x:c>
      <x:c r="AA6" s="22" t="n">
        <x:f>IF(AND(ISNUMBER('Recalculados'!AA6),ISNUMBER('Registrados'!AA6)),ROUND(('Recalculados'!AA6-'Registrados'!AA6),8),IF(OR('Recalculados'!AA6="NV",'Registrados'!AA6="Sem registro"),"NV","N/A"))</x:f>
        <x:v>0</x:v>
      </x:c>
      <x:c r="AB6" s="22" t="n">
        <x:f>IF(AND(ISNUMBER('Recalculados'!AB6),ISNUMBER('Registrados'!AB6)),ROUND(('Recalculados'!AB6-'Registrados'!AB6),8),IF(OR('Recalculados'!AB6="NV",'Registrados'!AB6="Sem registro"),"NV","N/A"))</x:f>
        <x:v>0</x:v>
      </x:c>
      <x:c r="AC6" s="18" t="str">
        <x:f>IF(AND(ISNUMBER('Recalculados'!AC6),ISNUMBER('Registrados'!AC6)),ROUND(('Recalculados'!AC6-'Registrados'!AC6),8),IF(OR('Recalculados'!AC6="NV",'Registrados'!AC6="Sem registro"),"NV","N/A"))</x:f>
        <x:v>N/A</x:v>
      </x:c>
      <x:c r="AD6" s="11" t="str">
        <x:v>collected_code_6/deepseek-v4-pro/feedback-static-r0-t1.0-p0.5</x:v>
      </x:c>
      <x:c r="AE6" s="12"/>
    </x:row>
    <x:row r="7" ht="40" customHeight="1">
      <x:c r="A7" s="2"/>
      <x:c r="B7" s="9" t="str">
        <x:v>deepseek-v4-pro</x:v>
      </x:c>
      <x:c r="C7" s="8" t="str">
        <x:v>feedback-static-r0-t1.0-p1.0</x:v>
      </x:c>
      <x:c r="D7" s="18" t="n">
        <x:f>IF(AND(ISNUMBER('Recalculados'!D7),ISNUMBER('Registrados'!D7)),ROUND(('Recalculados'!D7-'Registrados'!D7),8),IF(OR('Recalculados'!D7="NV",'Registrados'!D7="Sem registro"),"NV","N/A"))</x:f>
        <x:v>0</x:v>
      </x:c>
      <x:c r="E7" s="24" t="str">
        <x:f>IF(AND(ISNUMBER('Recalculados'!E7),ISNUMBER('Registrados'!E7)),ROUND(('Recalculados'!E7-'Registrados'!E7)*100,8),IF(OR('Recalculados'!E7="NV",'Registrados'!E7="Sem registro"),"NV","N/A"))</x:f>
        <x:v>NV</x:v>
      </x:c>
      <x:c r="F7" s="18" t="n">
        <x:f>IF(AND(ISNUMBER('Recalculados'!F7),ISNUMBER('Registrados'!F7)),ROUND(('Recalculados'!F7-'Registrados'!F7),8),IF(OR('Recalculados'!F7="NV",'Registrados'!F7="Sem registro"),"NV","N/A"))</x:f>
        <x:v>0</x:v>
      </x:c>
      <x:c r="G7" s="18" t="n">
        <x:f>IF(AND(ISNUMBER('Recalculados'!G7),ISNUMBER('Registrados'!G7)),ROUND(('Recalculados'!G7-'Registrados'!G7),8),IF(OR('Recalculados'!G7="NV",'Registrados'!G7="Sem registro"),"NV","N/A"))</x:f>
        <x:v>0</x:v>
      </x:c>
      <x:c r="H7" s="24" t="n">
        <x:f>IF(AND(ISNUMBER('Recalculados'!H7),ISNUMBER('Registrados'!H7)),ROUND(('Recalculados'!H7-'Registrados'!H7)*100,8),IF(OR('Recalculados'!H7="NV",'Registrados'!H7="Sem registro"),"NV","N/A"))</x:f>
        <x:v>0</x:v>
      </x:c>
      <x:c r="I7" s="18" t="str">
        <x:f>IF(AND(ISNUMBER('Recalculados'!I7),ISNUMBER('Registrados'!I7)),ROUND(('Recalculados'!I7-'Registrados'!I7),8),IF(OR('Recalculados'!I7="NV",'Registrados'!I7="Sem registro"),"NV","N/A"))</x:f>
        <x:v>NV</x:v>
      </x:c>
      <x:c r="J7" s="18" t="n">
        <x:f>IF(AND(ISNUMBER('Recalculados'!J7),ISNUMBER('Registrados'!J7)),ROUND(('Recalculados'!J7-'Registrados'!J7),8),IF(OR('Recalculados'!J7="NV",'Registrados'!J7="Sem registro"),"NV","N/A"))</x:f>
        <x:v>0</x:v>
      </x:c>
      <x:c r="K7" s="18" t="n">
        <x:f>IF(AND(ISNUMBER('Recalculados'!K7),ISNUMBER('Registrados'!K7)),ROUND(('Recalculados'!K7-'Registrados'!K7),8),IF(OR('Recalculados'!K7="NV",'Registrados'!K7="Sem registro"),"NV","N/A"))</x:f>
        <x:v>0</x:v>
      </x:c>
      <x:c r="L7" s="18" t="n">
        <x:f>IF(AND(ISNUMBER('Recalculados'!L7),ISNUMBER('Registrados'!L7)),ROUND(('Recalculados'!L7-'Registrados'!L7),8),IF(OR('Recalculados'!L7="NV",'Registrados'!L7="Sem registro"),"NV","N/A"))</x:f>
        <x:v>0</x:v>
      </x:c>
      <x:c r="M7" s="18" t="n">
        <x:f>IF(AND(ISNUMBER('Recalculados'!M7),ISNUMBER('Registrados'!M7)),ROUND(('Recalculados'!M7-'Registrados'!M7),8),IF(OR('Recalculados'!M7="NV",'Registrados'!M7="Sem registro"),"NV","N/A"))</x:f>
        <x:v>0</x:v>
      </x:c>
      <x:c r="N7" s="18" t="n">
        <x:f>IF(AND(ISNUMBER('Recalculados'!N7),ISNUMBER('Registrados'!N7)),ROUND(('Recalculados'!N7-'Registrados'!N7),8),IF(OR('Recalculados'!N7="NV",'Registrados'!N7="Sem registro"),"NV","N/A"))</x:f>
        <x:v>0</x:v>
      </x:c>
      <x:c r="O7" s="18" t="n">
        <x:f>IF(AND(ISNUMBER('Recalculados'!O7),ISNUMBER('Registrados'!O7)),ROUND(('Recalculados'!O7-'Registrados'!O7),8),IF(OR('Recalculados'!O7="NV",'Registrados'!O7="Sem registro"),"NV","N/A"))</x:f>
        <x:v>0</x:v>
      </x:c>
      <x:c r="P7" s="18" t="n">
        <x:f>IF(AND(ISNUMBER('Recalculados'!P7),ISNUMBER('Registrados'!P7)),ROUND(('Recalculados'!P7-'Registrados'!P7),8),IF(OR('Recalculados'!P7="NV",'Registrados'!P7="Sem registro"),"NV","N/A"))</x:f>
        <x:v>0</x:v>
      </x:c>
      <x:c r="Q7" s="18" t="n">
        <x:f>IF(AND(ISNUMBER('Recalculados'!Q7),ISNUMBER('Registrados'!Q7)),ROUND(('Recalculados'!Q7-'Registrados'!Q7),8),IF(OR('Recalculados'!Q7="NV",'Registrados'!Q7="Sem registro"),"NV","N/A"))</x:f>
        <x:v>0</x:v>
      </x:c>
      <x:c r="R7" s="18" t="n">
        <x:f>IF(AND(ISNUMBER('Recalculados'!R7),ISNUMBER('Registrados'!R7)),ROUND(('Recalculados'!R7-'Registrados'!R7),8),IF(OR('Recalculados'!R7="NV",'Registrados'!R7="Sem registro"),"NV","N/A"))</x:f>
        <x:v>0</x:v>
      </x:c>
      <x:c r="S7" s="18" t="n">
        <x:f>IF(AND(ISNUMBER('Recalculados'!S7),ISNUMBER('Registrados'!S7)),ROUND(('Recalculados'!S7-'Registrados'!S7),8),IF(OR('Recalculados'!S7="NV",'Registrados'!S7="Sem registro"),"NV","N/A"))</x:f>
        <x:v>0</x:v>
      </x:c>
      <x:c r="T7" s="24" t="str">
        <x:f>IF(AND(ISNUMBER('Recalculados'!T7),ISNUMBER('Registrados'!T7)),ROUND(('Recalculados'!T7-'Registrados'!T7)*100,8),IF(OR('Recalculados'!T7="NV",'Registrados'!T7="Sem registro"),"NV","N/A"))</x:f>
        <x:v>NV</x:v>
      </x:c>
      <x:c r="U7" s="18" t="n">
        <x:f>IF(AND(ISNUMBER('Recalculados'!U7),ISNUMBER('Registrados'!U7)),ROUND(('Recalculados'!U7-'Registrados'!U7),8),IF(OR('Recalculados'!U7="NV",'Registrados'!U7="Sem registro"),"NV","N/A"))</x:f>
        <x:v>0</x:v>
      </x:c>
      <x:c r="V7" s="24" t="n">
        <x:f>IF(AND(ISNUMBER('Recalculados'!V7),ISNUMBER('Registrados'!V7)),ROUND(('Recalculados'!V7-'Registrados'!V7)*100,8),IF(OR('Recalculados'!V7="NV",'Registrados'!V7="Sem registro"),"NV","N/A"))</x:f>
        <x:v>0</x:v>
      </x:c>
      <x:c r="W7" s="24" t="n">
        <x:f>IF(AND(ISNUMBER('Recalculados'!W7),ISNUMBER('Registrados'!W7)),ROUND(('Recalculados'!W7-'Registrados'!W7)*100,8),IF(OR('Recalculados'!W7="NV",'Registrados'!W7="Sem registro"),"NV","N/A"))</x:f>
        <x:v>0</x:v>
      </x:c>
      <x:c r="X7" s="18" t="n">
        <x:f>IF(AND(ISNUMBER('Recalculados'!X7),ISNUMBER('Registrados'!X7)),ROUND(('Recalculados'!X7-'Registrados'!X7),8),IF(OR('Recalculados'!X7="NV",'Registrados'!X7="Sem registro"),"NV","N/A"))</x:f>
        <x:v>0</x:v>
      </x:c>
      <x:c r="Y7" s="18" t="n">
        <x:f>IF(AND(ISNUMBER('Recalculados'!Y7),ISNUMBER('Registrados'!Y7)),ROUND(('Recalculados'!Y7-'Registrados'!Y7),8),IF(OR('Recalculados'!Y7="NV",'Registrados'!Y7="Sem registro"),"NV","N/A"))</x:f>
        <x:v>0</x:v>
      </x:c>
      <x:c r="Z7" s="18" t="n">
        <x:f>IF(AND(ISNUMBER('Recalculados'!Z7),ISNUMBER('Registrados'!Z7)),ROUND(('Recalculados'!Z7-'Registrados'!Z7),8),IF(OR('Recalculados'!Z7="NV",'Registrados'!Z7="Sem registro"),"NV","N/A"))</x:f>
        <x:v>0</x:v>
      </x:c>
      <x:c r="AA7" s="22" t="n">
        <x:f>IF(AND(ISNUMBER('Recalculados'!AA7),ISNUMBER('Registrados'!AA7)),ROUND(('Recalculados'!AA7-'Registrados'!AA7),8),IF(OR('Recalculados'!AA7="NV",'Registrados'!AA7="Sem registro"),"NV","N/A"))</x:f>
        <x:v>0</x:v>
      </x:c>
      <x:c r="AB7" s="22" t="n">
        <x:f>IF(AND(ISNUMBER('Recalculados'!AB7),ISNUMBER('Registrados'!AB7)),ROUND(('Recalculados'!AB7-'Registrados'!AB7),8),IF(OR('Recalculados'!AB7="NV",'Registrados'!AB7="Sem registro"),"NV","N/A"))</x:f>
        <x:v>0</x:v>
      </x:c>
      <x:c r="AC7" s="18" t="str">
        <x:f>IF(AND(ISNUMBER('Recalculados'!AC7),ISNUMBER('Registrados'!AC7)),ROUND(('Recalculados'!AC7-'Registrados'!AC7),8),IF(OR('Recalculados'!AC7="NV",'Registrados'!AC7="Sem registro"),"NV","N/A"))</x:f>
        <x:v>N/A</x:v>
      </x:c>
      <x:c r="AD7" s="11" t="str">
        <x:v>collected_code_6/deepseek-v4-pro/feedback-static-r0-t1.0-p1.0</x:v>
      </x:c>
      <x:c r="AE7" s="12"/>
    </x:row>
    <x:row r="8" ht="40" customHeight="1">
      <x:c r="A8" s="2"/>
      <x:c r="B8" s="9" t="str">
        <x:v>deepseek-v4-pro</x:v>
      </x:c>
      <x:c r="C8" s="8" t="str">
        <x:v>feedback-static+dynamic-r0-t0.2-p1.0</x:v>
      </x:c>
      <x:c r="D8" s="18" t="str">
        <x:f>IF(AND(ISNUMBER('Recalculados'!D8),ISNUMBER('Registrados'!D8)),ROUND(('Recalculados'!D8-'Registrados'!D8),8),IF(OR('Recalculados'!D8="NV",'Registrados'!D8="Sem registro"),"NV","N/A"))</x:f>
        <x:v>NV</x:v>
      </x:c>
      <x:c r="E8" s="24" t="str">
        <x:f>IF(AND(ISNUMBER('Recalculados'!E8),ISNUMBER('Registrados'!E8)),ROUND(('Recalculados'!E8-'Registrados'!E8)*100,8),IF(OR('Recalculados'!E8="NV",'Registrados'!E8="Sem registro"),"NV","N/A"))</x:f>
        <x:v>NV</x:v>
      </x:c>
      <x:c r="F8" s="18" t="str">
        <x:f>IF(AND(ISNUMBER('Recalculados'!F8),ISNUMBER('Registrados'!F8)),ROUND(('Recalculados'!F8-'Registrados'!F8),8),IF(OR('Recalculados'!F8="NV",'Registrados'!F8="Sem registro"),"NV","N/A"))</x:f>
        <x:v>NV</x:v>
      </x:c>
      <x:c r="G8" s="18" t="str">
        <x:f>IF(AND(ISNUMBER('Recalculados'!G8),ISNUMBER('Registrados'!G8)),ROUND(('Recalculados'!G8-'Registrados'!G8),8),IF(OR('Recalculados'!G8="NV",'Registrados'!G8="Sem registro"),"NV","N/A"))</x:f>
        <x:v>NV</x:v>
      </x:c>
      <x:c r="H8" s="24" t="str">
        <x:f>IF(AND(ISNUMBER('Recalculados'!H8),ISNUMBER('Registrados'!H8)),ROUND(('Recalculados'!H8-'Registrados'!H8)*100,8),IF(OR('Recalculados'!H8="NV",'Registrados'!H8="Sem registro"),"NV","N/A"))</x:f>
        <x:v>NV</x:v>
      </x:c>
      <x:c r="I8" s="18" t="str">
        <x:f>IF(AND(ISNUMBER('Recalculados'!I8),ISNUMBER('Registrados'!I8)),ROUND(('Recalculados'!I8-'Registrados'!I8),8),IF(OR('Recalculados'!I8="NV",'Registrados'!I8="Sem registro"),"NV","N/A"))</x:f>
        <x:v>NV</x:v>
      </x:c>
      <x:c r="J8" s="18" t="str">
        <x:f>IF(AND(ISNUMBER('Recalculados'!J8),ISNUMBER('Registrados'!J8)),ROUND(('Recalculados'!J8-'Registrados'!J8),8),IF(OR('Recalculados'!J8="NV",'Registrados'!J8="Sem registro"),"NV","N/A"))</x:f>
        <x:v>NV</x:v>
      </x:c>
      <x:c r="K8" s="18" t="str">
        <x:f>IF(AND(ISNUMBER('Recalculados'!K8),ISNUMBER('Registrados'!K8)),ROUND(('Recalculados'!K8-'Registrados'!K8),8),IF(OR('Recalculados'!K8="NV",'Registrados'!K8="Sem registro"),"NV","N/A"))</x:f>
        <x:v>NV</x:v>
      </x:c>
      <x:c r="L8" s="18" t="str">
        <x:f>IF(AND(ISNUMBER('Recalculados'!L8),ISNUMBER('Registrados'!L8)),ROUND(('Recalculados'!L8-'Registrados'!L8),8),IF(OR('Recalculados'!L8="NV",'Registrados'!L8="Sem registro"),"NV","N/A"))</x:f>
        <x:v>NV</x:v>
      </x:c>
      <x:c r="M8" s="18" t="str">
        <x:f>IF(AND(ISNUMBER('Recalculados'!M8),ISNUMBER('Registrados'!M8)),ROUND(('Recalculados'!M8-'Registrados'!M8),8),IF(OR('Recalculados'!M8="NV",'Registrados'!M8="Sem registro"),"NV","N/A"))</x:f>
        <x:v>NV</x:v>
      </x:c>
      <x:c r="N8" s="18" t="str">
        <x:f>IF(AND(ISNUMBER('Recalculados'!N8),ISNUMBER('Registrados'!N8)),ROUND(('Recalculados'!N8-'Registrados'!N8),8),IF(OR('Recalculados'!N8="NV",'Registrados'!N8="Sem registro"),"NV","N/A"))</x:f>
        <x:v>NV</x:v>
      </x:c>
      <x:c r="O8" s="18" t="str">
        <x:f>IF(AND(ISNUMBER('Recalculados'!O8),ISNUMBER('Registrados'!O8)),ROUND(('Recalculados'!O8-'Registrados'!O8),8),IF(OR('Recalculados'!O8="NV",'Registrados'!O8="Sem registro"),"NV","N/A"))</x:f>
        <x:v>NV</x:v>
      </x:c>
      <x:c r="P8" s="18" t="str">
        <x:f>IF(AND(ISNUMBER('Recalculados'!P8),ISNUMBER('Registrados'!P8)),ROUND(('Recalculados'!P8-'Registrados'!P8),8),IF(OR('Recalculados'!P8="NV",'Registrados'!P8="Sem registro"),"NV","N/A"))</x:f>
        <x:v>NV</x:v>
      </x:c>
      <x:c r="Q8" s="18" t="str">
        <x:f>IF(AND(ISNUMBER('Recalculados'!Q8),ISNUMBER('Registrados'!Q8)),ROUND(('Recalculados'!Q8-'Registrados'!Q8),8),IF(OR('Recalculados'!Q8="NV",'Registrados'!Q8="Sem registro"),"NV","N/A"))</x:f>
        <x:v>NV</x:v>
      </x:c>
      <x:c r="R8" s="18" t="str">
        <x:f>IF(AND(ISNUMBER('Recalculados'!R8),ISNUMBER('Registrados'!R8)),ROUND(('Recalculados'!R8-'Registrados'!R8),8),IF(OR('Recalculados'!R8="NV",'Registrados'!R8="Sem registro"),"NV","N/A"))</x:f>
        <x:v>NV</x:v>
      </x:c>
      <x:c r="S8" s="18" t="str">
        <x:f>IF(AND(ISNUMBER('Recalculados'!S8),ISNUMBER('Registrados'!S8)),ROUND(('Recalculados'!S8-'Registrados'!S8),8),IF(OR('Recalculados'!S8="NV",'Registrados'!S8="Sem registro"),"NV","N/A"))</x:f>
        <x:v>NV</x:v>
      </x:c>
      <x:c r="T8" s="24" t="str">
        <x:f>IF(AND(ISNUMBER('Recalculados'!T8),ISNUMBER('Registrados'!T8)),ROUND(('Recalculados'!T8-'Registrados'!T8)*100,8),IF(OR('Recalculados'!T8="NV",'Registrados'!T8="Sem registro"),"NV","N/A"))</x:f>
        <x:v>NV</x:v>
      </x:c>
      <x:c r="U8" s="18" t="str">
        <x:f>IF(AND(ISNUMBER('Recalculados'!U8),ISNUMBER('Registrados'!U8)),ROUND(('Recalculados'!U8-'Registrados'!U8),8),IF(OR('Recalculados'!U8="NV",'Registrados'!U8="Sem registro"),"NV","N/A"))</x:f>
        <x:v>NV</x:v>
      </x:c>
      <x:c r="V8" s="24" t="str">
        <x:f>IF(AND(ISNUMBER('Recalculados'!V8),ISNUMBER('Registrados'!V8)),ROUND(('Recalculados'!V8-'Registrados'!V8)*100,8),IF(OR('Recalculados'!V8="NV",'Registrados'!V8="Sem registro"),"NV","N/A"))</x:f>
        <x:v>NV</x:v>
      </x:c>
      <x:c r="W8" s="24" t="str">
        <x:f>IF(AND(ISNUMBER('Recalculados'!W8),ISNUMBER('Registrados'!W8)),ROUND(('Recalculados'!W8-'Registrados'!W8)*100,8),IF(OR('Recalculados'!W8="NV",'Registrados'!W8="Sem registro"),"NV","N/A"))</x:f>
        <x:v>NV</x:v>
      </x:c>
      <x:c r="X8" s="18" t="str">
        <x:f>IF(AND(ISNUMBER('Recalculados'!X8),ISNUMBER('Registrados'!X8)),ROUND(('Recalculados'!X8-'Registrados'!X8),8),IF(OR('Recalculados'!X8="NV",'Registrados'!X8="Sem registro"),"NV","N/A"))</x:f>
        <x:v>NV</x:v>
      </x:c>
      <x:c r="Y8" s="18" t="str">
        <x:f>IF(AND(ISNUMBER('Recalculados'!Y8),ISNUMBER('Registrados'!Y8)),ROUND(('Recalculados'!Y8-'Registrados'!Y8),8),IF(OR('Recalculados'!Y8="NV",'Registrados'!Y8="Sem registro"),"NV","N/A"))</x:f>
        <x:v>NV</x:v>
      </x:c>
      <x:c r="Z8" s="18" t="str">
        <x:f>IF(AND(ISNUMBER('Recalculados'!Z8),ISNUMBER('Registrados'!Z8)),ROUND(('Recalculados'!Z8-'Registrados'!Z8),8),IF(OR('Recalculados'!Z8="NV",'Registrados'!Z8="Sem registro"),"NV","N/A"))</x:f>
        <x:v>NV</x:v>
      </x:c>
      <x:c r="AA8" s="22" t="str">
        <x:f>IF(AND(ISNUMBER('Recalculados'!AA8),ISNUMBER('Registrados'!AA8)),ROUND(('Recalculados'!AA8-'Registrados'!AA8),8),IF(OR('Recalculados'!AA8="NV",'Registrados'!AA8="Sem registro"),"NV","N/A"))</x:f>
        <x:v>NV</x:v>
      </x:c>
      <x:c r="AB8" s="22" t="str">
        <x:f>IF(AND(ISNUMBER('Recalculados'!AB8),ISNUMBER('Registrados'!AB8)),ROUND(('Recalculados'!AB8-'Registrados'!AB8),8),IF(OR('Recalculados'!AB8="NV",'Registrados'!AB8="Sem registro"),"NV","N/A"))</x:f>
        <x:v>NV</x:v>
      </x:c>
      <x:c r="AC8" s="18" t="str">
        <x:f>IF(AND(ISNUMBER('Recalculados'!AC8),ISNUMBER('Registrados'!AC8)),ROUND(('Recalculados'!AC8-'Registrados'!AC8),8),IF(OR('Recalculados'!AC8="NV",'Registrados'!AC8="Sem registro"),"NV","N/A"))</x:f>
        <x:v>NV</x:v>
      </x:c>
      <x:c r="AD8" s="11" t="str">
        <x:v>collected_code_6/deepseek-v4-pro/feedback-static+dynamic-r0-t0.2-p1.0</x:v>
      </x:c>
      <x:c r="AE8" s="12"/>
    </x:row>
    <x:row r="9" ht="40" customHeight="1">
      <x:c r="A9" s="2"/>
      <x:c r="B9" s="9" t="str">
        <x:v>deepseek-v4-pro</x:v>
      </x:c>
      <x:c r="C9" s="8" t="str">
        <x:v>feedback-static+dynamic-r0-t1.0-p0.5</x:v>
      </x:c>
      <x:c r="D9" s="18" t="str">
        <x:f>IF(AND(ISNUMBER('Recalculados'!D9),ISNUMBER('Registrados'!D9)),ROUND(('Recalculados'!D9-'Registrados'!D9),8),IF(OR('Recalculados'!D9="NV",'Registrados'!D9="Sem registro"),"NV","N/A"))</x:f>
        <x:v>NV</x:v>
      </x:c>
      <x:c r="E9" s="24" t="str">
        <x:f>IF(AND(ISNUMBER('Recalculados'!E9),ISNUMBER('Registrados'!E9)),ROUND(('Recalculados'!E9-'Registrados'!E9)*100,8),IF(OR('Recalculados'!E9="NV",'Registrados'!E9="Sem registro"),"NV","N/A"))</x:f>
        <x:v>NV</x:v>
      </x:c>
      <x:c r="F9" s="18" t="str">
        <x:f>IF(AND(ISNUMBER('Recalculados'!F9),ISNUMBER('Registrados'!F9)),ROUND(('Recalculados'!F9-'Registrados'!F9),8),IF(OR('Recalculados'!F9="NV",'Registrados'!F9="Sem registro"),"NV","N/A"))</x:f>
        <x:v>NV</x:v>
      </x:c>
      <x:c r="G9" s="18" t="str">
        <x:f>IF(AND(ISNUMBER('Recalculados'!G9),ISNUMBER('Registrados'!G9)),ROUND(('Recalculados'!G9-'Registrados'!G9),8),IF(OR('Recalculados'!G9="NV",'Registrados'!G9="Sem registro"),"NV","N/A"))</x:f>
        <x:v>NV</x:v>
      </x:c>
      <x:c r="H9" s="24" t="str">
        <x:f>IF(AND(ISNUMBER('Recalculados'!H9),ISNUMBER('Registrados'!H9)),ROUND(('Recalculados'!H9-'Registrados'!H9)*100,8),IF(OR('Recalculados'!H9="NV",'Registrados'!H9="Sem registro"),"NV","N/A"))</x:f>
        <x:v>NV</x:v>
      </x:c>
      <x:c r="I9" s="18" t="str">
        <x:f>IF(AND(ISNUMBER('Recalculados'!I9),ISNUMBER('Registrados'!I9)),ROUND(('Recalculados'!I9-'Registrados'!I9),8),IF(OR('Recalculados'!I9="NV",'Registrados'!I9="Sem registro"),"NV","N/A"))</x:f>
        <x:v>NV</x:v>
      </x:c>
      <x:c r="J9" s="18" t="str">
        <x:f>IF(AND(ISNUMBER('Recalculados'!J9),ISNUMBER('Registrados'!J9)),ROUND(('Recalculados'!J9-'Registrados'!J9),8),IF(OR('Recalculados'!J9="NV",'Registrados'!J9="Sem registro"),"NV","N/A"))</x:f>
        <x:v>NV</x:v>
      </x:c>
      <x:c r="K9" s="18" t="str">
        <x:f>IF(AND(ISNUMBER('Recalculados'!K9),ISNUMBER('Registrados'!K9)),ROUND(('Recalculados'!K9-'Registrados'!K9),8),IF(OR('Recalculados'!K9="NV",'Registrados'!K9="Sem registro"),"NV","N/A"))</x:f>
        <x:v>NV</x:v>
      </x:c>
      <x:c r="L9" s="18" t="str">
        <x:f>IF(AND(ISNUMBER('Recalculados'!L9),ISNUMBER('Registrados'!L9)),ROUND(('Recalculados'!L9-'Registrados'!L9),8),IF(OR('Recalculados'!L9="NV",'Registrados'!L9="Sem registro"),"NV","N/A"))</x:f>
        <x:v>NV</x:v>
      </x:c>
      <x:c r="M9" s="18" t="str">
        <x:f>IF(AND(ISNUMBER('Recalculados'!M9),ISNUMBER('Registrados'!M9)),ROUND(('Recalculados'!M9-'Registrados'!M9),8),IF(OR('Recalculados'!M9="NV",'Registrados'!M9="Sem registro"),"NV","N/A"))</x:f>
        <x:v>NV</x:v>
      </x:c>
      <x:c r="N9" s="18" t="str">
        <x:f>IF(AND(ISNUMBER('Recalculados'!N9),ISNUMBER('Registrados'!N9)),ROUND(('Recalculados'!N9-'Registrados'!N9),8),IF(OR('Recalculados'!N9="NV",'Registrados'!N9="Sem registro"),"NV","N/A"))</x:f>
        <x:v>NV</x:v>
      </x:c>
      <x:c r="O9" s="18" t="str">
        <x:f>IF(AND(ISNUMBER('Recalculados'!O9),ISNUMBER('Registrados'!O9)),ROUND(('Recalculados'!O9-'Registrados'!O9),8),IF(OR('Recalculados'!O9="NV",'Registrados'!O9="Sem registro"),"NV","N/A"))</x:f>
        <x:v>NV</x:v>
      </x:c>
      <x:c r="P9" s="18" t="str">
        <x:f>IF(AND(ISNUMBER('Recalculados'!P9),ISNUMBER('Registrados'!P9)),ROUND(('Recalculados'!P9-'Registrados'!P9),8),IF(OR('Recalculados'!P9="NV",'Registrados'!P9="Sem registro"),"NV","N/A"))</x:f>
        <x:v>NV</x:v>
      </x:c>
      <x:c r="Q9" s="18" t="str">
        <x:f>IF(AND(ISNUMBER('Recalculados'!Q9),ISNUMBER('Registrados'!Q9)),ROUND(('Recalculados'!Q9-'Registrados'!Q9),8),IF(OR('Recalculados'!Q9="NV",'Registrados'!Q9="Sem registro"),"NV","N/A"))</x:f>
        <x:v>NV</x:v>
      </x:c>
      <x:c r="R9" s="18" t="str">
        <x:f>IF(AND(ISNUMBER('Recalculados'!R9),ISNUMBER('Registrados'!R9)),ROUND(('Recalculados'!R9-'Registrados'!R9),8),IF(OR('Recalculados'!R9="NV",'Registrados'!R9="Sem registro"),"NV","N/A"))</x:f>
        <x:v>NV</x:v>
      </x:c>
      <x:c r="S9" s="18" t="str">
        <x:f>IF(AND(ISNUMBER('Recalculados'!S9),ISNUMBER('Registrados'!S9)),ROUND(('Recalculados'!S9-'Registrados'!S9),8),IF(OR('Recalculados'!S9="NV",'Registrados'!S9="Sem registro"),"NV","N/A"))</x:f>
        <x:v>NV</x:v>
      </x:c>
      <x:c r="T9" s="24" t="str">
        <x:f>IF(AND(ISNUMBER('Recalculados'!T9),ISNUMBER('Registrados'!T9)),ROUND(('Recalculados'!T9-'Registrados'!T9)*100,8),IF(OR('Recalculados'!T9="NV",'Registrados'!T9="Sem registro"),"NV","N/A"))</x:f>
        <x:v>NV</x:v>
      </x:c>
      <x:c r="U9" s="18" t="str">
        <x:f>IF(AND(ISNUMBER('Recalculados'!U9),ISNUMBER('Registrados'!U9)),ROUND(('Recalculados'!U9-'Registrados'!U9),8),IF(OR('Recalculados'!U9="NV",'Registrados'!U9="Sem registro"),"NV","N/A"))</x:f>
        <x:v>NV</x:v>
      </x:c>
      <x:c r="V9" s="24" t="str">
        <x:f>IF(AND(ISNUMBER('Recalculados'!V9),ISNUMBER('Registrados'!V9)),ROUND(('Recalculados'!V9-'Registrados'!V9)*100,8),IF(OR('Recalculados'!V9="NV",'Registrados'!V9="Sem registro"),"NV","N/A"))</x:f>
        <x:v>NV</x:v>
      </x:c>
      <x:c r="W9" s="24" t="str">
        <x:f>IF(AND(ISNUMBER('Recalculados'!W9),ISNUMBER('Registrados'!W9)),ROUND(('Recalculados'!W9-'Registrados'!W9)*100,8),IF(OR('Recalculados'!W9="NV",'Registrados'!W9="Sem registro"),"NV","N/A"))</x:f>
        <x:v>NV</x:v>
      </x:c>
      <x:c r="X9" s="18" t="str">
        <x:f>IF(AND(ISNUMBER('Recalculados'!X9),ISNUMBER('Registrados'!X9)),ROUND(('Recalculados'!X9-'Registrados'!X9),8),IF(OR('Recalculados'!X9="NV",'Registrados'!X9="Sem registro"),"NV","N/A"))</x:f>
        <x:v>NV</x:v>
      </x:c>
      <x:c r="Y9" s="18" t="str">
        <x:f>IF(AND(ISNUMBER('Recalculados'!Y9),ISNUMBER('Registrados'!Y9)),ROUND(('Recalculados'!Y9-'Registrados'!Y9),8),IF(OR('Recalculados'!Y9="NV",'Registrados'!Y9="Sem registro"),"NV","N/A"))</x:f>
        <x:v>NV</x:v>
      </x:c>
      <x:c r="Z9" s="18" t="str">
        <x:f>IF(AND(ISNUMBER('Recalculados'!Z9),ISNUMBER('Registrados'!Z9)),ROUND(('Recalculados'!Z9-'Registrados'!Z9),8),IF(OR('Recalculados'!Z9="NV",'Registrados'!Z9="Sem registro"),"NV","N/A"))</x:f>
        <x:v>NV</x:v>
      </x:c>
      <x:c r="AA9" s="22" t="str">
        <x:f>IF(AND(ISNUMBER('Recalculados'!AA9),ISNUMBER('Registrados'!AA9)),ROUND(('Recalculados'!AA9-'Registrados'!AA9),8),IF(OR('Recalculados'!AA9="NV",'Registrados'!AA9="Sem registro"),"NV","N/A"))</x:f>
        <x:v>NV</x:v>
      </x:c>
      <x:c r="AB9" s="22" t="str">
        <x:f>IF(AND(ISNUMBER('Recalculados'!AB9),ISNUMBER('Registrados'!AB9)),ROUND(('Recalculados'!AB9-'Registrados'!AB9),8),IF(OR('Recalculados'!AB9="NV",'Registrados'!AB9="Sem registro"),"NV","N/A"))</x:f>
        <x:v>NV</x:v>
      </x:c>
      <x:c r="AC9" s="18" t="str">
        <x:f>IF(AND(ISNUMBER('Recalculados'!AC9),ISNUMBER('Registrados'!AC9)),ROUND(('Recalculados'!AC9-'Registrados'!AC9),8),IF(OR('Recalculados'!AC9="NV",'Registrados'!AC9="Sem registro"),"NV","N/A"))</x:f>
        <x:v>NV</x:v>
      </x:c>
      <x:c r="AD9" s="11" t="str">
        <x:v>collected_code_6/deepseek-v4-pro/feedback-static+dynamic-r0-t1.0-p0.5</x:v>
      </x:c>
      <x:c r="AE9" s="12"/>
    </x:row>
    <x:row r="10" ht="40" customHeight="1">
      <x:c r="A10" s="2"/>
      <x:c r="B10" s="9" t="str">
        <x:v>deepseek-v4-pro</x:v>
      </x:c>
      <x:c r="C10" s="8" t="str">
        <x:v>feedback-static+dynamic-r0-t1.0-p1.0</x:v>
      </x:c>
      <x:c r="D10" s="18" t="str">
        <x:f>IF(AND(ISNUMBER('Recalculados'!D10),ISNUMBER('Registrados'!D10)),ROUND(('Recalculados'!D10-'Registrados'!D10),8),IF(OR('Recalculados'!D10="NV",'Registrados'!D10="Sem registro"),"NV","N/A"))</x:f>
        <x:v>NV</x:v>
      </x:c>
      <x:c r="E10" s="24" t="str">
        <x:f>IF(AND(ISNUMBER('Recalculados'!E10),ISNUMBER('Registrados'!E10)),ROUND(('Recalculados'!E10-'Registrados'!E10)*100,8),IF(OR('Recalculados'!E10="NV",'Registrados'!E10="Sem registro"),"NV","N/A"))</x:f>
        <x:v>NV</x:v>
      </x:c>
      <x:c r="F10" s="18" t="str">
        <x:f>IF(AND(ISNUMBER('Recalculados'!F10),ISNUMBER('Registrados'!F10)),ROUND(('Recalculados'!F10-'Registrados'!F10),8),IF(OR('Recalculados'!F10="NV",'Registrados'!F10="Sem registro"),"NV","N/A"))</x:f>
        <x:v>NV</x:v>
      </x:c>
      <x:c r="G10" s="18" t="str">
        <x:f>IF(AND(ISNUMBER('Recalculados'!G10),ISNUMBER('Registrados'!G10)),ROUND(('Recalculados'!G10-'Registrados'!G10),8),IF(OR('Recalculados'!G10="NV",'Registrados'!G10="Sem registro"),"NV","N/A"))</x:f>
        <x:v>NV</x:v>
      </x:c>
      <x:c r="H10" s="24" t="str">
        <x:f>IF(AND(ISNUMBER('Recalculados'!H10),ISNUMBER('Registrados'!H10)),ROUND(('Recalculados'!H10-'Registrados'!H10)*100,8),IF(OR('Recalculados'!H10="NV",'Registrados'!H10="Sem registro"),"NV","N/A"))</x:f>
        <x:v>NV</x:v>
      </x:c>
      <x:c r="I10" s="18" t="str">
        <x:f>IF(AND(ISNUMBER('Recalculados'!I10),ISNUMBER('Registrados'!I10)),ROUND(('Recalculados'!I10-'Registrados'!I10),8),IF(OR('Recalculados'!I10="NV",'Registrados'!I10="Sem registro"),"NV","N/A"))</x:f>
        <x:v>NV</x:v>
      </x:c>
      <x:c r="J10" s="18" t="str">
        <x:f>IF(AND(ISNUMBER('Recalculados'!J10),ISNUMBER('Registrados'!J10)),ROUND(('Recalculados'!J10-'Registrados'!J10),8),IF(OR('Recalculados'!J10="NV",'Registrados'!J10="Sem registro"),"NV","N/A"))</x:f>
        <x:v>NV</x:v>
      </x:c>
      <x:c r="K10" s="18" t="str">
        <x:f>IF(AND(ISNUMBER('Recalculados'!K10),ISNUMBER('Registrados'!K10)),ROUND(('Recalculados'!K10-'Registrados'!K10),8),IF(OR('Recalculados'!K10="NV",'Registrados'!K10="Sem registro"),"NV","N/A"))</x:f>
        <x:v>NV</x:v>
      </x:c>
      <x:c r="L10" s="18" t="str">
        <x:f>IF(AND(ISNUMBER('Recalculados'!L10),ISNUMBER('Registrados'!L10)),ROUND(('Recalculados'!L10-'Registrados'!L10),8),IF(OR('Recalculados'!L10="NV",'Registrados'!L10="Sem registro"),"NV","N/A"))</x:f>
        <x:v>NV</x:v>
      </x:c>
      <x:c r="M10" s="18" t="str">
        <x:f>IF(AND(ISNUMBER('Recalculados'!M10),ISNUMBER('Registrados'!M10)),ROUND(('Recalculados'!M10-'Registrados'!M10),8),IF(OR('Recalculados'!M10="NV",'Registrados'!M10="Sem registro"),"NV","N/A"))</x:f>
        <x:v>NV</x:v>
      </x:c>
      <x:c r="N10" s="18" t="str">
        <x:f>IF(AND(ISNUMBER('Recalculados'!N10),ISNUMBER('Registrados'!N10)),ROUND(('Recalculados'!N10-'Registrados'!N10),8),IF(OR('Recalculados'!N10="NV",'Registrados'!N10="Sem registro"),"NV","N/A"))</x:f>
        <x:v>NV</x:v>
      </x:c>
      <x:c r="O10" s="18" t="str">
        <x:f>IF(AND(ISNUMBER('Recalculados'!O10),ISNUMBER('Registrados'!O10)),ROUND(('Recalculados'!O10-'Registrados'!O10),8),IF(OR('Recalculados'!O10="NV",'Registrados'!O10="Sem registro"),"NV","N/A"))</x:f>
        <x:v>NV</x:v>
      </x:c>
      <x:c r="P10" s="18" t="str">
        <x:f>IF(AND(ISNUMBER('Recalculados'!P10),ISNUMBER('Registrados'!P10)),ROUND(('Recalculados'!P10-'Registrados'!P10),8),IF(OR('Recalculados'!P10="NV",'Registrados'!P10="Sem registro"),"NV","N/A"))</x:f>
        <x:v>NV</x:v>
      </x:c>
      <x:c r="Q10" s="18" t="str">
        <x:f>IF(AND(ISNUMBER('Recalculados'!Q10),ISNUMBER('Registrados'!Q10)),ROUND(('Recalculados'!Q10-'Registrados'!Q10),8),IF(OR('Recalculados'!Q10="NV",'Registrados'!Q10="Sem registro"),"NV","N/A"))</x:f>
        <x:v>NV</x:v>
      </x:c>
      <x:c r="R10" s="18" t="str">
        <x:f>IF(AND(ISNUMBER('Recalculados'!R10),ISNUMBER('Registrados'!R10)),ROUND(('Recalculados'!R10-'Registrados'!R10),8),IF(OR('Recalculados'!R10="NV",'Registrados'!R10="Sem registro"),"NV","N/A"))</x:f>
        <x:v>NV</x:v>
      </x:c>
      <x:c r="S10" s="18" t="str">
        <x:f>IF(AND(ISNUMBER('Recalculados'!S10),ISNUMBER('Registrados'!S10)),ROUND(('Recalculados'!S10-'Registrados'!S10),8),IF(OR('Recalculados'!S10="NV",'Registrados'!S10="Sem registro"),"NV","N/A"))</x:f>
        <x:v>NV</x:v>
      </x:c>
      <x:c r="T10" s="24" t="str">
        <x:f>IF(AND(ISNUMBER('Recalculados'!T10),ISNUMBER('Registrados'!T10)),ROUND(('Recalculados'!T10-'Registrados'!T10)*100,8),IF(OR('Recalculados'!T10="NV",'Registrados'!T10="Sem registro"),"NV","N/A"))</x:f>
        <x:v>NV</x:v>
      </x:c>
      <x:c r="U10" s="18" t="str">
        <x:f>IF(AND(ISNUMBER('Recalculados'!U10),ISNUMBER('Registrados'!U10)),ROUND(('Recalculados'!U10-'Registrados'!U10),8),IF(OR('Recalculados'!U10="NV",'Registrados'!U10="Sem registro"),"NV","N/A"))</x:f>
        <x:v>NV</x:v>
      </x:c>
      <x:c r="V10" s="24" t="str">
        <x:f>IF(AND(ISNUMBER('Recalculados'!V10),ISNUMBER('Registrados'!V10)),ROUND(('Recalculados'!V10-'Registrados'!V10)*100,8),IF(OR('Recalculados'!V10="NV",'Registrados'!V10="Sem registro"),"NV","N/A"))</x:f>
        <x:v>NV</x:v>
      </x:c>
      <x:c r="W10" s="24" t="str">
        <x:f>IF(AND(ISNUMBER('Recalculados'!W10),ISNUMBER('Registrados'!W10)),ROUND(('Recalculados'!W10-'Registrados'!W10)*100,8),IF(OR('Recalculados'!W10="NV",'Registrados'!W10="Sem registro"),"NV","N/A"))</x:f>
        <x:v>NV</x:v>
      </x:c>
      <x:c r="X10" s="18" t="str">
        <x:f>IF(AND(ISNUMBER('Recalculados'!X10),ISNUMBER('Registrados'!X10)),ROUND(('Recalculados'!X10-'Registrados'!X10),8),IF(OR('Recalculados'!X10="NV",'Registrados'!X10="Sem registro"),"NV","N/A"))</x:f>
        <x:v>NV</x:v>
      </x:c>
      <x:c r="Y10" s="18" t="str">
        <x:f>IF(AND(ISNUMBER('Recalculados'!Y10),ISNUMBER('Registrados'!Y10)),ROUND(('Recalculados'!Y10-'Registrados'!Y10),8),IF(OR('Recalculados'!Y10="NV",'Registrados'!Y10="Sem registro"),"NV","N/A"))</x:f>
        <x:v>NV</x:v>
      </x:c>
      <x:c r="Z10" s="18" t="str">
        <x:f>IF(AND(ISNUMBER('Recalculados'!Z10),ISNUMBER('Registrados'!Z10)),ROUND(('Recalculados'!Z10-'Registrados'!Z10),8),IF(OR('Recalculados'!Z10="NV",'Registrados'!Z10="Sem registro"),"NV","N/A"))</x:f>
        <x:v>NV</x:v>
      </x:c>
      <x:c r="AA10" s="22" t="str">
        <x:f>IF(AND(ISNUMBER('Recalculados'!AA10),ISNUMBER('Registrados'!AA10)),ROUND(('Recalculados'!AA10-'Registrados'!AA10),8),IF(OR('Recalculados'!AA10="NV",'Registrados'!AA10="Sem registro"),"NV","N/A"))</x:f>
        <x:v>NV</x:v>
      </x:c>
      <x:c r="AB10" s="22" t="str">
        <x:f>IF(AND(ISNUMBER('Recalculados'!AB10),ISNUMBER('Registrados'!AB10)),ROUND(('Recalculados'!AB10-'Registrados'!AB10),8),IF(OR('Recalculados'!AB10="NV",'Registrados'!AB10="Sem registro"),"NV","N/A"))</x:f>
        <x:v>NV</x:v>
      </x:c>
      <x:c r="AC10" s="18" t="str">
        <x:f>IF(AND(ISNUMBER('Recalculados'!AC10),ISNUMBER('Registrados'!AC10)),ROUND(('Recalculados'!AC10-'Registrados'!AC10),8),IF(OR('Recalculados'!AC10="NV",'Registrados'!AC10="Sem registro"),"NV","N/A"))</x:f>
        <x:v>NV</x:v>
      </x:c>
      <x:c r="AD10" s="11" t="str">
        <x:v>collected_code_6/deepseek-v4-pro/feedback-static+dynamic-r0-t1.0-p1.0</x:v>
      </x:c>
      <x:c r="AE10" s="12"/>
    </x:row>
    <x:row r="11" ht="40" customHeight="1">
      <x:c r="A11" s="2"/>
      <x:c r="B11" s="13" t="str">
        <x:v>deepseek-v4-pro-thinking</x:v>
      </x:c>
      <x:c r="C11" s="14" t="str">
        <x:v>feedback-static-r1-t1.0-p1.0</x:v>
      </x:c>
      <x:c r="D11" s="17" t="n">
        <x:f>IF(AND(ISNUMBER('Recalculados'!D11),ISNUMBER('Registrados'!D11)),ROUND(('Recalculados'!D11-'Registrados'!D11),8),IF(OR('Recalculados'!D11="NV",'Registrados'!D11="Sem registro"),"NV","N/A"))</x:f>
        <x:v>596</x:v>
      </x:c>
      <x:c r="E11" s="23" t="str">
        <x:f>IF(AND(ISNUMBER('Recalculados'!E11),ISNUMBER('Registrados'!E11)),ROUND(('Recalculados'!E11-'Registrados'!E11)*100,8),IF(OR('Recalculados'!E11="NV",'Registrados'!E11="Sem registro"),"NV","N/A"))</x:f>
        <x:v>NV</x:v>
      </x:c>
      <x:c r="F11" s="17" t="n">
        <x:f>IF(AND(ISNUMBER('Recalculados'!F11),ISNUMBER('Registrados'!F11)),ROUND(('Recalculados'!F11-'Registrados'!F11),8),IF(OR('Recalculados'!F11="NV",'Registrados'!F11="Sem registro"),"NV","N/A"))</x:f>
        <x:v>460</x:v>
      </x:c>
      <x:c r="G11" s="17" t="n">
        <x:f>IF(AND(ISNUMBER('Recalculados'!G11),ISNUMBER('Registrados'!G11)),ROUND(('Recalculados'!G11-'Registrados'!G11),8),IF(OR('Recalculados'!G11="NV",'Registrados'!G11="Sem registro"),"NV","N/A"))</x:f>
        <x:v>133</x:v>
      </x:c>
      <x:c r="H11" s="23" t="n">
        <x:f>IF(AND(ISNUMBER('Recalculados'!H11),ISNUMBER('Registrados'!H11)),ROUND(('Recalculados'!H11-'Registrados'!H11)*100,8),IF(OR('Recalculados'!H11="NV",'Registrados'!H11="Sem registro"),"NV","N/A"))</x:f>
        <x:v>-0.17</x:v>
      </x:c>
      <x:c r="I11" s="17" t="str">
        <x:f>IF(AND(ISNUMBER('Recalculados'!I11),ISNUMBER('Registrados'!I11)),ROUND(('Recalculados'!I11-'Registrados'!I11),8),IF(OR('Recalculados'!I11="NV",'Registrados'!I11="Sem registro"),"NV","N/A"))</x:f>
        <x:v>NV</x:v>
      </x:c>
      <x:c r="J11" s="17" t="n">
        <x:f>IF(AND(ISNUMBER('Recalculados'!J11),ISNUMBER('Registrados'!J11)),ROUND(('Recalculados'!J11-'Registrados'!J11),8),IF(OR('Recalculados'!J11="NV",'Registrados'!J11="Sem registro"),"NV","N/A"))</x:f>
        <x:v>12</x:v>
      </x:c>
      <x:c r="K11" s="17" t="n">
        <x:f>IF(AND(ISNUMBER('Recalculados'!K11),ISNUMBER('Registrados'!K11)),ROUND(('Recalculados'!K11-'Registrados'!K11),8),IF(OR('Recalculados'!K11="NV",'Registrados'!K11="Sem registro"),"NV","N/A"))</x:f>
        <x:v>15</x:v>
      </x:c>
      <x:c r="L11" s="17" t="n">
        <x:f>IF(AND(ISNUMBER('Recalculados'!L11),ISNUMBER('Registrados'!L11)),ROUND(('Recalculados'!L11-'Registrados'!L11),8),IF(OR('Recalculados'!L11="NV",'Registrados'!L11="Sem registro"),"NV","N/A"))</x:f>
        <x:v>133</x:v>
      </x:c>
      <x:c r="M11" s="17" t="n">
        <x:f>IF(AND(ISNUMBER('Recalculados'!M11),ISNUMBER('Registrados'!M11)),ROUND(('Recalculados'!M11-'Registrados'!M11),8),IF(OR('Recalculados'!M11="NV",'Registrados'!M11="Sem registro"),"NV","N/A"))</x:f>
        <x:v>0</x:v>
      </x:c>
      <x:c r="N11" s="17" t="n">
        <x:f>IF(AND(ISNUMBER('Recalculados'!N11),ISNUMBER('Registrados'!N11)),ROUND(('Recalculados'!N11-'Registrados'!N11),8),IF(OR('Recalculados'!N11="NV",'Registrados'!N11="Sem registro"),"NV","N/A"))</x:f>
        <x:v>0</x:v>
      </x:c>
      <x:c r="O11" s="17" t="n">
        <x:f>IF(AND(ISNUMBER('Recalculados'!O11),ISNUMBER('Registrados'!O11)),ROUND(('Recalculados'!O11-'Registrados'!O11),8),IF(OR('Recalculados'!O11="NV",'Registrados'!O11="Sem registro"),"NV","N/A"))</x:f>
        <x:v>0</x:v>
      </x:c>
      <x:c r="P11" s="17" t="n">
        <x:f>IF(AND(ISNUMBER('Recalculados'!P11),ISNUMBER('Registrados'!P11)),ROUND(('Recalculados'!P11-'Registrados'!P11),8),IF(OR('Recalculados'!P11="NV",'Registrados'!P11="Sem registro"),"NV","N/A"))</x:f>
        <x:v>0</x:v>
      </x:c>
      <x:c r="Q11" s="17" t="n">
        <x:f>IF(AND(ISNUMBER('Recalculados'!Q11),ISNUMBER('Registrados'!Q11)),ROUND(('Recalculados'!Q11-'Registrados'!Q11),8),IF(OR('Recalculados'!Q11="NV",'Registrados'!Q11="Sem registro"),"NV","N/A"))</x:f>
        <x:v>596</x:v>
      </x:c>
      <x:c r="R11" s="17" t="n">
        <x:f>IF(AND(ISNUMBER('Recalculados'!R11),ISNUMBER('Registrados'!R11)),ROUND(('Recalculados'!R11-'Registrados'!R11),8),IF(OR('Recalculados'!R11="NV",'Registrados'!R11="Sem registro"),"NV","N/A"))</x:f>
        <x:v>0</x:v>
      </x:c>
      <x:c r="S11" s="17" t="n">
        <x:f>IF(AND(ISNUMBER('Recalculados'!S11),ISNUMBER('Registrados'!S11)),ROUND(('Recalculados'!S11-'Registrados'!S11),8),IF(OR('Recalculados'!S11="NV",'Registrados'!S11="Sem registro"),"NV","N/A"))</x:f>
        <x:v>0</x:v>
      </x:c>
      <x:c r="T11" s="23" t="n">
        <x:f>IF(AND(ISNUMBER('Recalculados'!T11),ISNUMBER('Registrados'!T11)),ROUND(('Recalculados'!T11-'Registrados'!T11)*100,8),IF(OR('Recalculados'!T11="NV",'Registrados'!T11="Sem registro"),"NV","N/A"))</x:f>
        <x:v>0</x:v>
      </x:c>
      <x:c r="U11" s="17" t="n">
        <x:f>IF(AND(ISNUMBER('Recalculados'!U11),ISNUMBER('Registrados'!U11)),ROUND(('Recalculados'!U11-'Registrados'!U11),8),IF(OR('Recalculados'!U11="NV",'Registrados'!U11="Sem registro"),"NV","N/A"))</x:f>
        <x:v>136</x:v>
      </x:c>
      <x:c r="V11" s="23" t="n">
        <x:f>IF(AND(ISNUMBER('Recalculados'!V11),ISNUMBER('Registrados'!V11)),ROUND(('Recalculados'!V11-'Registrados'!V11)*100,8),IF(OR('Recalculados'!V11="NV",'Registrados'!V11="Sem registro"),"NV","N/A"))</x:f>
        <x:v>22.74</x:v>
      </x:c>
      <x:c r="W11" s="23" t="n">
        <x:f>IF(AND(ISNUMBER('Recalculados'!W11),ISNUMBER('Registrados'!W11)),ROUND(('Recalculados'!W11-'Registrados'!W11)*100,8),IF(OR('Recalculados'!W11="NV",'Registrados'!W11="Sem registro"),"NV","N/A"))</x:f>
        <x:v>22.74</x:v>
      </x:c>
      <x:c r="X11" s="17" t="n">
        <x:f>IF(AND(ISNUMBER('Recalculados'!X11),ISNUMBER('Registrados'!X11)),ROUND(('Recalculados'!X11-'Registrados'!X11),8),IF(OR('Recalculados'!X11="NV",'Registrados'!X11="Sem registro"),"NV","N/A"))</x:f>
        <x:v>1</x:v>
      </x:c>
      <x:c r="Y11" s="17" t="n">
        <x:f>IF(AND(ISNUMBER('Recalculados'!Y11),ISNUMBER('Registrados'!Y11)),ROUND(('Recalculados'!Y11-'Registrados'!Y11),8),IF(OR('Recalculados'!Y11="NV",'Registrados'!Y11="Sem registro"),"NV","N/A"))</x:f>
        <x:v>2</x:v>
      </x:c>
      <x:c r="Z11" s="17" t="n">
        <x:f>IF(AND(ISNUMBER('Recalculados'!Z11),ISNUMBER('Registrados'!Z11)),ROUND(('Recalculados'!Z11-'Registrados'!Z11),8),IF(OR('Recalculados'!Z11="NV",'Registrados'!Z11="Sem registro"),"NV","N/A"))</x:f>
        <x:v>9</x:v>
      </x:c>
      <x:c r="AA11" s="21" t="str">
        <x:f>IF(AND(ISNUMBER('Recalculados'!AA11),ISNUMBER('Registrados'!AA11)),ROUND(('Recalculados'!AA11-'Registrados'!AA11),8),IF(OR('Recalculados'!AA11="NV",'Registrados'!AA11="Sem registro"),"NV","N/A"))</x:f>
        <x:v>NV</x:v>
      </x:c>
      <x:c r="AB11" s="21" t="str">
        <x:f>IF(AND(ISNUMBER('Recalculados'!AB11),ISNUMBER('Registrados'!AB11)),ROUND(('Recalculados'!AB11-'Registrados'!AB11),8),IF(OR('Recalculados'!AB11="NV",'Registrados'!AB11="Sem registro"),"NV","N/A"))</x:f>
        <x:v>NV</x:v>
      </x:c>
      <x:c r="AC11" s="17" t="str">
        <x:f>IF(AND(ISNUMBER('Recalculados'!AC11),ISNUMBER('Registrados'!AC11)),ROUND(('Recalculados'!AC11-'Registrados'!AC11),8),IF(OR('Recalculados'!AC11="NV",'Registrados'!AC11="Sem registro"),"NV","N/A"))</x:f>
        <x:v>N/A</x:v>
      </x:c>
      <x:c r="AD11" s="16" t="str">
        <x:v>collected_code_6/deepseek-v4-pro-thinking/feedback-static-r1-t1.0-p1.0</x:v>
      </x:c>
      <x:c r="AE11" s="12"/>
    </x:row>
    <x:row r="12" ht="40" customHeight="1">
      <x:c r="A12" s="2"/>
      <x:c r="B12" s="13" t="str">
        <x:v>gemini-3-pro</x:v>
      </x:c>
      <x:c r="C12" s="14" t="str">
        <x:v>feedback-static-r0-t1.0-p1.0</x:v>
      </x:c>
      <x:c r="D12" s="17" t="str">
        <x:f>IF(AND(ISNUMBER('Recalculados'!D12),ISNUMBER('Registrados'!D12)),ROUND(('Recalculados'!D12-'Registrados'!D12),8),IF(OR('Recalculados'!D12="NV",'Registrados'!D12="Sem registro"),"NV","N/A"))</x:f>
        <x:v>NV</x:v>
      </x:c>
      <x:c r="E12" s="23" t="str">
        <x:f>IF(AND(ISNUMBER('Recalculados'!E12),ISNUMBER('Registrados'!E12)),ROUND(('Recalculados'!E12-'Registrados'!E12)*100,8),IF(OR('Recalculados'!E12="NV",'Registrados'!E12="Sem registro"),"NV","N/A"))</x:f>
        <x:v>NV</x:v>
      </x:c>
      <x:c r="F12" s="17" t="str">
        <x:f>IF(AND(ISNUMBER('Recalculados'!F12),ISNUMBER('Registrados'!F12)),ROUND(('Recalculados'!F12-'Registrados'!F12),8),IF(OR('Recalculados'!F12="NV",'Registrados'!F12="Sem registro"),"NV","N/A"))</x:f>
        <x:v>NV</x:v>
      </x:c>
      <x:c r="G12" s="17" t="str">
        <x:f>IF(AND(ISNUMBER('Recalculados'!G12),ISNUMBER('Registrados'!G12)),ROUND(('Recalculados'!G12-'Registrados'!G12),8),IF(OR('Recalculados'!G12="NV",'Registrados'!G12="Sem registro"),"NV","N/A"))</x:f>
        <x:v>NV</x:v>
      </x:c>
      <x:c r="H12" s="23" t="str">
        <x:f>IF(AND(ISNUMBER('Recalculados'!H12),ISNUMBER('Registrados'!H12)),ROUND(('Recalculados'!H12-'Registrados'!H12)*100,8),IF(OR('Recalculados'!H12="NV",'Registrados'!H12="Sem registro"),"NV","N/A"))</x:f>
        <x:v>NV</x:v>
      </x:c>
      <x:c r="I12" s="17" t="str">
        <x:f>IF(AND(ISNUMBER('Recalculados'!I12),ISNUMBER('Registrados'!I12)),ROUND(('Recalculados'!I12-'Registrados'!I12),8),IF(OR('Recalculados'!I12="NV",'Registrados'!I12="Sem registro"),"NV","N/A"))</x:f>
        <x:v>NV</x:v>
      </x:c>
      <x:c r="J12" s="17" t="str">
        <x:f>IF(AND(ISNUMBER('Recalculados'!J12),ISNUMBER('Registrados'!J12)),ROUND(('Recalculados'!J12-'Registrados'!J12),8),IF(OR('Recalculados'!J12="NV",'Registrados'!J12="Sem registro"),"NV","N/A"))</x:f>
        <x:v>NV</x:v>
      </x:c>
      <x:c r="K12" s="17" t="str">
        <x:f>IF(AND(ISNUMBER('Recalculados'!K12),ISNUMBER('Registrados'!K12)),ROUND(('Recalculados'!K12-'Registrados'!K12),8),IF(OR('Recalculados'!K12="NV",'Registrados'!K12="Sem registro"),"NV","N/A"))</x:f>
        <x:v>NV</x:v>
      </x:c>
      <x:c r="L12" s="17" t="str">
        <x:f>IF(AND(ISNUMBER('Recalculados'!L12),ISNUMBER('Registrados'!L12)),ROUND(('Recalculados'!L12-'Registrados'!L12),8),IF(OR('Recalculados'!L12="NV",'Registrados'!L12="Sem registro"),"NV","N/A"))</x:f>
        <x:v>NV</x:v>
      </x:c>
      <x:c r="M12" s="17" t="str">
        <x:f>IF(AND(ISNUMBER('Recalculados'!M12),ISNUMBER('Registrados'!M12)),ROUND(('Recalculados'!M12-'Registrados'!M12),8),IF(OR('Recalculados'!M12="NV",'Registrados'!M12="Sem registro"),"NV","N/A"))</x:f>
        <x:v>NV</x:v>
      </x:c>
      <x:c r="N12" s="17" t="str">
        <x:f>IF(AND(ISNUMBER('Recalculados'!N12),ISNUMBER('Registrados'!N12)),ROUND(('Recalculados'!N12-'Registrados'!N12),8),IF(OR('Recalculados'!N12="NV",'Registrados'!N12="Sem registro"),"NV","N/A"))</x:f>
        <x:v>NV</x:v>
      </x:c>
      <x:c r="O12" s="17" t="str">
        <x:f>IF(AND(ISNUMBER('Recalculados'!O12),ISNUMBER('Registrados'!O12)),ROUND(('Recalculados'!O12-'Registrados'!O12),8),IF(OR('Recalculados'!O12="NV",'Registrados'!O12="Sem registro"),"NV","N/A"))</x:f>
        <x:v>NV</x:v>
      </x:c>
      <x:c r="P12" s="17" t="str">
        <x:f>IF(AND(ISNUMBER('Recalculados'!P12),ISNUMBER('Registrados'!P12)),ROUND(('Recalculados'!P12-'Registrados'!P12),8),IF(OR('Recalculados'!P12="NV",'Registrados'!P12="Sem registro"),"NV","N/A"))</x:f>
        <x:v>NV</x:v>
      </x:c>
      <x:c r="Q12" s="17" t="str">
        <x:f>IF(AND(ISNUMBER('Recalculados'!Q12),ISNUMBER('Registrados'!Q12)),ROUND(('Recalculados'!Q12-'Registrados'!Q12),8),IF(OR('Recalculados'!Q12="NV",'Registrados'!Q12="Sem registro"),"NV","N/A"))</x:f>
        <x:v>NV</x:v>
      </x:c>
      <x:c r="R12" s="17" t="str">
        <x:f>IF(AND(ISNUMBER('Recalculados'!R12),ISNUMBER('Registrados'!R12)),ROUND(('Recalculados'!R12-'Registrados'!R12),8),IF(OR('Recalculados'!R12="NV",'Registrados'!R12="Sem registro"),"NV","N/A"))</x:f>
        <x:v>NV</x:v>
      </x:c>
      <x:c r="S12" s="17" t="str">
        <x:f>IF(AND(ISNUMBER('Recalculados'!S12),ISNUMBER('Registrados'!S12)),ROUND(('Recalculados'!S12-'Registrados'!S12),8),IF(OR('Recalculados'!S12="NV",'Registrados'!S12="Sem registro"),"NV","N/A"))</x:f>
        <x:v>NV</x:v>
      </x:c>
      <x:c r="T12" s="23" t="str">
        <x:f>IF(AND(ISNUMBER('Recalculados'!T12),ISNUMBER('Registrados'!T12)),ROUND(('Recalculados'!T12-'Registrados'!T12)*100,8),IF(OR('Recalculados'!T12="NV",'Registrados'!T12="Sem registro"),"NV","N/A"))</x:f>
        <x:v>NV</x:v>
      </x:c>
      <x:c r="U12" s="17" t="str">
        <x:f>IF(AND(ISNUMBER('Recalculados'!U12),ISNUMBER('Registrados'!U12)),ROUND(('Recalculados'!U12-'Registrados'!U12),8),IF(OR('Recalculados'!U12="NV",'Registrados'!U12="Sem registro"),"NV","N/A"))</x:f>
        <x:v>NV</x:v>
      </x:c>
      <x:c r="V12" s="23" t="str">
        <x:f>IF(AND(ISNUMBER('Recalculados'!V12),ISNUMBER('Registrados'!V12)),ROUND(('Recalculados'!V12-'Registrados'!V12)*100,8),IF(OR('Recalculados'!V12="NV",'Registrados'!V12="Sem registro"),"NV","N/A"))</x:f>
        <x:v>NV</x:v>
      </x:c>
      <x:c r="W12" s="23" t="str">
        <x:f>IF(AND(ISNUMBER('Recalculados'!W12),ISNUMBER('Registrados'!W12)),ROUND(('Recalculados'!W12-'Registrados'!W12)*100,8),IF(OR('Recalculados'!W12="NV",'Registrados'!W12="Sem registro"),"NV","N/A"))</x:f>
        <x:v>NV</x:v>
      </x:c>
      <x:c r="X12" s="17" t="str">
        <x:f>IF(AND(ISNUMBER('Recalculados'!X12),ISNUMBER('Registrados'!X12)),ROUND(('Recalculados'!X12-'Registrados'!X12),8),IF(OR('Recalculados'!X12="NV",'Registrados'!X12="Sem registro"),"NV","N/A"))</x:f>
        <x:v>NV</x:v>
      </x:c>
      <x:c r="Y12" s="17" t="str">
        <x:f>IF(AND(ISNUMBER('Recalculados'!Y12),ISNUMBER('Registrados'!Y12)),ROUND(('Recalculados'!Y12-'Registrados'!Y12),8),IF(OR('Recalculados'!Y12="NV",'Registrados'!Y12="Sem registro"),"NV","N/A"))</x:f>
        <x:v>NV</x:v>
      </x:c>
      <x:c r="Z12" s="17" t="str">
        <x:f>IF(AND(ISNUMBER('Recalculados'!Z12),ISNUMBER('Registrados'!Z12)),ROUND(('Recalculados'!Z12-'Registrados'!Z12),8),IF(OR('Recalculados'!Z12="NV",'Registrados'!Z12="Sem registro"),"NV","N/A"))</x:f>
        <x:v>NV</x:v>
      </x:c>
      <x:c r="AA12" s="21" t="str">
        <x:f>IF(AND(ISNUMBER('Recalculados'!AA12),ISNUMBER('Registrados'!AA12)),ROUND(('Recalculados'!AA12-'Registrados'!AA12),8),IF(OR('Recalculados'!AA12="NV",'Registrados'!AA12="Sem registro"),"NV","N/A"))</x:f>
        <x:v>NV</x:v>
      </x:c>
      <x:c r="AB12" s="21" t="str">
        <x:f>IF(AND(ISNUMBER('Recalculados'!AB12),ISNUMBER('Registrados'!AB12)),ROUND(('Recalculados'!AB12-'Registrados'!AB12),8),IF(OR('Recalculados'!AB12="NV",'Registrados'!AB12="Sem registro"),"NV","N/A"))</x:f>
        <x:v>NV</x:v>
      </x:c>
      <x:c r="AC12" s="17" t="str">
        <x:f>IF(AND(ISNUMBER('Recalculados'!AC12),ISNUMBER('Registrados'!AC12)),ROUND(('Recalculados'!AC12-'Registrados'!AC12),8),IF(OR('Recalculados'!AC12="NV",'Registrados'!AC12="Sem registro"),"NV","N/A"))</x:f>
        <x:v>NV</x:v>
      </x:c>
      <x:c r="AD12" s="16" t="str">
        <x:v>collected_code_6/gemini-3-pro/feedback-static-r0-t1.0-p1.0</x:v>
      </x:c>
      <x:c r="AE12" s="12"/>
    </x:row>
    <x:row r="13" ht="40" customHeight="1">
      <x:c r="A13" s="2"/>
      <x:c r="B13" s="13" t="str">
        <x:v>gemini-3-pro-thinking</x:v>
      </x:c>
      <x:c r="C13" s="14" t="str">
        <x:v>feedback-static-r1-t1.0-p1.0</x:v>
      </x:c>
      <x:c r="D13" s="17" t="str">
        <x:f>IF(AND(ISNUMBER('Recalculados'!D13),ISNUMBER('Registrados'!D13)),ROUND(('Recalculados'!D13-'Registrados'!D13),8),IF(OR('Recalculados'!D13="NV",'Registrados'!D13="Sem registro"),"NV","N/A"))</x:f>
        <x:v>NV</x:v>
      </x:c>
      <x:c r="E13" s="23" t="str">
        <x:f>IF(AND(ISNUMBER('Recalculados'!E13),ISNUMBER('Registrados'!E13)),ROUND(('Recalculados'!E13-'Registrados'!E13)*100,8),IF(OR('Recalculados'!E13="NV",'Registrados'!E13="Sem registro"),"NV","N/A"))</x:f>
        <x:v>NV</x:v>
      </x:c>
      <x:c r="F13" s="17" t="str">
        <x:f>IF(AND(ISNUMBER('Recalculados'!F13),ISNUMBER('Registrados'!F13)),ROUND(('Recalculados'!F13-'Registrados'!F13),8),IF(OR('Recalculados'!F13="NV",'Registrados'!F13="Sem registro"),"NV","N/A"))</x:f>
        <x:v>NV</x:v>
      </x:c>
      <x:c r="G13" s="17" t="str">
        <x:f>IF(AND(ISNUMBER('Recalculados'!G13),ISNUMBER('Registrados'!G13)),ROUND(('Recalculados'!G13-'Registrados'!G13),8),IF(OR('Recalculados'!G13="NV",'Registrados'!G13="Sem registro"),"NV","N/A"))</x:f>
        <x:v>NV</x:v>
      </x:c>
      <x:c r="H13" s="23" t="str">
        <x:f>IF(AND(ISNUMBER('Recalculados'!H13),ISNUMBER('Registrados'!H13)),ROUND(('Recalculados'!H13-'Registrados'!H13)*100,8),IF(OR('Recalculados'!H13="NV",'Registrados'!H13="Sem registro"),"NV","N/A"))</x:f>
        <x:v>NV</x:v>
      </x:c>
      <x:c r="I13" s="17" t="str">
        <x:f>IF(AND(ISNUMBER('Recalculados'!I13),ISNUMBER('Registrados'!I13)),ROUND(('Recalculados'!I13-'Registrados'!I13),8),IF(OR('Recalculados'!I13="NV",'Registrados'!I13="Sem registro"),"NV","N/A"))</x:f>
        <x:v>NV</x:v>
      </x:c>
      <x:c r="J13" s="17" t="str">
        <x:f>IF(AND(ISNUMBER('Recalculados'!J13),ISNUMBER('Registrados'!J13)),ROUND(('Recalculados'!J13-'Registrados'!J13),8),IF(OR('Recalculados'!J13="NV",'Registrados'!J13="Sem registro"),"NV","N/A"))</x:f>
        <x:v>NV</x:v>
      </x:c>
      <x:c r="K13" s="17" t="str">
        <x:f>IF(AND(ISNUMBER('Recalculados'!K13),ISNUMBER('Registrados'!K13)),ROUND(('Recalculados'!K13-'Registrados'!K13),8),IF(OR('Recalculados'!K13="NV",'Registrados'!K13="Sem registro"),"NV","N/A"))</x:f>
        <x:v>NV</x:v>
      </x:c>
      <x:c r="L13" s="17" t="str">
        <x:f>IF(AND(ISNUMBER('Recalculados'!L13),ISNUMBER('Registrados'!L13)),ROUND(('Recalculados'!L13-'Registrados'!L13),8),IF(OR('Recalculados'!L13="NV",'Registrados'!L13="Sem registro"),"NV","N/A"))</x:f>
        <x:v>NV</x:v>
      </x:c>
      <x:c r="M13" s="17" t="str">
        <x:f>IF(AND(ISNUMBER('Recalculados'!M13),ISNUMBER('Registrados'!M13)),ROUND(('Recalculados'!M13-'Registrados'!M13),8),IF(OR('Recalculados'!M13="NV",'Registrados'!M13="Sem registro"),"NV","N/A"))</x:f>
        <x:v>NV</x:v>
      </x:c>
      <x:c r="N13" s="17" t="str">
        <x:f>IF(AND(ISNUMBER('Recalculados'!N13),ISNUMBER('Registrados'!N13)),ROUND(('Recalculados'!N13-'Registrados'!N13),8),IF(OR('Recalculados'!N13="NV",'Registrados'!N13="Sem registro"),"NV","N/A"))</x:f>
        <x:v>NV</x:v>
      </x:c>
      <x:c r="O13" s="17" t="str">
        <x:f>IF(AND(ISNUMBER('Recalculados'!O13),ISNUMBER('Registrados'!O13)),ROUND(('Recalculados'!O13-'Registrados'!O13),8),IF(OR('Recalculados'!O13="NV",'Registrados'!O13="Sem registro"),"NV","N/A"))</x:f>
        <x:v>NV</x:v>
      </x:c>
      <x:c r="P13" s="17" t="str">
        <x:f>IF(AND(ISNUMBER('Recalculados'!P13),ISNUMBER('Registrados'!P13)),ROUND(('Recalculados'!P13-'Registrados'!P13),8),IF(OR('Recalculados'!P13="NV",'Registrados'!P13="Sem registro"),"NV","N/A"))</x:f>
        <x:v>NV</x:v>
      </x:c>
      <x:c r="Q13" s="17" t="str">
        <x:f>IF(AND(ISNUMBER('Recalculados'!Q13),ISNUMBER('Registrados'!Q13)),ROUND(('Recalculados'!Q13-'Registrados'!Q13),8),IF(OR('Recalculados'!Q13="NV",'Registrados'!Q13="Sem registro"),"NV","N/A"))</x:f>
        <x:v>NV</x:v>
      </x:c>
      <x:c r="R13" s="17" t="str">
        <x:f>IF(AND(ISNUMBER('Recalculados'!R13),ISNUMBER('Registrados'!R13)),ROUND(('Recalculados'!R13-'Registrados'!R13),8),IF(OR('Recalculados'!R13="NV",'Registrados'!R13="Sem registro"),"NV","N/A"))</x:f>
        <x:v>NV</x:v>
      </x:c>
      <x:c r="S13" s="17" t="str">
        <x:f>IF(AND(ISNUMBER('Recalculados'!S13),ISNUMBER('Registrados'!S13)),ROUND(('Recalculados'!S13-'Registrados'!S13),8),IF(OR('Recalculados'!S13="NV",'Registrados'!S13="Sem registro"),"NV","N/A"))</x:f>
        <x:v>NV</x:v>
      </x:c>
      <x:c r="T13" s="23" t="str">
        <x:f>IF(AND(ISNUMBER('Recalculados'!T13),ISNUMBER('Registrados'!T13)),ROUND(('Recalculados'!T13-'Registrados'!T13)*100,8),IF(OR('Recalculados'!T13="NV",'Registrados'!T13="Sem registro"),"NV","N/A"))</x:f>
        <x:v>NV</x:v>
      </x:c>
      <x:c r="U13" s="17" t="str">
        <x:f>IF(AND(ISNUMBER('Recalculados'!U13),ISNUMBER('Registrados'!U13)),ROUND(('Recalculados'!U13-'Registrados'!U13),8),IF(OR('Recalculados'!U13="NV",'Registrados'!U13="Sem registro"),"NV","N/A"))</x:f>
        <x:v>NV</x:v>
      </x:c>
      <x:c r="V13" s="23" t="str">
        <x:f>IF(AND(ISNUMBER('Recalculados'!V13),ISNUMBER('Registrados'!V13)),ROUND(('Recalculados'!V13-'Registrados'!V13)*100,8),IF(OR('Recalculados'!V13="NV",'Registrados'!V13="Sem registro"),"NV","N/A"))</x:f>
        <x:v>NV</x:v>
      </x:c>
      <x:c r="W13" s="23" t="str">
        <x:f>IF(AND(ISNUMBER('Recalculados'!W13),ISNUMBER('Registrados'!W13)),ROUND(('Recalculados'!W13-'Registrados'!W13)*100,8),IF(OR('Recalculados'!W13="NV",'Registrados'!W13="Sem registro"),"NV","N/A"))</x:f>
        <x:v>NV</x:v>
      </x:c>
      <x:c r="X13" s="17" t="str">
        <x:f>IF(AND(ISNUMBER('Recalculados'!X13),ISNUMBER('Registrados'!X13)),ROUND(('Recalculados'!X13-'Registrados'!X13),8),IF(OR('Recalculados'!X13="NV",'Registrados'!X13="Sem registro"),"NV","N/A"))</x:f>
        <x:v>NV</x:v>
      </x:c>
      <x:c r="Y13" s="17" t="str">
        <x:f>IF(AND(ISNUMBER('Recalculados'!Y13),ISNUMBER('Registrados'!Y13)),ROUND(('Recalculados'!Y13-'Registrados'!Y13),8),IF(OR('Recalculados'!Y13="NV",'Registrados'!Y13="Sem registro"),"NV","N/A"))</x:f>
        <x:v>NV</x:v>
      </x:c>
      <x:c r="Z13" s="17" t="str">
        <x:f>IF(AND(ISNUMBER('Recalculados'!Z13),ISNUMBER('Registrados'!Z13)),ROUND(('Recalculados'!Z13-'Registrados'!Z13),8),IF(OR('Recalculados'!Z13="NV",'Registrados'!Z13="Sem registro"),"NV","N/A"))</x:f>
        <x:v>NV</x:v>
      </x:c>
      <x:c r="AA13" s="21" t="str">
        <x:f>IF(AND(ISNUMBER('Recalculados'!AA13),ISNUMBER('Registrados'!AA13)),ROUND(('Recalculados'!AA13-'Registrados'!AA13),8),IF(OR('Recalculados'!AA13="NV",'Registrados'!AA13="Sem registro"),"NV","N/A"))</x:f>
        <x:v>NV</x:v>
      </x:c>
      <x:c r="AB13" s="21" t="str">
        <x:f>IF(AND(ISNUMBER('Recalculados'!AB13),ISNUMBER('Registrados'!AB13)),ROUND(('Recalculados'!AB13-'Registrados'!AB13),8),IF(OR('Recalculados'!AB13="NV",'Registrados'!AB13="Sem registro"),"NV","N/A"))</x:f>
        <x:v>NV</x:v>
      </x:c>
      <x:c r="AC13" s="17" t="str">
        <x:f>IF(AND(ISNUMBER('Recalculados'!AC13),ISNUMBER('Registrados'!AC13)),ROUND(('Recalculados'!AC13-'Registrados'!AC13),8),IF(OR('Recalculados'!AC13="NV",'Registrados'!AC13="Sem registro"),"NV","N/A"))</x:f>
        <x:v>NV</x:v>
      </x:c>
      <x:c r="AD13" s="16" t="str">
        <x:v>collected_code_6/gemini-3-pro-thinking/feedback-static-r1-t1.0-p1.0</x:v>
      </x:c>
      <x:c r="AE13" s="12"/>
    </x:row>
    <x:row r="14" ht="40" customHeight="1">
      <x:c r="A14" s="2"/>
      <x:c r="B14" s="13" t="str">
        <x:v>glm-5.1</x:v>
      </x:c>
      <x:c r="C14" s="14" t="str">
        <x:v>feedback-dynamic-r0-t1.0-p1.0</x:v>
      </x:c>
      <x:c r="D14" s="17" t="str">
        <x:f>IF(AND(ISNUMBER('Recalculados'!D14),ISNUMBER('Registrados'!D14)),ROUND(('Recalculados'!D14-'Registrados'!D14),8),IF(OR('Recalculados'!D14="NV",'Registrados'!D14="Sem registro"),"NV","N/A"))</x:f>
        <x:v>NV</x:v>
      </x:c>
      <x:c r="E14" s="23" t="str">
        <x:f>IF(AND(ISNUMBER('Recalculados'!E14),ISNUMBER('Registrados'!E14)),ROUND(('Recalculados'!E14-'Registrados'!E14)*100,8),IF(OR('Recalculados'!E14="NV",'Registrados'!E14="Sem registro"),"NV","N/A"))</x:f>
        <x:v>NV</x:v>
      </x:c>
      <x:c r="F14" s="17" t="str">
        <x:f>IF(AND(ISNUMBER('Recalculados'!F14),ISNUMBER('Registrados'!F14)),ROUND(('Recalculados'!F14-'Registrados'!F14),8),IF(OR('Recalculados'!F14="NV",'Registrados'!F14="Sem registro"),"NV","N/A"))</x:f>
        <x:v>NV</x:v>
      </x:c>
      <x:c r="G14" s="17" t="str">
        <x:f>IF(AND(ISNUMBER('Recalculados'!G14),ISNUMBER('Registrados'!G14)),ROUND(('Recalculados'!G14-'Registrados'!G14),8),IF(OR('Recalculados'!G14="NV",'Registrados'!G14="Sem registro"),"NV","N/A"))</x:f>
        <x:v>NV</x:v>
      </x:c>
      <x:c r="H14" s="23" t="str">
        <x:f>IF(AND(ISNUMBER('Recalculados'!H14),ISNUMBER('Registrados'!H14)),ROUND(('Recalculados'!H14-'Registrados'!H14)*100,8),IF(OR('Recalculados'!H14="NV",'Registrados'!H14="Sem registro"),"NV","N/A"))</x:f>
        <x:v>NV</x:v>
      </x:c>
      <x:c r="I14" s="17" t="str">
        <x:f>IF(AND(ISNUMBER('Recalculados'!I14),ISNUMBER('Registrados'!I14)),ROUND(('Recalculados'!I14-'Registrados'!I14),8),IF(OR('Recalculados'!I14="NV",'Registrados'!I14="Sem registro"),"NV","N/A"))</x:f>
        <x:v>NV</x:v>
      </x:c>
      <x:c r="J14" s="17" t="str">
        <x:f>IF(AND(ISNUMBER('Recalculados'!J14),ISNUMBER('Registrados'!J14)),ROUND(('Recalculados'!J14-'Registrados'!J14),8),IF(OR('Recalculados'!J14="NV",'Registrados'!J14="Sem registro"),"NV","N/A"))</x:f>
        <x:v>NV</x:v>
      </x:c>
      <x:c r="K14" s="17" t="str">
        <x:f>IF(AND(ISNUMBER('Recalculados'!K14),ISNUMBER('Registrados'!K14)),ROUND(('Recalculados'!K14-'Registrados'!K14),8),IF(OR('Recalculados'!K14="NV",'Registrados'!K14="Sem registro"),"NV","N/A"))</x:f>
        <x:v>NV</x:v>
      </x:c>
      <x:c r="L14" s="17" t="str">
        <x:f>IF(AND(ISNUMBER('Recalculados'!L14),ISNUMBER('Registrados'!L14)),ROUND(('Recalculados'!L14-'Registrados'!L14),8),IF(OR('Recalculados'!L14="NV",'Registrados'!L14="Sem registro"),"NV","N/A"))</x:f>
        <x:v>NV</x:v>
      </x:c>
      <x:c r="M14" s="17" t="str">
        <x:f>IF(AND(ISNUMBER('Recalculados'!M14),ISNUMBER('Registrados'!M14)),ROUND(('Recalculados'!M14-'Registrados'!M14),8),IF(OR('Recalculados'!M14="NV",'Registrados'!M14="Sem registro"),"NV","N/A"))</x:f>
        <x:v>NV</x:v>
      </x:c>
      <x:c r="N14" s="17" t="str">
        <x:f>IF(AND(ISNUMBER('Recalculados'!N14),ISNUMBER('Registrados'!N14)),ROUND(('Recalculados'!N14-'Registrados'!N14),8),IF(OR('Recalculados'!N14="NV",'Registrados'!N14="Sem registro"),"NV","N/A"))</x:f>
        <x:v>NV</x:v>
      </x:c>
      <x:c r="O14" s="17" t="str">
        <x:f>IF(AND(ISNUMBER('Recalculados'!O14),ISNUMBER('Registrados'!O14)),ROUND(('Recalculados'!O14-'Registrados'!O14),8),IF(OR('Recalculados'!O14="NV",'Registrados'!O14="Sem registro"),"NV","N/A"))</x:f>
        <x:v>NV</x:v>
      </x:c>
      <x:c r="P14" s="17" t="str">
        <x:f>IF(AND(ISNUMBER('Recalculados'!P14),ISNUMBER('Registrados'!P14)),ROUND(('Recalculados'!P14-'Registrados'!P14),8),IF(OR('Recalculados'!P14="NV",'Registrados'!P14="Sem registro"),"NV","N/A"))</x:f>
        <x:v>NV</x:v>
      </x:c>
      <x:c r="Q14" s="17" t="str">
        <x:f>IF(AND(ISNUMBER('Recalculados'!Q14),ISNUMBER('Registrados'!Q14)),ROUND(('Recalculados'!Q14-'Registrados'!Q14),8),IF(OR('Recalculados'!Q14="NV",'Registrados'!Q14="Sem registro"),"NV","N/A"))</x:f>
        <x:v>NV</x:v>
      </x:c>
      <x:c r="R14" s="17" t="str">
        <x:f>IF(AND(ISNUMBER('Recalculados'!R14),ISNUMBER('Registrados'!R14)),ROUND(('Recalculados'!R14-'Registrados'!R14),8),IF(OR('Recalculados'!R14="NV",'Registrados'!R14="Sem registro"),"NV","N/A"))</x:f>
        <x:v>NV</x:v>
      </x:c>
      <x:c r="S14" s="17" t="str">
        <x:f>IF(AND(ISNUMBER('Recalculados'!S14),ISNUMBER('Registrados'!S14)),ROUND(('Recalculados'!S14-'Registrados'!S14),8),IF(OR('Recalculados'!S14="NV",'Registrados'!S14="Sem registro"),"NV","N/A"))</x:f>
        <x:v>NV</x:v>
      </x:c>
      <x:c r="T14" s="23" t="str">
        <x:f>IF(AND(ISNUMBER('Recalculados'!T14),ISNUMBER('Registrados'!T14)),ROUND(('Recalculados'!T14-'Registrados'!T14)*100,8),IF(OR('Recalculados'!T14="NV",'Registrados'!T14="Sem registro"),"NV","N/A"))</x:f>
        <x:v>NV</x:v>
      </x:c>
      <x:c r="U14" s="17" t="str">
        <x:f>IF(AND(ISNUMBER('Recalculados'!U14),ISNUMBER('Registrados'!U14)),ROUND(('Recalculados'!U14-'Registrados'!U14),8),IF(OR('Recalculados'!U14="NV",'Registrados'!U14="Sem registro"),"NV","N/A"))</x:f>
        <x:v>NV</x:v>
      </x:c>
      <x:c r="V14" s="23" t="str">
        <x:f>IF(AND(ISNUMBER('Recalculados'!V14),ISNUMBER('Registrados'!V14)),ROUND(('Recalculados'!V14-'Registrados'!V14)*100,8),IF(OR('Recalculados'!V14="NV",'Registrados'!V14="Sem registro"),"NV","N/A"))</x:f>
        <x:v>NV</x:v>
      </x:c>
      <x:c r="W14" s="23" t="str">
        <x:f>IF(AND(ISNUMBER('Recalculados'!W14),ISNUMBER('Registrados'!W14)),ROUND(('Recalculados'!W14-'Registrados'!W14)*100,8),IF(OR('Recalculados'!W14="NV",'Registrados'!W14="Sem registro"),"NV","N/A"))</x:f>
        <x:v>NV</x:v>
      </x:c>
      <x:c r="X14" s="17" t="str">
        <x:f>IF(AND(ISNUMBER('Recalculados'!X14),ISNUMBER('Registrados'!X14)),ROUND(('Recalculados'!X14-'Registrados'!X14),8),IF(OR('Recalculados'!X14="NV",'Registrados'!X14="Sem registro"),"NV","N/A"))</x:f>
        <x:v>NV</x:v>
      </x:c>
      <x:c r="Y14" s="17" t="str">
        <x:f>IF(AND(ISNUMBER('Recalculados'!Y14),ISNUMBER('Registrados'!Y14)),ROUND(('Recalculados'!Y14-'Registrados'!Y14),8),IF(OR('Recalculados'!Y14="NV",'Registrados'!Y14="Sem registro"),"NV","N/A"))</x:f>
        <x:v>NV</x:v>
      </x:c>
      <x:c r="Z14" s="17" t="str">
        <x:f>IF(AND(ISNUMBER('Recalculados'!Z14),ISNUMBER('Registrados'!Z14)),ROUND(('Recalculados'!Z14-'Registrados'!Z14),8),IF(OR('Recalculados'!Z14="NV",'Registrados'!Z14="Sem registro"),"NV","N/A"))</x:f>
        <x:v>NV</x:v>
      </x:c>
      <x:c r="AA14" s="21" t="str">
        <x:f>IF(AND(ISNUMBER('Recalculados'!AA14),ISNUMBER('Registrados'!AA14)),ROUND(('Recalculados'!AA14-'Registrados'!AA14),8),IF(OR('Recalculados'!AA14="NV",'Registrados'!AA14="Sem registro"),"NV","N/A"))</x:f>
        <x:v>NV</x:v>
      </x:c>
      <x:c r="AB14" s="21" t="str">
        <x:f>IF(AND(ISNUMBER('Recalculados'!AB14),ISNUMBER('Registrados'!AB14)),ROUND(('Recalculados'!AB14-'Registrados'!AB14),8),IF(OR('Recalculados'!AB14="NV",'Registrados'!AB14="Sem registro"),"NV","N/A"))</x:f>
        <x:v>NV</x:v>
      </x:c>
      <x:c r="AC14" s="17" t="str">
        <x:f>IF(AND(ISNUMBER('Recalculados'!AC14),ISNUMBER('Registrados'!AC14)),ROUND(('Recalculados'!AC14-'Registrados'!AC14),8),IF(OR('Recalculados'!AC14="NV",'Registrados'!AC14="Sem registro"),"NV","N/A"))</x:f>
        <x:v>NV</x:v>
      </x:c>
      <x:c r="AD14" s="16" t="str">
        <x:v>collected_code_6/glm-5.1/feedback-dynamic-r0-t1.0-p1.0</x:v>
      </x:c>
      <x:c r="AE14" s="12"/>
    </x:row>
    <x:row r="15" ht="40" customHeight="1">
      <x:c r="A15" s="2"/>
      <x:c r="B15" s="9" t="str">
        <x:v>glm-5.1</x:v>
      </x:c>
      <x:c r="C15" s="8" t="str">
        <x:v>feedback-static-r0-t1.0-p1.0</x:v>
      </x:c>
      <x:c r="D15" s="18" t="str">
        <x:f>IF(AND(ISNUMBER('Recalculados'!D15),ISNUMBER('Registrados'!D15)),ROUND(('Recalculados'!D15-'Registrados'!D15),8),IF(OR('Recalculados'!D15="NV",'Registrados'!D15="Sem registro"),"NV","N/A"))</x:f>
        <x:v>NV</x:v>
      </x:c>
      <x:c r="E15" s="24" t="str">
        <x:f>IF(AND(ISNUMBER('Recalculados'!E15),ISNUMBER('Registrados'!E15)),ROUND(('Recalculados'!E15-'Registrados'!E15)*100,8),IF(OR('Recalculados'!E15="NV",'Registrados'!E15="Sem registro"),"NV","N/A"))</x:f>
        <x:v>NV</x:v>
      </x:c>
      <x:c r="F15" s="18" t="str">
        <x:f>IF(AND(ISNUMBER('Recalculados'!F15),ISNUMBER('Registrados'!F15)),ROUND(('Recalculados'!F15-'Registrados'!F15),8),IF(OR('Recalculados'!F15="NV",'Registrados'!F15="Sem registro"),"NV","N/A"))</x:f>
        <x:v>NV</x:v>
      </x:c>
      <x:c r="G15" s="18" t="str">
        <x:f>IF(AND(ISNUMBER('Recalculados'!G15),ISNUMBER('Registrados'!G15)),ROUND(('Recalculados'!G15-'Registrados'!G15),8),IF(OR('Recalculados'!G15="NV",'Registrados'!G15="Sem registro"),"NV","N/A"))</x:f>
        <x:v>NV</x:v>
      </x:c>
      <x:c r="H15" s="24" t="str">
        <x:f>IF(AND(ISNUMBER('Recalculados'!H15),ISNUMBER('Registrados'!H15)),ROUND(('Recalculados'!H15-'Registrados'!H15)*100,8),IF(OR('Recalculados'!H15="NV",'Registrados'!H15="Sem registro"),"NV","N/A"))</x:f>
        <x:v>NV</x:v>
      </x:c>
      <x:c r="I15" s="18" t="str">
        <x:f>IF(AND(ISNUMBER('Recalculados'!I15),ISNUMBER('Registrados'!I15)),ROUND(('Recalculados'!I15-'Registrados'!I15),8),IF(OR('Recalculados'!I15="NV",'Registrados'!I15="Sem registro"),"NV","N/A"))</x:f>
        <x:v>NV</x:v>
      </x:c>
      <x:c r="J15" s="18" t="str">
        <x:f>IF(AND(ISNUMBER('Recalculados'!J15),ISNUMBER('Registrados'!J15)),ROUND(('Recalculados'!J15-'Registrados'!J15),8),IF(OR('Recalculados'!J15="NV",'Registrados'!J15="Sem registro"),"NV","N/A"))</x:f>
        <x:v>NV</x:v>
      </x:c>
      <x:c r="K15" s="18" t="str">
        <x:f>IF(AND(ISNUMBER('Recalculados'!K15),ISNUMBER('Registrados'!K15)),ROUND(('Recalculados'!K15-'Registrados'!K15),8),IF(OR('Recalculados'!K15="NV",'Registrados'!K15="Sem registro"),"NV","N/A"))</x:f>
        <x:v>NV</x:v>
      </x:c>
      <x:c r="L15" s="18" t="str">
        <x:f>IF(AND(ISNUMBER('Recalculados'!L15),ISNUMBER('Registrados'!L15)),ROUND(('Recalculados'!L15-'Registrados'!L15),8),IF(OR('Recalculados'!L15="NV",'Registrados'!L15="Sem registro"),"NV","N/A"))</x:f>
        <x:v>NV</x:v>
      </x:c>
      <x:c r="M15" s="18" t="str">
        <x:f>IF(AND(ISNUMBER('Recalculados'!M15),ISNUMBER('Registrados'!M15)),ROUND(('Recalculados'!M15-'Registrados'!M15),8),IF(OR('Recalculados'!M15="NV",'Registrados'!M15="Sem registro"),"NV","N/A"))</x:f>
        <x:v>NV</x:v>
      </x:c>
      <x:c r="N15" s="18" t="str">
        <x:f>IF(AND(ISNUMBER('Recalculados'!N15),ISNUMBER('Registrados'!N15)),ROUND(('Recalculados'!N15-'Registrados'!N15),8),IF(OR('Recalculados'!N15="NV",'Registrados'!N15="Sem registro"),"NV","N/A"))</x:f>
        <x:v>NV</x:v>
      </x:c>
      <x:c r="O15" s="18" t="str">
        <x:f>IF(AND(ISNUMBER('Recalculados'!O15),ISNUMBER('Registrados'!O15)),ROUND(('Recalculados'!O15-'Registrados'!O15),8),IF(OR('Recalculados'!O15="NV",'Registrados'!O15="Sem registro"),"NV","N/A"))</x:f>
        <x:v>NV</x:v>
      </x:c>
      <x:c r="P15" s="18" t="str">
        <x:f>IF(AND(ISNUMBER('Recalculados'!P15),ISNUMBER('Registrados'!P15)),ROUND(('Recalculados'!P15-'Registrados'!P15),8),IF(OR('Recalculados'!P15="NV",'Registrados'!P15="Sem registro"),"NV","N/A"))</x:f>
        <x:v>NV</x:v>
      </x:c>
      <x:c r="Q15" s="18" t="str">
        <x:f>IF(AND(ISNUMBER('Recalculados'!Q15),ISNUMBER('Registrados'!Q15)),ROUND(('Recalculados'!Q15-'Registrados'!Q15),8),IF(OR('Recalculados'!Q15="NV",'Registrados'!Q15="Sem registro"),"NV","N/A"))</x:f>
        <x:v>NV</x:v>
      </x:c>
      <x:c r="R15" s="18" t="str">
        <x:f>IF(AND(ISNUMBER('Recalculados'!R15),ISNUMBER('Registrados'!R15)),ROUND(('Recalculados'!R15-'Registrados'!R15),8),IF(OR('Recalculados'!R15="NV",'Registrados'!R15="Sem registro"),"NV","N/A"))</x:f>
        <x:v>NV</x:v>
      </x:c>
      <x:c r="S15" s="18" t="str">
        <x:f>IF(AND(ISNUMBER('Recalculados'!S15),ISNUMBER('Registrados'!S15)),ROUND(('Recalculados'!S15-'Registrados'!S15),8),IF(OR('Recalculados'!S15="NV",'Registrados'!S15="Sem registro"),"NV","N/A"))</x:f>
        <x:v>NV</x:v>
      </x:c>
      <x:c r="T15" s="24" t="str">
        <x:f>IF(AND(ISNUMBER('Recalculados'!T15),ISNUMBER('Registrados'!T15)),ROUND(('Recalculados'!T15-'Registrados'!T15)*100,8),IF(OR('Recalculados'!T15="NV",'Registrados'!T15="Sem registro"),"NV","N/A"))</x:f>
        <x:v>NV</x:v>
      </x:c>
      <x:c r="U15" s="18" t="str">
        <x:f>IF(AND(ISNUMBER('Recalculados'!U15),ISNUMBER('Registrados'!U15)),ROUND(('Recalculados'!U15-'Registrados'!U15),8),IF(OR('Recalculados'!U15="NV",'Registrados'!U15="Sem registro"),"NV","N/A"))</x:f>
        <x:v>NV</x:v>
      </x:c>
      <x:c r="V15" s="24" t="str">
        <x:f>IF(AND(ISNUMBER('Recalculados'!V15),ISNUMBER('Registrados'!V15)),ROUND(('Recalculados'!V15-'Registrados'!V15)*100,8),IF(OR('Recalculados'!V15="NV",'Registrados'!V15="Sem registro"),"NV","N/A"))</x:f>
        <x:v>NV</x:v>
      </x:c>
      <x:c r="W15" s="24" t="str">
        <x:f>IF(AND(ISNUMBER('Recalculados'!W15),ISNUMBER('Registrados'!W15)),ROUND(('Recalculados'!W15-'Registrados'!W15)*100,8),IF(OR('Recalculados'!W15="NV",'Registrados'!W15="Sem registro"),"NV","N/A"))</x:f>
        <x:v>NV</x:v>
      </x:c>
      <x:c r="X15" s="18" t="str">
        <x:f>IF(AND(ISNUMBER('Recalculados'!X15),ISNUMBER('Registrados'!X15)),ROUND(('Recalculados'!X15-'Registrados'!X15),8),IF(OR('Recalculados'!X15="NV",'Registrados'!X15="Sem registro"),"NV","N/A"))</x:f>
        <x:v>NV</x:v>
      </x:c>
      <x:c r="Y15" s="18" t="str">
        <x:f>IF(AND(ISNUMBER('Recalculados'!Y15),ISNUMBER('Registrados'!Y15)),ROUND(('Recalculados'!Y15-'Registrados'!Y15),8),IF(OR('Recalculados'!Y15="NV",'Registrados'!Y15="Sem registro"),"NV","N/A"))</x:f>
        <x:v>NV</x:v>
      </x:c>
      <x:c r="Z15" s="18" t="str">
        <x:f>IF(AND(ISNUMBER('Recalculados'!Z15),ISNUMBER('Registrados'!Z15)),ROUND(('Recalculados'!Z15-'Registrados'!Z15),8),IF(OR('Recalculados'!Z15="NV",'Registrados'!Z15="Sem registro"),"NV","N/A"))</x:f>
        <x:v>NV</x:v>
      </x:c>
      <x:c r="AA15" s="22" t="str">
        <x:f>IF(AND(ISNUMBER('Recalculados'!AA15),ISNUMBER('Registrados'!AA15)),ROUND(('Recalculados'!AA15-'Registrados'!AA15),8),IF(OR('Recalculados'!AA15="NV",'Registrados'!AA15="Sem registro"),"NV","N/A"))</x:f>
        <x:v>NV</x:v>
      </x:c>
      <x:c r="AB15" s="22" t="str">
        <x:f>IF(AND(ISNUMBER('Recalculados'!AB15),ISNUMBER('Registrados'!AB15)),ROUND(('Recalculados'!AB15-'Registrados'!AB15),8),IF(OR('Recalculados'!AB15="NV",'Registrados'!AB15="Sem registro"),"NV","N/A"))</x:f>
        <x:v>NV</x:v>
      </x:c>
      <x:c r="AC15" s="18" t="str">
        <x:f>IF(AND(ISNUMBER('Recalculados'!AC15),ISNUMBER('Registrados'!AC15)),ROUND(('Recalculados'!AC15-'Registrados'!AC15),8),IF(OR('Recalculados'!AC15="NV",'Registrados'!AC15="Sem registro"),"NV","N/A"))</x:f>
        <x:v>NV</x:v>
      </x:c>
      <x:c r="AD15" s="11" t="str">
        <x:v>collected_code_6/glm-5.1/feedback-static-r0-t1.0-p1.0</x:v>
      </x:c>
      <x:c r="AE15" s="12"/>
    </x:row>
    <x:row r="16" ht="40" customHeight="1">
      <x:c r="A16" s="2"/>
      <x:c r="B16" s="9" t="str">
        <x:v>glm-5.1</x:v>
      </x:c>
      <x:c r="C16" s="8" t="str">
        <x:v>feedback-static+dynamic-r0-t0.2-p1.0</x:v>
      </x:c>
      <x:c r="D16" s="18" t="str">
        <x:f>IF(AND(ISNUMBER('Recalculados'!D16),ISNUMBER('Registrados'!D16)),ROUND(('Recalculados'!D16-'Registrados'!D16),8),IF(OR('Recalculados'!D16="NV",'Registrados'!D16="Sem registro"),"NV","N/A"))</x:f>
        <x:v>NV</x:v>
      </x:c>
      <x:c r="E16" s="24" t="str">
        <x:f>IF(AND(ISNUMBER('Recalculados'!E16),ISNUMBER('Registrados'!E16)),ROUND(('Recalculados'!E16-'Registrados'!E16)*100,8),IF(OR('Recalculados'!E16="NV",'Registrados'!E16="Sem registro"),"NV","N/A"))</x:f>
        <x:v>NV</x:v>
      </x:c>
      <x:c r="F16" s="18" t="str">
        <x:f>IF(AND(ISNUMBER('Recalculados'!F16),ISNUMBER('Registrados'!F16)),ROUND(('Recalculados'!F16-'Registrados'!F16),8),IF(OR('Recalculados'!F16="NV",'Registrados'!F16="Sem registro"),"NV","N/A"))</x:f>
        <x:v>NV</x:v>
      </x:c>
      <x:c r="G16" s="18" t="str">
        <x:f>IF(AND(ISNUMBER('Recalculados'!G16),ISNUMBER('Registrados'!G16)),ROUND(('Recalculados'!G16-'Registrados'!G16),8),IF(OR('Recalculados'!G16="NV",'Registrados'!G16="Sem registro"),"NV","N/A"))</x:f>
        <x:v>NV</x:v>
      </x:c>
      <x:c r="H16" s="24" t="str">
        <x:f>IF(AND(ISNUMBER('Recalculados'!H16),ISNUMBER('Registrados'!H16)),ROUND(('Recalculados'!H16-'Registrados'!H16)*100,8),IF(OR('Recalculados'!H16="NV",'Registrados'!H16="Sem registro"),"NV","N/A"))</x:f>
        <x:v>NV</x:v>
      </x:c>
      <x:c r="I16" s="18" t="str">
        <x:f>IF(AND(ISNUMBER('Recalculados'!I16),ISNUMBER('Registrados'!I16)),ROUND(('Recalculados'!I16-'Registrados'!I16),8),IF(OR('Recalculados'!I16="NV",'Registrados'!I16="Sem registro"),"NV","N/A"))</x:f>
        <x:v>NV</x:v>
      </x:c>
      <x:c r="J16" s="18" t="str">
        <x:f>IF(AND(ISNUMBER('Recalculados'!J16),ISNUMBER('Registrados'!J16)),ROUND(('Recalculados'!J16-'Registrados'!J16),8),IF(OR('Recalculados'!J16="NV",'Registrados'!J16="Sem registro"),"NV","N/A"))</x:f>
        <x:v>NV</x:v>
      </x:c>
      <x:c r="K16" s="18" t="str">
        <x:f>IF(AND(ISNUMBER('Recalculados'!K16),ISNUMBER('Registrados'!K16)),ROUND(('Recalculados'!K16-'Registrados'!K16),8),IF(OR('Recalculados'!K16="NV",'Registrados'!K16="Sem registro"),"NV","N/A"))</x:f>
        <x:v>NV</x:v>
      </x:c>
      <x:c r="L16" s="18" t="str">
        <x:f>IF(AND(ISNUMBER('Recalculados'!L16),ISNUMBER('Registrados'!L16)),ROUND(('Recalculados'!L16-'Registrados'!L16),8),IF(OR('Recalculados'!L16="NV",'Registrados'!L16="Sem registro"),"NV","N/A"))</x:f>
        <x:v>NV</x:v>
      </x:c>
      <x:c r="M16" s="18" t="str">
        <x:f>IF(AND(ISNUMBER('Recalculados'!M16),ISNUMBER('Registrados'!M16)),ROUND(('Recalculados'!M16-'Registrados'!M16),8),IF(OR('Recalculados'!M16="NV",'Registrados'!M16="Sem registro"),"NV","N/A"))</x:f>
        <x:v>NV</x:v>
      </x:c>
      <x:c r="N16" s="18" t="str">
        <x:f>IF(AND(ISNUMBER('Recalculados'!N16),ISNUMBER('Registrados'!N16)),ROUND(('Recalculados'!N16-'Registrados'!N16),8),IF(OR('Recalculados'!N16="NV",'Registrados'!N16="Sem registro"),"NV","N/A"))</x:f>
        <x:v>NV</x:v>
      </x:c>
      <x:c r="O16" s="18" t="str">
        <x:f>IF(AND(ISNUMBER('Recalculados'!O16),ISNUMBER('Registrados'!O16)),ROUND(('Recalculados'!O16-'Registrados'!O16),8),IF(OR('Recalculados'!O16="NV",'Registrados'!O16="Sem registro"),"NV","N/A"))</x:f>
        <x:v>NV</x:v>
      </x:c>
      <x:c r="P16" s="18" t="str">
        <x:f>IF(AND(ISNUMBER('Recalculados'!P16),ISNUMBER('Registrados'!P16)),ROUND(('Recalculados'!P16-'Registrados'!P16),8),IF(OR('Recalculados'!P16="NV",'Registrados'!P16="Sem registro"),"NV","N/A"))</x:f>
        <x:v>NV</x:v>
      </x:c>
      <x:c r="Q16" s="18" t="str">
        <x:f>IF(AND(ISNUMBER('Recalculados'!Q16),ISNUMBER('Registrados'!Q16)),ROUND(('Recalculados'!Q16-'Registrados'!Q16),8),IF(OR('Recalculados'!Q16="NV",'Registrados'!Q16="Sem registro"),"NV","N/A"))</x:f>
        <x:v>NV</x:v>
      </x:c>
      <x:c r="R16" s="18" t="str">
        <x:f>IF(AND(ISNUMBER('Recalculados'!R16),ISNUMBER('Registrados'!R16)),ROUND(('Recalculados'!R16-'Registrados'!R16),8),IF(OR('Recalculados'!R16="NV",'Registrados'!R16="Sem registro"),"NV","N/A"))</x:f>
        <x:v>NV</x:v>
      </x:c>
      <x:c r="S16" s="18" t="str">
        <x:f>IF(AND(ISNUMBER('Recalculados'!S16),ISNUMBER('Registrados'!S16)),ROUND(('Recalculados'!S16-'Registrados'!S16),8),IF(OR('Recalculados'!S16="NV",'Registrados'!S16="Sem registro"),"NV","N/A"))</x:f>
        <x:v>NV</x:v>
      </x:c>
      <x:c r="T16" s="24" t="str">
        <x:f>IF(AND(ISNUMBER('Recalculados'!T16),ISNUMBER('Registrados'!T16)),ROUND(('Recalculados'!T16-'Registrados'!T16)*100,8),IF(OR('Recalculados'!T16="NV",'Registrados'!T16="Sem registro"),"NV","N/A"))</x:f>
        <x:v>NV</x:v>
      </x:c>
      <x:c r="U16" s="18" t="str">
        <x:f>IF(AND(ISNUMBER('Recalculados'!U16),ISNUMBER('Registrados'!U16)),ROUND(('Recalculados'!U16-'Registrados'!U16),8),IF(OR('Recalculados'!U16="NV",'Registrados'!U16="Sem registro"),"NV","N/A"))</x:f>
        <x:v>NV</x:v>
      </x:c>
      <x:c r="V16" s="24" t="str">
        <x:f>IF(AND(ISNUMBER('Recalculados'!V16),ISNUMBER('Registrados'!V16)),ROUND(('Recalculados'!V16-'Registrados'!V16)*100,8),IF(OR('Recalculados'!V16="NV",'Registrados'!V16="Sem registro"),"NV","N/A"))</x:f>
        <x:v>NV</x:v>
      </x:c>
      <x:c r="W16" s="24" t="str">
        <x:f>IF(AND(ISNUMBER('Recalculados'!W16),ISNUMBER('Registrados'!W16)),ROUND(('Recalculados'!W16-'Registrados'!W16)*100,8),IF(OR('Recalculados'!W16="NV",'Registrados'!W16="Sem registro"),"NV","N/A"))</x:f>
        <x:v>NV</x:v>
      </x:c>
      <x:c r="X16" s="18" t="str">
        <x:f>IF(AND(ISNUMBER('Recalculados'!X16),ISNUMBER('Registrados'!X16)),ROUND(('Recalculados'!X16-'Registrados'!X16),8),IF(OR('Recalculados'!X16="NV",'Registrados'!X16="Sem registro"),"NV","N/A"))</x:f>
        <x:v>NV</x:v>
      </x:c>
      <x:c r="Y16" s="18" t="str">
        <x:f>IF(AND(ISNUMBER('Recalculados'!Y16),ISNUMBER('Registrados'!Y16)),ROUND(('Recalculados'!Y16-'Registrados'!Y16),8),IF(OR('Recalculados'!Y16="NV",'Registrados'!Y16="Sem registro"),"NV","N/A"))</x:f>
        <x:v>NV</x:v>
      </x:c>
      <x:c r="Z16" s="18" t="str">
        <x:f>IF(AND(ISNUMBER('Recalculados'!Z16),ISNUMBER('Registrados'!Z16)),ROUND(('Recalculados'!Z16-'Registrados'!Z16),8),IF(OR('Recalculados'!Z16="NV",'Registrados'!Z16="Sem registro"),"NV","N/A"))</x:f>
        <x:v>NV</x:v>
      </x:c>
      <x:c r="AA16" s="22" t="str">
        <x:f>IF(AND(ISNUMBER('Recalculados'!AA16),ISNUMBER('Registrados'!AA16)),ROUND(('Recalculados'!AA16-'Registrados'!AA16),8),IF(OR('Recalculados'!AA16="NV",'Registrados'!AA16="Sem registro"),"NV","N/A"))</x:f>
        <x:v>NV</x:v>
      </x:c>
      <x:c r="AB16" s="22" t="str">
        <x:f>IF(AND(ISNUMBER('Recalculados'!AB16),ISNUMBER('Registrados'!AB16)),ROUND(('Recalculados'!AB16-'Registrados'!AB16),8),IF(OR('Recalculados'!AB16="NV",'Registrados'!AB16="Sem registro"),"NV","N/A"))</x:f>
        <x:v>NV</x:v>
      </x:c>
      <x:c r="AC16" s="18" t="str">
        <x:f>IF(AND(ISNUMBER('Recalculados'!AC16),ISNUMBER('Registrados'!AC16)),ROUND(('Recalculados'!AC16-'Registrados'!AC16),8),IF(OR('Recalculados'!AC16="NV",'Registrados'!AC16="Sem registro"),"NV","N/A"))</x:f>
        <x:v>NV</x:v>
      </x:c>
      <x:c r="AD16" s="11" t="str">
        <x:v>collected_code_6/glm-5.1/feedback-static+dynamic-r0-t0.2-p1.0</x:v>
      </x:c>
      <x:c r="AE16" s="12"/>
    </x:row>
    <x:row r="17" ht="40" customHeight="1">
      <x:c r="A17" s="2"/>
      <x:c r="B17" s="9" t="str">
        <x:v>glm-5.1</x:v>
      </x:c>
      <x:c r="C17" s="8" t="str">
        <x:v>feedback-static+dynamic-r0-t1.0-p0.5</x:v>
      </x:c>
      <x:c r="D17" s="18" t="str">
        <x:f>IF(AND(ISNUMBER('Recalculados'!D17),ISNUMBER('Registrados'!D17)),ROUND(('Recalculados'!D17-'Registrados'!D17),8),IF(OR('Recalculados'!D17="NV",'Registrados'!D17="Sem registro"),"NV","N/A"))</x:f>
        <x:v>NV</x:v>
      </x:c>
      <x:c r="E17" s="24" t="str">
        <x:f>IF(AND(ISNUMBER('Recalculados'!E17),ISNUMBER('Registrados'!E17)),ROUND(('Recalculados'!E17-'Registrados'!E17)*100,8),IF(OR('Recalculados'!E17="NV",'Registrados'!E17="Sem registro"),"NV","N/A"))</x:f>
        <x:v>NV</x:v>
      </x:c>
      <x:c r="F17" s="18" t="str">
        <x:f>IF(AND(ISNUMBER('Recalculados'!F17),ISNUMBER('Registrados'!F17)),ROUND(('Recalculados'!F17-'Registrados'!F17),8),IF(OR('Recalculados'!F17="NV",'Registrados'!F17="Sem registro"),"NV","N/A"))</x:f>
        <x:v>NV</x:v>
      </x:c>
      <x:c r="G17" s="18" t="str">
        <x:f>IF(AND(ISNUMBER('Recalculados'!G17),ISNUMBER('Registrados'!G17)),ROUND(('Recalculados'!G17-'Registrados'!G17),8),IF(OR('Recalculados'!G17="NV",'Registrados'!G17="Sem registro"),"NV","N/A"))</x:f>
        <x:v>NV</x:v>
      </x:c>
      <x:c r="H17" s="24" t="str">
        <x:f>IF(AND(ISNUMBER('Recalculados'!H17),ISNUMBER('Registrados'!H17)),ROUND(('Recalculados'!H17-'Registrados'!H17)*100,8),IF(OR('Recalculados'!H17="NV",'Registrados'!H17="Sem registro"),"NV","N/A"))</x:f>
        <x:v>NV</x:v>
      </x:c>
      <x:c r="I17" s="18" t="str">
        <x:f>IF(AND(ISNUMBER('Recalculados'!I17),ISNUMBER('Registrados'!I17)),ROUND(('Recalculados'!I17-'Registrados'!I17),8),IF(OR('Recalculados'!I17="NV",'Registrados'!I17="Sem registro"),"NV","N/A"))</x:f>
        <x:v>NV</x:v>
      </x:c>
      <x:c r="J17" s="18" t="str">
        <x:f>IF(AND(ISNUMBER('Recalculados'!J17),ISNUMBER('Registrados'!J17)),ROUND(('Recalculados'!J17-'Registrados'!J17),8),IF(OR('Recalculados'!J17="NV",'Registrados'!J17="Sem registro"),"NV","N/A"))</x:f>
        <x:v>NV</x:v>
      </x:c>
      <x:c r="K17" s="18" t="str">
        <x:f>IF(AND(ISNUMBER('Recalculados'!K17),ISNUMBER('Registrados'!K17)),ROUND(('Recalculados'!K17-'Registrados'!K17),8),IF(OR('Recalculados'!K17="NV",'Registrados'!K17="Sem registro"),"NV","N/A"))</x:f>
        <x:v>NV</x:v>
      </x:c>
      <x:c r="L17" s="18" t="str">
        <x:f>IF(AND(ISNUMBER('Recalculados'!L17),ISNUMBER('Registrados'!L17)),ROUND(('Recalculados'!L17-'Registrados'!L17),8),IF(OR('Recalculados'!L17="NV",'Registrados'!L17="Sem registro"),"NV","N/A"))</x:f>
        <x:v>NV</x:v>
      </x:c>
      <x:c r="M17" s="18" t="str">
        <x:f>IF(AND(ISNUMBER('Recalculados'!M17),ISNUMBER('Registrados'!M17)),ROUND(('Recalculados'!M17-'Registrados'!M17),8),IF(OR('Recalculados'!M17="NV",'Registrados'!M17="Sem registro"),"NV","N/A"))</x:f>
        <x:v>NV</x:v>
      </x:c>
      <x:c r="N17" s="18" t="str">
        <x:f>IF(AND(ISNUMBER('Recalculados'!N17),ISNUMBER('Registrados'!N17)),ROUND(('Recalculados'!N17-'Registrados'!N17),8),IF(OR('Recalculados'!N17="NV",'Registrados'!N17="Sem registro"),"NV","N/A"))</x:f>
        <x:v>NV</x:v>
      </x:c>
      <x:c r="O17" s="18" t="str">
        <x:f>IF(AND(ISNUMBER('Recalculados'!O17),ISNUMBER('Registrados'!O17)),ROUND(('Recalculados'!O17-'Registrados'!O17),8),IF(OR('Recalculados'!O17="NV",'Registrados'!O17="Sem registro"),"NV","N/A"))</x:f>
        <x:v>NV</x:v>
      </x:c>
      <x:c r="P17" s="18" t="str">
        <x:f>IF(AND(ISNUMBER('Recalculados'!P17),ISNUMBER('Registrados'!P17)),ROUND(('Recalculados'!P17-'Registrados'!P17),8),IF(OR('Recalculados'!P17="NV",'Registrados'!P17="Sem registro"),"NV","N/A"))</x:f>
        <x:v>NV</x:v>
      </x:c>
      <x:c r="Q17" s="18" t="str">
        <x:f>IF(AND(ISNUMBER('Recalculados'!Q17),ISNUMBER('Registrados'!Q17)),ROUND(('Recalculados'!Q17-'Registrados'!Q17),8),IF(OR('Recalculados'!Q17="NV",'Registrados'!Q17="Sem registro"),"NV","N/A"))</x:f>
        <x:v>NV</x:v>
      </x:c>
      <x:c r="R17" s="18" t="str">
        <x:f>IF(AND(ISNUMBER('Recalculados'!R17),ISNUMBER('Registrados'!R17)),ROUND(('Recalculados'!R17-'Registrados'!R17),8),IF(OR('Recalculados'!R17="NV",'Registrados'!R17="Sem registro"),"NV","N/A"))</x:f>
        <x:v>NV</x:v>
      </x:c>
      <x:c r="S17" s="18" t="str">
        <x:f>IF(AND(ISNUMBER('Recalculados'!S17),ISNUMBER('Registrados'!S17)),ROUND(('Recalculados'!S17-'Registrados'!S17),8),IF(OR('Recalculados'!S17="NV",'Registrados'!S17="Sem registro"),"NV","N/A"))</x:f>
        <x:v>NV</x:v>
      </x:c>
      <x:c r="T17" s="24" t="str">
        <x:f>IF(AND(ISNUMBER('Recalculados'!T17),ISNUMBER('Registrados'!T17)),ROUND(('Recalculados'!T17-'Registrados'!T17)*100,8),IF(OR('Recalculados'!T17="NV",'Registrados'!T17="Sem registro"),"NV","N/A"))</x:f>
        <x:v>NV</x:v>
      </x:c>
      <x:c r="U17" s="18" t="str">
        <x:f>IF(AND(ISNUMBER('Recalculados'!U17),ISNUMBER('Registrados'!U17)),ROUND(('Recalculados'!U17-'Registrados'!U17),8),IF(OR('Recalculados'!U17="NV",'Registrados'!U17="Sem registro"),"NV","N/A"))</x:f>
        <x:v>NV</x:v>
      </x:c>
      <x:c r="V17" s="24" t="str">
        <x:f>IF(AND(ISNUMBER('Recalculados'!V17),ISNUMBER('Registrados'!V17)),ROUND(('Recalculados'!V17-'Registrados'!V17)*100,8),IF(OR('Recalculados'!V17="NV",'Registrados'!V17="Sem registro"),"NV","N/A"))</x:f>
        <x:v>NV</x:v>
      </x:c>
      <x:c r="W17" s="24" t="str">
        <x:f>IF(AND(ISNUMBER('Recalculados'!W17),ISNUMBER('Registrados'!W17)),ROUND(('Recalculados'!W17-'Registrados'!W17)*100,8),IF(OR('Recalculados'!W17="NV",'Registrados'!W17="Sem registro"),"NV","N/A"))</x:f>
        <x:v>NV</x:v>
      </x:c>
      <x:c r="X17" s="18" t="str">
        <x:f>IF(AND(ISNUMBER('Recalculados'!X17),ISNUMBER('Registrados'!X17)),ROUND(('Recalculados'!X17-'Registrados'!X17),8),IF(OR('Recalculados'!X17="NV",'Registrados'!X17="Sem registro"),"NV","N/A"))</x:f>
        <x:v>NV</x:v>
      </x:c>
      <x:c r="Y17" s="18" t="str">
        <x:f>IF(AND(ISNUMBER('Recalculados'!Y17),ISNUMBER('Registrados'!Y17)),ROUND(('Recalculados'!Y17-'Registrados'!Y17),8),IF(OR('Recalculados'!Y17="NV",'Registrados'!Y17="Sem registro"),"NV","N/A"))</x:f>
        <x:v>NV</x:v>
      </x:c>
      <x:c r="Z17" s="18" t="str">
        <x:f>IF(AND(ISNUMBER('Recalculados'!Z17),ISNUMBER('Registrados'!Z17)),ROUND(('Recalculados'!Z17-'Registrados'!Z17),8),IF(OR('Recalculados'!Z17="NV",'Registrados'!Z17="Sem registro"),"NV","N/A"))</x:f>
        <x:v>NV</x:v>
      </x:c>
      <x:c r="AA17" s="22" t="str">
        <x:f>IF(AND(ISNUMBER('Recalculados'!AA17),ISNUMBER('Registrados'!AA17)),ROUND(('Recalculados'!AA17-'Registrados'!AA17),8),IF(OR('Recalculados'!AA17="NV",'Registrados'!AA17="Sem registro"),"NV","N/A"))</x:f>
        <x:v>NV</x:v>
      </x:c>
      <x:c r="AB17" s="22" t="str">
        <x:f>IF(AND(ISNUMBER('Recalculados'!AB17),ISNUMBER('Registrados'!AB17)),ROUND(('Recalculados'!AB17-'Registrados'!AB17),8),IF(OR('Recalculados'!AB17="NV",'Registrados'!AB17="Sem registro"),"NV","N/A"))</x:f>
        <x:v>NV</x:v>
      </x:c>
      <x:c r="AC17" s="18" t="str">
        <x:f>IF(AND(ISNUMBER('Recalculados'!AC17),ISNUMBER('Registrados'!AC17)),ROUND(('Recalculados'!AC17-'Registrados'!AC17),8),IF(OR('Recalculados'!AC17="NV",'Registrados'!AC17="Sem registro"),"NV","N/A"))</x:f>
        <x:v>NV</x:v>
      </x:c>
      <x:c r="AD17" s="11" t="str">
        <x:v>collected_code_6/glm-5.1/feedback-static+dynamic-r0-t1.0-p0.5</x:v>
      </x:c>
      <x:c r="AE17" s="12"/>
    </x:row>
    <x:row r="18" ht="40" customHeight="1">
      <x:c r="A18" s="2"/>
      <x:c r="B18" s="9" t="str">
        <x:v>glm-5.1</x:v>
      </x:c>
      <x:c r="C18" s="8" t="str">
        <x:v>feedback-static+dynamic-r0-t1.0-p1.0</x:v>
      </x:c>
      <x:c r="D18" s="18" t="str">
        <x:f>IF(AND(ISNUMBER('Recalculados'!D18),ISNUMBER('Registrados'!D18)),ROUND(('Recalculados'!D18-'Registrados'!D18),8),IF(OR('Recalculados'!D18="NV",'Registrados'!D18="Sem registro"),"NV","N/A"))</x:f>
        <x:v>NV</x:v>
      </x:c>
      <x:c r="E18" s="24" t="str">
        <x:f>IF(AND(ISNUMBER('Recalculados'!E18),ISNUMBER('Registrados'!E18)),ROUND(('Recalculados'!E18-'Registrados'!E18)*100,8),IF(OR('Recalculados'!E18="NV",'Registrados'!E18="Sem registro"),"NV","N/A"))</x:f>
        <x:v>NV</x:v>
      </x:c>
      <x:c r="F18" s="18" t="str">
        <x:f>IF(AND(ISNUMBER('Recalculados'!F18),ISNUMBER('Registrados'!F18)),ROUND(('Recalculados'!F18-'Registrados'!F18),8),IF(OR('Recalculados'!F18="NV",'Registrados'!F18="Sem registro"),"NV","N/A"))</x:f>
        <x:v>NV</x:v>
      </x:c>
      <x:c r="G18" s="18" t="str">
        <x:f>IF(AND(ISNUMBER('Recalculados'!G18),ISNUMBER('Registrados'!G18)),ROUND(('Recalculados'!G18-'Registrados'!G18),8),IF(OR('Recalculados'!G18="NV",'Registrados'!G18="Sem registro"),"NV","N/A"))</x:f>
        <x:v>NV</x:v>
      </x:c>
      <x:c r="H18" s="24" t="str">
        <x:f>IF(AND(ISNUMBER('Recalculados'!H18),ISNUMBER('Registrados'!H18)),ROUND(('Recalculados'!H18-'Registrados'!H18)*100,8),IF(OR('Recalculados'!H18="NV",'Registrados'!H18="Sem registro"),"NV","N/A"))</x:f>
        <x:v>NV</x:v>
      </x:c>
      <x:c r="I18" s="18" t="str">
        <x:f>IF(AND(ISNUMBER('Recalculados'!I18),ISNUMBER('Registrados'!I18)),ROUND(('Recalculados'!I18-'Registrados'!I18),8),IF(OR('Recalculados'!I18="NV",'Registrados'!I18="Sem registro"),"NV","N/A"))</x:f>
        <x:v>NV</x:v>
      </x:c>
      <x:c r="J18" s="18" t="str">
        <x:f>IF(AND(ISNUMBER('Recalculados'!J18),ISNUMBER('Registrados'!J18)),ROUND(('Recalculados'!J18-'Registrados'!J18),8),IF(OR('Recalculados'!J18="NV",'Registrados'!J18="Sem registro"),"NV","N/A"))</x:f>
        <x:v>NV</x:v>
      </x:c>
      <x:c r="K18" s="18" t="str">
        <x:f>IF(AND(ISNUMBER('Recalculados'!K18),ISNUMBER('Registrados'!K18)),ROUND(('Recalculados'!K18-'Registrados'!K18),8),IF(OR('Recalculados'!K18="NV",'Registrados'!K18="Sem registro"),"NV","N/A"))</x:f>
        <x:v>NV</x:v>
      </x:c>
      <x:c r="L18" s="18" t="str">
        <x:f>IF(AND(ISNUMBER('Recalculados'!L18),ISNUMBER('Registrados'!L18)),ROUND(('Recalculados'!L18-'Registrados'!L18),8),IF(OR('Recalculados'!L18="NV",'Registrados'!L18="Sem registro"),"NV","N/A"))</x:f>
        <x:v>NV</x:v>
      </x:c>
      <x:c r="M18" s="18" t="str">
        <x:f>IF(AND(ISNUMBER('Recalculados'!M18),ISNUMBER('Registrados'!M18)),ROUND(('Recalculados'!M18-'Registrados'!M18),8),IF(OR('Recalculados'!M18="NV",'Registrados'!M18="Sem registro"),"NV","N/A"))</x:f>
        <x:v>NV</x:v>
      </x:c>
      <x:c r="N18" s="18" t="str">
        <x:f>IF(AND(ISNUMBER('Recalculados'!N18),ISNUMBER('Registrados'!N18)),ROUND(('Recalculados'!N18-'Registrados'!N18),8),IF(OR('Recalculados'!N18="NV",'Registrados'!N18="Sem registro"),"NV","N/A"))</x:f>
        <x:v>NV</x:v>
      </x:c>
      <x:c r="O18" s="18" t="str">
        <x:f>IF(AND(ISNUMBER('Recalculados'!O18),ISNUMBER('Registrados'!O18)),ROUND(('Recalculados'!O18-'Registrados'!O18),8),IF(OR('Recalculados'!O18="NV",'Registrados'!O18="Sem registro"),"NV","N/A"))</x:f>
        <x:v>NV</x:v>
      </x:c>
      <x:c r="P18" s="18" t="str">
        <x:f>IF(AND(ISNUMBER('Recalculados'!P18),ISNUMBER('Registrados'!P18)),ROUND(('Recalculados'!P18-'Registrados'!P18),8),IF(OR('Recalculados'!P18="NV",'Registrados'!P18="Sem registro"),"NV","N/A"))</x:f>
        <x:v>NV</x:v>
      </x:c>
      <x:c r="Q18" s="18" t="str">
        <x:f>IF(AND(ISNUMBER('Recalculados'!Q18),ISNUMBER('Registrados'!Q18)),ROUND(('Recalculados'!Q18-'Registrados'!Q18),8),IF(OR('Recalculados'!Q18="NV",'Registrados'!Q18="Sem registro"),"NV","N/A"))</x:f>
        <x:v>NV</x:v>
      </x:c>
      <x:c r="R18" s="18" t="str">
        <x:f>IF(AND(ISNUMBER('Recalculados'!R18),ISNUMBER('Registrados'!R18)),ROUND(('Recalculados'!R18-'Registrados'!R18),8),IF(OR('Recalculados'!R18="NV",'Registrados'!R18="Sem registro"),"NV","N/A"))</x:f>
        <x:v>NV</x:v>
      </x:c>
      <x:c r="S18" s="18" t="str">
        <x:f>IF(AND(ISNUMBER('Recalculados'!S18),ISNUMBER('Registrados'!S18)),ROUND(('Recalculados'!S18-'Registrados'!S18),8),IF(OR('Recalculados'!S18="NV",'Registrados'!S18="Sem registro"),"NV","N/A"))</x:f>
        <x:v>NV</x:v>
      </x:c>
      <x:c r="T18" s="24" t="str">
        <x:f>IF(AND(ISNUMBER('Recalculados'!T18),ISNUMBER('Registrados'!T18)),ROUND(('Recalculados'!T18-'Registrados'!T18)*100,8),IF(OR('Recalculados'!T18="NV",'Registrados'!T18="Sem registro"),"NV","N/A"))</x:f>
        <x:v>NV</x:v>
      </x:c>
      <x:c r="U18" s="18" t="str">
        <x:f>IF(AND(ISNUMBER('Recalculados'!U18),ISNUMBER('Registrados'!U18)),ROUND(('Recalculados'!U18-'Registrados'!U18),8),IF(OR('Recalculados'!U18="NV",'Registrados'!U18="Sem registro"),"NV","N/A"))</x:f>
        <x:v>NV</x:v>
      </x:c>
      <x:c r="V18" s="24" t="str">
        <x:f>IF(AND(ISNUMBER('Recalculados'!V18),ISNUMBER('Registrados'!V18)),ROUND(('Recalculados'!V18-'Registrados'!V18)*100,8),IF(OR('Recalculados'!V18="NV",'Registrados'!V18="Sem registro"),"NV","N/A"))</x:f>
        <x:v>NV</x:v>
      </x:c>
      <x:c r="W18" s="24" t="str">
        <x:f>IF(AND(ISNUMBER('Recalculados'!W18),ISNUMBER('Registrados'!W18)),ROUND(('Recalculados'!W18-'Registrados'!W18)*100,8),IF(OR('Recalculados'!W18="NV",'Registrados'!W18="Sem registro"),"NV","N/A"))</x:f>
        <x:v>NV</x:v>
      </x:c>
      <x:c r="X18" s="18" t="str">
        <x:f>IF(AND(ISNUMBER('Recalculados'!X18),ISNUMBER('Registrados'!X18)),ROUND(('Recalculados'!X18-'Registrados'!X18),8),IF(OR('Recalculados'!X18="NV",'Registrados'!X18="Sem registro"),"NV","N/A"))</x:f>
        <x:v>NV</x:v>
      </x:c>
      <x:c r="Y18" s="18" t="str">
        <x:f>IF(AND(ISNUMBER('Recalculados'!Y18),ISNUMBER('Registrados'!Y18)),ROUND(('Recalculados'!Y18-'Registrados'!Y18),8),IF(OR('Recalculados'!Y18="NV",'Registrados'!Y18="Sem registro"),"NV","N/A"))</x:f>
        <x:v>NV</x:v>
      </x:c>
      <x:c r="Z18" s="18" t="str">
        <x:f>IF(AND(ISNUMBER('Recalculados'!Z18),ISNUMBER('Registrados'!Z18)),ROUND(('Recalculados'!Z18-'Registrados'!Z18),8),IF(OR('Recalculados'!Z18="NV",'Registrados'!Z18="Sem registro"),"NV","N/A"))</x:f>
        <x:v>NV</x:v>
      </x:c>
      <x:c r="AA18" s="22" t="str">
        <x:f>IF(AND(ISNUMBER('Recalculados'!AA18),ISNUMBER('Registrados'!AA18)),ROUND(('Recalculados'!AA18-'Registrados'!AA18),8),IF(OR('Recalculados'!AA18="NV",'Registrados'!AA18="Sem registro"),"NV","N/A"))</x:f>
        <x:v>NV</x:v>
      </x:c>
      <x:c r="AB18" s="22" t="str">
        <x:f>IF(AND(ISNUMBER('Recalculados'!AB18),ISNUMBER('Registrados'!AB18)),ROUND(('Recalculados'!AB18-'Registrados'!AB18),8),IF(OR('Recalculados'!AB18="NV",'Registrados'!AB18="Sem registro"),"NV","N/A"))</x:f>
        <x:v>NV</x:v>
      </x:c>
      <x:c r="AC18" s="18" t="str">
        <x:f>IF(AND(ISNUMBER('Recalculados'!AC18),ISNUMBER('Registrados'!AC18)),ROUND(('Recalculados'!AC18-'Registrados'!AC18),8),IF(OR('Recalculados'!AC18="NV",'Registrados'!AC18="Sem registro"),"NV","N/A"))</x:f>
        <x:v>NV</x:v>
      </x:c>
      <x:c r="AD18" s="11" t="str">
        <x:v>collected_code_6/glm-5.1/feedback-static+dynamic-r0-t1.0-p1.0</x:v>
      </x:c>
      <x:c r="AE18" s="12"/>
    </x:row>
    <x:row r="19" ht="40" customHeight="1">
      <x:c r="A19" s="2"/>
      <x:c r="B19" s="13" t="str">
        <x:v>glm-5.1-thinking</x:v>
      </x:c>
      <x:c r="C19" s="14" t="str">
        <x:v>feedback-static-r1-t1.0-p1.0</x:v>
      </x:c>
      <x:c r="D19" s="17" t="str">
        <x:f>IF(AND(ISNUMBER('Recalculados'!D19),ISNUMBER('Registrados'!D19)),ROUND(('Recalculados'!D19-'Registrados'!D19),8),IF(OR('Recalculados'!D19="NV",'Registrados'!D19="Sem registro"),"NV","N/A"))</x:f>
        <x:v>NV</x:v>
      </x:c>
      <x:c r="E19" s="23" t="str">
        <x:f>IF(AND(ISNUMBER('Recalculados'!E19),ISNUMBER('Registrados'!E19)),ROUND(('Recalculados'!E19-'Registrados'!E19)*100,8),IF(OR('Recalculados'!E19="NV",'Registrados'!E19="Sem registro"),"NV","N/A"))</x:f>
        <x:v>NV</x:v>
      </x:c>
      <x:c r="F19" s="17" t="str">
        <x:f>IF(AND(ISNUMBER('Recalculados'!F19),ISNUMBER('Registrados'!F19)),ROUND(('Recalculados'!F19-'Registrados'!F19),8),IF(OR('Recalculados'!F19="NV",'Registrados'!F19="Sem registro"),"NV","N/A"))</x:f>
        <x:v>NV</x:v>
      </x:c>
      <x:c r="G19" s="17" t="str">
        <x:f>IF(AND(ISNUMBER('Recalculados'!G19),ISNUMBER('Registrados'!G19)),ROUND(('Recalculados'!G19-'Registrados'!G19),8),IF(OR('Recalculados'!G19="NV",'Registrados'!G19="Sem registro"),"NV","N/A"))</x:f>
        <x:v>NV</x:v>
      </x:c>
      <x:c r="H19" s="23" t="str">
        <x:f>IF(AND(ISNUMBER('Recalculados'!H19),ISNUMBER('Registrados'!H19)),ROUND(('Recalculados'!H19-'Registrados'!H19)*100,8),IF(OR('Recalculados'!H19="NV",'Registrados'!H19="Sem registro"),"NV","N/A"))</x:f>
        <x:v>NV</x:v>
      </x:c>
      <x:c r="I19" s="17" t="str">
        <x:f>IF(AND(ISNUMBER('Recalculados'!I19),ISNUMBER('Registrados'!I19)),ROUND(('Recalculados'!I19-'Registrados'!I19),8),IF(OR('Recalculados'!I19="NV",'Registrados'!I19="Sem registro"),"NV","N/A"))</x:f>
        <x:v>NV</x:v>
      </x:c>
      <x:c r="J19" s="17" t="str">
        <x:f>IF(AND(ISNUMBER('Recalculados'!J19),ISNUMBER('Registrados'!J19)),ROUND(('Recalculados'!J19-'Registrados'!J19),8),IF(OR('Recalculados'!J19="NV",'Registrados'!J19="Sem registro"),"NV","N/A"))</x:f>
        <x:v>NV</x:v>
      </x:c>
      <x:c r="K19" s="17" t="str">
        <x:f>IF(AND(ISNUMBER('Recalculados'!K19),ISNUMBER('Registrados'!K19)),ROUND(('Recalculados'!K19-'Registrados'!K19),8),IF(OR('Recalculados'!K19="NV",'Registrados'!K19="Sem registro"),"NV","N/A"))</x:f>
        <x:v>NV</x:v>
      </x:c>
      <x:c r="L19" s="17" t="str">
        <x:f>IF(AND(ISNUMBER('Recalculados'!L19),ISNUMBER('Registrados'!L19)),ROUND(('Recalculados'!L19-'Registrados'!L19),8),IF(OR('Recalculados'!L19="NV",'Registrados'!L19="Sem registro"),"NV","N/A"))</x:f>
        <x:v>NV</x:v>
      </x:c>
      <x:c r="M19" s="17" t="str">
        <x:f>IF(AND(ISNUMBER('Recalculados'!M19),ISNUMBER('Registrados'!M19)),ROUND(('Recalculados'!M19-'Registrados'!M19),8),IF(OR('Recalculados'!M19="NV",'Registrados'!M19="Sem registro"),"NV","N/A"))</x:f>
        <x:v>NV</x:v>
      </x:c>
      <x:c r="N19" s="17" t="str">
        <x:f>IF(AND(ISNUMBER('Recalculados'!N19),ISNUMBER('Registrados'!N19)),ROUND(('Recalculados'!N19-'Registrados'!N19),8),IF(OR('Recalculados'!N19="NV",'Registrados'!N19="Sem registro"),"NV","N/A"))</x:f>
        <x:v>NV</x:v>
      </x:c>
      <x:c r="O19" s="17" t="str">
        <x:f>IF(AND(ISNUMBER('Recalculados'!O19),ISNUMBER('Registrados'!O19)),ROUND(('Recalculados'!O19-'Registrados'!O19),8),IF(OR('Recalculados'!O19="NV",'Registrados'!O19="Sem registro"),"NV","N/A"))</x:f>
        <x:v>NV</x:v>
      </x:c>
      <x:c r="P19" s="17" t="str">
        <x:f>IF(AND(ISNUMBER('Recalculados'!P19),ISNUMBER('Registrados'!P19)),ROUND(('Recalculados'!P19-'Registrados'!P19),8),IF(OR('Recalculados'!P19="NV",'Registrados'!P19="Sem registro"),"NV","N/A"))</x:f>
        <x:v>NV</x:v>
      </x:c>
      <x:c r="Q19" s="17" t="str">
        <x:f>IF(AND(ISNUMBER('Recalculados'!Q19),ISNUMBER('Registrados'!Q19)),ROUND(('Recalculados'!Q19-'Registrados'!Q19),8),IF(OR('Recalculados'!Q19="NV",'Registrados'!Q19="Sem registro"),"NV","N/A"))</x:f>
        <x:v>NV</x:v>
      </x:c>
      <x:c r="R19" s="17" t="str">
        <x:f>IF(AND(ISNUMBER('Recalculados'!R19),ISNUMBER('Registrados'!R19)),ROUND(('Recalculados'!R19-'Registrados'!R19),8),IF(OR('Recalculados'!R19="NV",'Registrados'!R19="Sem registro"),"NV","N/A"))</x:f>
        <x:v>NV</x:v>
      </x:c>
      <x:c r="S19" s="17" t="str">
        <x:f>IF(AND(ISNUMBER('Recalculados'!S19),ISNUMBER('Registrados'!S19)),ROUND(('Recalculados'!S19-'Registrados'!S19),8),IF(OR('Recalculados'!S19="NV",'Registrados'!S19="Sem registro"),"NV","N/A"))</x:f>
        <x:v>NV</x:v>
      </x:c>
      <x:c r="T19" s="23" t="str">
        <x:f>IF(AND(ISNUMBER('Recalculados'!T19),ISNUMBER('Registrados'!T19)),ROUND(('Recalculados'!T19-'Registrados'!T19)*100,8),IF(OR('Recalculados'!T19="NV",'Registrados'!T19="Sem registro"),"NV","N/A"))</x:f>
        <x:v>NV</x:v>
      </x:c>
      <x:c r="U19" s="17" t="str">
        <x:f>IF(AND(ISNUMBER('Recalculados'!U19),ISNUMBER('Registrados'!U19)),ROUND(('Recalculados'!U19-'Registrados'!U19),8),IF(OR('Recalculados'!U19="NV",'Registrados'!U19="Sem registro"),"NV","N/A"))</x:f>
        <x:v>NV</x:v>
      </x:c>
      <x:c r="V19" s="23" t="str">
        <x:f>IF(AND(ISNUMBER('Recalculados'!V19),ISNUMBER('Registrados'!V19)),ROUND(('Recalculados'!V19-'Registrados'!V19)*100,8),IF(OR('Recalculados'!V19="NV",'Registrados'!V19="Sem registro"),"NV","N/A"))</x:f>
        <x:v>NV</x:v>
      </x:c>
      <x:c r="W19" s="23" t="str">
        <x:f>IF(AND(ISNUMBER('Recalculados'!W19),ISNUMBER('Registrados'!W19)),ROUND(('Recalculados'!W19-'Registrados'!W19)*100,8),IF(OR('Recalculados'!W19="NV",'Registrados'!W19="Sem registro"),"NV","N/A"))</x:f>
        <x:v>NV</x:v>
      </x:c>
      <x:c r="X19" s="17" t="str">
        <x:f>IF(AND(ISNUMBER('Recalculados'!X19),ISNUMBER('Registrados'!X19)),ROUND(('Recalculados'!X19-'Registrados'!X19),8),IF(OR('Recalculados'!X19="NV",'Registrados'!X19="Sem registro"),"NV","N/A"))</x:f>
        <x:v>NV</x:v>
      </x:c>
      <x:c r="Y19" s="17" t="str">
        <x:f>IF(AND(ISNUMBER('Recalculados'!Y19),ISNUMBER('Registrados'!Y19)),ROUND(('Recalculados'!Y19-'Registrados'!Y19),8),IF(OR('Recalculados'!Y19="NV",'Registrados'!Y19="Sem registro"),"NV","N/A"))</x:f>
        <x:v>NV</x:v>
      </x:c>
      <x:c r="Z19" s="17" t="str">
        <x:f>IF(AND(ISNUMBER('Recalculados'!Z19),ISNUMBER('Registrados'!Z19)),ROUND(('Recalculados'!Z19-'Registrados'!Z19),8),IF(OR('Recalculados'!Z19="NV",'Registrados'!Z19="Sem registro"),"NV","N/A"))</x:f>
        <x:v>NV</x:v>
      </x:c>
      <x:c r="AA19" s="21" t="str">
        <x:f>IF(AND(ISNUMBER('Recalculados'!AA19),ISNUMBER('Registrados'!AA19)),ROUND(('Recalculados'!AA19-'Registrados'!AA19),8),IF(OR('Recalculados'!AA19="NV",'Registrados'!AA19="Sem registro"),"NV","N/A"))</x:f>
        <x:v>NV</x:v>
      </x:c>
      <x:c r="AB19" s="21" t="str">
        <x:f>IF(AND(ISNUMBER('Recalculados'!AB19),ISNUMBER('Registrados'!AB19)),ROUND(('Recalculados'!AB19-'Registrados'!AB19),8),IF(OR('Recalculados'!AB19="NV",'Registrados'!AB19="Sem registro"),"NV","N/A"))</x:f>
        <x:v>NV</x:v>
      </x:c>
      <x:c r="AC19" s="17" t="str">
        <x:f>IF(AND(ISNUMBER('Recalculados'!AC19),ISNUMBER('Registrados'!AC19)),ROUND(('Recalculados'!AC19-'Registrados'!AC19),8),IF(OR('Recalculados'!AC19="NV",'Registrados'!AC19="Sem registro"),"NV","N/A"))</x:f>
        <x:v>NV</x:v>
      </x:c>
      <x:c r="AD19" s="16" t="str">
        <x:v>collected_code_6/glm-5.1-thinking/feedback-static-r1-t1.0-p1.0</x:v>
      </x:c>
      <x:c r="AE19" s="12"/>
    </x:row>
    <x:row r="20" ht="40" customHeight="1">
      <x:c r="A20" s="2"/>
      <x:c r="B20" s="13" t="str">
        <x:v>kimi-k3</x:v>
      </x:c>
      <x:c r="C20" s="14" t="str">
        <x:v>feedback-dynamic-r0-t1.0-p1.0</x:v>
      </x:c>
      <x:c r="D20" s="17" t="str">
        <x:f>IF(AND(ISNUMBER('Recalculados'!D20),ISNUMBER('Registrados'!D20)),ROUND(('Recalculados'!D20-'Registrados'!D20),8),IF(OR('Recalculados'!D20="NV",'Registrados'!D20="Sem registro"),"NV","N/A"))</x:f>
        <x:v>NV</x:v>
      </x:c>
      <x:c r="E20" s="23" t="str">
        <x:f>IF(AND(ISNUMBER('Recalculados'!E20),ISNUMBER('Registrados'!E20)),ROUND(('Recalculados'!E20-'Registrados'!E20)*100,8),IF(OR('Recalculados'!E20="NV",'Registrados'!E20="Sem registro"),"NV","N/A"))</x:f>
        <x:v>NV</x:v>
      </x:c>
      <x:c r="F20" s="17" t="str">
        <x:f>IF(AND(ISNUMBER('Recalculados'!F20),ISNUMBER('Registrados'!F20)),ROUND(('Recalculados'!F20-'Registrados'!F20),8),IF(OR('Recalculados'!F20="NV",'Registrados'!F20="Sem registro"),"NV","N/A"))</x:f>
        <x:v>NV</x:v>
      </x:c>
      <x:c r="G20" s="17" t="str">
        <x:f>IF(AND(ISNUMBER('Recalculados'!G20),ISNUMBER('Registrados'!G20)),ROUND(('Recalculados'!G20-'Registrados'!G20),8),IF(OR('Recalculados'!G20="NV",'Registrados'!G20="Sem registro"),"NV","N/A"))</x:f>
        <x:v>NV</x:v>
      </x:c>
      <x:c r="H20" s="23" t="str">
        <x:f>IF(AND(ISNUMBER('Recalculados'!H20),ISNUMBER('Registrados'!H20)),ROUND(('Recalculados'!H20-'Registrados'!H20)*100,8),IF(OR('Recalculados'!H20="NV",'Registrados'!H20="Sem registro"),"NV","N/A"))</x:f>
        <x:v>NV</x:v>
      </x:c>
      <x:c r="I20" s="17" t="str">
        <x:f>IF(AND(ISNUMBER('Recalculados'!I20),ISNUMBER('Registrados'!I20)),ROUND(('Recalculados'!I20-'Registrados'!I20),8),IF(OR('Recalculados'!I20="NV",'Registrados'!I20="Sem registro"),"NV","N/A"))</x:f>
        <x:v>NV</x:v>
      </x:c>
      <x:c r="J20" s="17" t="str">
        <x:f>IF(AND(ISNUMBER('Recalculados'!J20),ISNUMBER('Registrados'!J20)),ROUND(('Recalculados'!J20-'Registrados'!J20),8),IF(OR('Recalculados'!J20="NV",'Registrados'!J20="Sem registro"),"NV","N/A"))</x:f>
        <x:v>NV</x:v>
      </x:c>
      <x:c r="K20" s="17" t="str">
        <x:f>IF(AND(ISNUMBER('Recalculados'!K20),ISNUMBER('Registrados'!K20)),ROUND(('Recalculados'!K20-'Registrados'!K20),8),IF(OR('Recalculados'!K20="NV",'Registrados'!K20="Sem registro"),"NV","N/A"))</x:f>
        <x:v>NV</x:v>
      </x:c>
      <x:c r="L20" s="17" t="str">
        <x:f>IF(AND(ISNUMBER('Recalculados'!L20),ISNUMBER('Registrados'!L20)),ROUND(('Recalculados'!L20-'Registrados'!L20),8),IF(OR('Recalculados'!L20="NV",'Registrados'!L20="Sem registro"),"NV","N/A"))</x:f>
        <x:v>NV</x:v>
      </x:c>
      <x:c r="M20" s="17" t="str">
        <x:f>IF(AND(ISNUMBER('Recalculados'!M20),ISNUMBER('Registrados'!M20)),ROUND(('Recalculados'!M20-'Registrados'!M20),8),IF(OR('Recalculados'!M20="NV",'Registrados'!M20="Sem registro"),"NV","N/A"))</x:f>
        <x:v>NV</x:v>
      </x:c>
      <x:c r="N20" s="17" t="str">
        <x:f>IF(AND(ISNUMBER('Recalculados'!N20),ISNUMBER('Registrados'!N20)),ROUND(('Recalculados'!N20-'Registrados'!N20),8),IF(OR('Recalculados'!N20="NV",'Registrados'!N20="Sem registro"),"NV","N/A"))</x:f>
        <x:v>NV</x:v>
      </x:c>
      <x:c r="O20" s="17" t="str">
        <x:f>IF(AND(ISNUMBER('Recalculados'!O20),ISNUMBER('Registrados'!O20)),ROUND(('Recalculados'!O20-'Registrados'!O20),8),IF(OR('Recalculados'!O20="NV",'Registrados'!O20="Sem registro"),"NV","N/A"))</x:f>
        <x:v>NV</x:v>
      </x:c>
      <x:c r="P20" s="17" t="str">
        <x:f>IF(AND(ISNUMBER('Recalculados'!P20),ISNUMBER('Registrados'!P20)),ROUND(('Recalculados'!P20-'Registrados'!P20),8),IF(OR('Recalculados'!P20="NV",'Registrados'!P20="Sem registro"),"NV","N/A"))</x:f>
        <x:v>NV</x:v>
      </x:c>
      <x:c r="Q20" s="17" t="str">
        <x:f>IF(AND(ISNUMBER('Recalculados'!Q20),ISNUMBER('Registrados'!Q20)),ROUND(('Recalculados'!Q20-'Registrados'!Q20),8),IF(OR('Recalculados'!Q20="NV",'Registrados'!Q20="Sem registro"),"NV","N/A"))</x:f>
        <x:v>NV</x:v>
      </x:c>
      <x:c r="R20" s="17" t="str">
        <x:f>IF(AND(ISNUMBER('Recalculados'!R20),ISNUMBER('Registrados'!R20)),ROUND(('Recalculados'!R20-'Registrados'!R20),8),IF(OR('Recalculados'!R20="NV",'Registrados'!R20="Sem registro"),"NV","N/A"))</x:f>
        <x:v>NV</x:v>
      </x:c>
      <x:c r="S20" s="17" t="str">
        <x:f>IF(AND(ISNUMBER('Recalculados'!S20),ISNUMBER('Registrados'!S20)),ROUND(('Recalculados'!S20-'Registrados'!S20),8),IF(OR('Recalculados'!S20="NV",'Registrados'!S20="Sem registro"),"NV","N/A"))</x:f>
        <x:v>NV</x:v>
      </x:c>
      <x:c r="T20" s="23" t="str">
        <x:f>IF(AND(ISNUMBER('Recalculados'!T20),ISNUMBER('Registrados'!T20)),ROUND(('Recalculados'!T20-'Registrados'!T20)*100,8),IF(OR('Recalculados'!T20="NV",'Registrados'!T20="Sem registro"),"NV","N/A"))</x:f>
        <x:v>NV</x:v>
      </x:c>
      <x:c r="U20" s="17" t="str">
        <x:f>IF(AND(ISNUMBER('Recalculados'!U20),ISNUMBER('Registrados'!U20)),ROUND(('Recalculados'!U20-'Registrados'!U20),8),IF(OR('Recalculados'!U20="NV",'Registrados'!U20="Sem registro"),"NV","N/A"))</x:f>
        <x:v>NV</x:v>
      </x:c>
      <x:c r="V20" s="23" t="str">
        <x:f>IF(AND(ISNUMBER('Recalculados'!V20),ISNUMBER('Registrados'!V20)),ROUND(('Recalculados'!V20-'Registrados'!V20)*100,8),IF(OR('Recalculados'!V20="NV",'Registrados'!V20="Sem registro"),"NV","N/A"))</x:f>
        <x:v>NV</x:v>
      </x:c>
      <x:c r="W20" s="23" t="str">
        <x:f>IF(AND(ISNUMBER('Recalculados'!W20),ISNUMBER('Registrados'!W20)),ROUND(('Recalculados'!W20-'Registrados'!W20)*100,8),IF(OR('Recalculados'!W20="NV",'Registrados'!W20="Sem registro"),"NV","N/A"))</x:f>
        <x:v>NV</x:v>
      </x:c>
      <x:c r="X20" s="17" t="str">
        <x:f>IF(AND(ISNUMBER('Recalculados'!X20),ISNUMBER('Registrados'!X20)),ROUND(('Recalculados'!X20-'Registrados'!X20),8),IF(OR('Recalculados'!X20="NV",'Registrados'!X20="Sem registro"),"NV","N/A"))</x:f>
        <x:v>NV</x:v>
      </x:c>
      <x:c r="Y20" s="17" t="str">
        <x:f>IF(AND(ISNUMBER('Recalculados'!Y20),ISNUMBER('Registrados'!Y20)),ROUND(('Recalculados'!Y20-'Registrados'!Y20),8),IF(OR('Recalculados'!Y20="NV",'Registrados'!Y20="Sem registro"),"NV","N/A"))</x:f>
        <x:v>NV</x:v>
      </x:c>
      <x:c r="Z20" s="17" t="str">
        <x:f>IF(AND(ISNUMBER('Recalculados'!Z20),ISNUMBER('Registrados'!Z20)),ROUND(('Recalculados'!Z20-'Registrados'!Z20),8),IF(OR('Recalculados'!Z20="NV",'Registrados'!Z20="Sem registro"),"NV","N/A"))</x:f>
        <x:v>NV</x:v>
      </x:c>
      <x:c r="AA20" s="21" t="str">
        <x:f>IF(AND(ISNUMBER('Recalculados'!AA20),ISNUMBER('Registrados'!AA20)),ROUND(('Recalculados'!AA20-'Registrados'!AA20),8),IF(OR('Recalculados'!AA20="NV",'Registrados'!AA20="Sem registro"),"NV","N/A"))</x:f>
        <x:v>NV</x:v>
      </x:c>
      <x:c r="AB20" s="21" t="str">
        <x:f>IF(AND(ISNUMBER('Recalculados'!AB20),ISNUMBER('Registrados'!AB20)),ROUND(('Recalculados'!AB20-'Registrados'!AB20),8),IF(OR('Recalculados'!AB20="NV",'Registrados'!AB20="Sem registro"),"NV","N/A"))</x:f>
        <x:v>NV</x:v>
      </x:c>
      <x:c r="AC20" s="17" t="str">
        <x:f>IF(AND(ISNUMBER('Recalculados'!AC20),ISNUMBER('Registrados'!AC20)),ROUND(('Recalculados'!AC20-'Registrados'!AC20),8),IF(OR('Recalculados'!AC20="NV",'Registrados'!AC20="Sem registro"),"NV","N/A"))</x:f>
        <x:v>NV</x:v>
      </x:c>
      <x:c r="AD20" s="16" t="str">
        <x:v>collected_code_6/kimi-k3/feedback-dynamic-r0-t1.0-p1.0</x:v>
      </x:c>
      <x:c r="AE20" s="12"/>
    </x:row>
    <x:row r="21" ht="40" customHeight="1">
      <x:c r="A21" s="2"/>
      <x:c r="B21" s="9" t="str">
        <x:v>kimi-k3</x:v>
      </x:c>
      <x:c r="C21" s="8" t="str">
        <x:v>feedback-static-r0-t1.0-p1.0</x:v>
      </x:c>
      <x:c r="D21" s="18" t="str">
        <x:f>IF(AND(ISNUMBER('Recalculados'!D21),ISNUMBER('Registrados'!D21)),ROUND(('Recalculados'!D21-'Registrados'!D21),8),IF(OR('Recalculados'!D21="NV",'Registrados'!D21="Sem registro"),"NV","N/A"))</x:f>
        <x:v>NV</x:v>
      </x:c>
      <x:c r="E21" s="24" t="str">
        <x:f>IF(AND(ISNUMBER('Recalculados'!E21),ISNUMBER('Registrados'!E21)),ROUND(('Recalculados'!E21-'Registrados'!E21)*100,8),IF(OR('Recalculados'!E21="NV",'Registrados'!E21="Sem registro"),"NV","N/A"))</x:f>
        <x:v>NV</x:v>
      </x:c>
      <x:c r="F21" s="18" t="str">
        <x:f>IF(AND(ISNUMBER('Recalculados'!F21),ISNUMBER('Registrados'!F21)),ROUND(('Recalculados'!F21-'Registrados'!F21),8),IF(OR('Recalculados'!F21="NV",'Registrados'!F21="Sem registro"),"NV","N/A"))</x:f>
        <x:v>NV</x:v>
      </x:c>
      <x:c r="G21" s="18" t="str">
        <x:f>IF(AND(ISNUMBER('Recalculados'!G21),ISNUMBER('Registrados'!G21)),ROUND(('Recalculados'!G21-'Registrados'!G21),8),IF(OR('Recalculados'!G21="NV",'Registrados'!G21="Sem registro"),"NV","N/A"))</x:f>
        <x:v>NV</x:v>
      </x:c>
      <x:c r="H21" s="24" t="str">
        <x:f>IF(AND(ISNUMBER('Recalculados'!H21),ISNUMBER('Registrados'!H21)),ROUND(('Recalculados'!H21-'Registrados'!H21)*100,8),IF(OR('Recalculados'!H21="NV",'Registrados'!H21="Sem registro"),"NV","N/A"))</x:f>
        <x:v>NV</x:v>
      </x:c>
      <x:c r="I21" s="18" t="str">
        <x:f>IF(AND(ISNUMBER('Recalculados'!I21),ISNUMBER('Registrados'!I21)),ROUND(('Recalculados'!I21-'Registrados'!I21),8),IF(OR('Recalculados'!I21="NV",'Registrados'!I21="Sem registro"),"NV","N/A"))</x:f>
        <x:v>NV</x:v>
      </x:c>
      <x:c r="J21" s="18" t="str">
        <x:f>IF(AND(ISNUMBER('Recalculados'!J21),ISNUMBER('Registrados'!J21)),ROUND(('Recalculados'!J21-'Registrados'!J21),8),IF(OR('Recalculados'!J21="NV",'Registrados'!J21="Sem registro"),"NV","N/A"))</x:f>
        <x:v>NV</x:v>
      </x:c>
      <x:c r="K21" s="18" t="str">
        <x:f>IF(AND(ISNUMBER('Recalculados'!K21),ISNUMBER('Registrados'!K21)),ROUND(('Recalculados'!K21-'Registrados'!K21),8),IF(OR('Recalculados'!K21="NV",'Registrados'!K21="Sem registro"),"NV","N/A"))</x:f>
        <x:v>NV</x:v>
      </x:c>
      <x:c r="L21" s="18" t="str">
        <x:f>IF(AND(ISNUMBER('Recalculados'!L21),ISNUMBER('Registrados'!L21)),ROUND(('Recalculados'!L21-'Registrados'!L21),8),IF(OR('Recalculados'!L21="NV",'Registrados'!L21="Sem registro"),"NV","N/A"))</x:f>
        <x:v>NV</x:v>
      </x:c>
      <x:c r="M21" s="18" t="str">
        <x:f>IF(AND(ISNUMBER('Recalculados'!M21),ISNUMBER('Registrados'!M21)),ROUND(('Recalculados'!M21-'Registrados'!M21),8),IF(OR('Recalculados'!M21="NV",'Registrados'!M21="Sem registro"),"NV","N/A"))</x:f>
        <x:v>NV</x:v>
      </x:c>
      <x:c r="N21" s="18" t="str">
        <x:f>IF(AND(ISNUMBER('Recalculados'!N21),ISNUMBER('Registrados'!N21)),ROUND(('Recalculados'!N21-'Registrados'!N21),8),IF(OR('Recalculados'!N21="NV",'Registrados'!N21="Sem registro"),"NV","N/A"))</x:f>
        <x:v>NV</x:v>
      </x:c>
      <x:c r="O21" s="18" t="str">
        <x:f>IF(AND(ISNUMBER('Recalculados'!O21),ISNUMBER('Registrados'!O21)),ROUND(('Recalculados'!O21-'Registrados'!O21),8),IF(OR('Recalculados'!O21="NV",'Registrados'!O21="Sem registro"),"NV","N/A"))</x:f>
        <x:v>NV</x:v>
      </x:c>
      <x:c r="P21" s="18" t="str">
        <x:f>IF(AND(ISNUMBER('Recalculados'!P21),ISNUMBER('Registrados'!P21)),ROUND(('Recalculados'!P21-'Registrados'!P21),8),IF(OR('Recalculados'!P21="NV",'Registrados'!P21="Sem registro"),"NV","N/A"))</x:f>
        <x:v>NV</x:v>
      </x:c>
      <x:c r="Q21" s="18" t="str">
        <x:f>IF(AND(ISNUMBER('Recalculados'!Q21),ISNUMBER('Registrados'!Q21)),ROUND(('Recalculados'!Q21-'Registrados'!Q21),8),IF(OR('Recalculados'!Q21="NV",'Registrados'!Q21="Sem registro"),"NV","N/A"))</x:f>
        <x:v>NV</x:v>
      </x:c>
      <x:c r="R21" s="18" t="str">
        <x:f>IF(AND(ISNUMBER('Recalculados'!R21),ISNUMBER('Registrados'!R21)),ROUND(('Recalculados'!R21-'Registrados'!R21),8),IF(OR('Recalculados'!R21="NV",'Registrados'!R21="Sem registro"),"NV","N/A"))</x:f>
        <x:v>NV</x:v>
      </x:c>
      <x:c r="S21" s="18" t="str">
        <x:f>IF(AND(ISNUMBER('Recalculados'!S21),ISNUMBER('Registrados'!S21)),ROUND(('Recalculados'!S21-'Registrados'!S21),8),IF(OR('Recalculados'!S21="NV",'Registrados'!S21="Sem registro"),"NV","N/A"))</x:f>
        <x:v>NV</x:v>
      </x:c>
      <x:c r="T21" s="24" t="str">
        <x:f>IF(AND(ISNUMBER('Recalculados'!T21),ISNUMBER('Registrados'!T21)),ROUND(('Recalculados'!T21-'Registrados'!T21)*100,8),IF(OR('Recalculados'!T21="NV",'Registrados'!T21="Sem registro"),"NV","N/A"))</x:f>
        <x:v>NV</x:v>
      </x:c>
      <x:c r="U21" s="18" t="str">
        <x:f>IF(AND(ISNUMBER('Recalculados'!U21),ISNUMBER('Registrados'!U21)),ROUND(('Recalculados'!U21-'Registrados'!U21),8),IF(OR('Recalculados'!U21="NV",'Registrados'!U21="Sem registro"),"NV","N/A"))</x:f>
        <x:v>NV</x:v>
      </x:c>
      <x:c r="V21" s="24" t="str">
        <x:f>IF(AND(ISNUMBER('Recalculados'!V21),ISNUMBER('Registrados'!V21)),ROUND(('Recalculados'!V21-'Registrados'!V21)*100,8),IF(OR('Recalculados'!V21="NV",'Registrados'!V21="Sem registro"),"NV","N/A"))</x:f>
        <x:v>NV</x:v>
      </x:c>
      <x:c r="W21" s="24" t="str">
        <x:f>IF(AND(ISNUMBER('Recalculados'!W21),ISNUMBER('Registrados'!W21)),ROUND(('Recalculados'!W21-'Registrados'!W21)*100,8),IF(OR('Recalculados'!W21="NV",'Registrados'!W21="Sem registro"),"NV","N/A"))</x:f>
        <x:v>NV</x:v>
      </x:c>
      <x:c r="X21" s="18" t="str">
        <x:f>IF(AND(ISNUMBER('Recalculados'!X21),ISNUMBER('Registrados'!X21)),ROUND(('Recalculados'!X21-'Registrados'!X21),8),IF(OR('Recalculados'!X21="NV",'Registrados'!X21="Sem registro"),"NV","N/A"))</x:f>
        <x:v>NV</x:v>
      </x:c>
      <x:c r="Y21" s="18" t="str">
        <x:f>IF(AND(ISNUMBER('Recalculados'!Y21),ISNUMBER('Registrados'!Y21)),ROUND(('Recalculados'!Y21-'Registrados'!Y21),8),IF(OR('Recalculados'!Y21="NV",'Registrados'!Y21="Sem registro"),"NV","N/A"))</x:f>
        <x:v>NV</x:v>
      </x:c>
      <x:c r="Z21" s="18" t="str">
        <x:f>IF(AND(ISNUMBER('Recalculados'!Z21),ISNUMBER('Registrados'!Z21)),ROUND(('Recalculados'!Z21-'Registrados'!Z21),8),IF(OR('Recalculados'!Z21="NV",'Registrados'!Z21="Sem registro"),"NV","N/A"))</x:f>
        <x:v>NV</x:v>
      </x:c>
      <x:c r="AA21" s="22" t="str">
        <x:f>IF(AND(ISNUMBER('Recalculados'!AA21),ISNUMBER('Registrados'!AA21)),ROUND(('Recalculados'!AA21-'Registrados'!AA21),8),IF(OR('Recalculados'!AA21="NV",'Registrados'!AA21="Sem registro"),"NV","N/A"))</x:f>
        <x:v>NV</x:v>
      </x:c>
      <x:c r="AB21" s="22" t="str">
        <x:f>IF(AND(ISNUMBER('Recalculados'!AB21),ISNUMBER('Registrados'!AB21)),ROUND(('Recalculados'!AB21-'Registrados'!AB21),8),IF(OR('Recalculados'!AB21="NV",'Registrados'!AB21="Sem registro"),"NV","N/A"))</x:f>
        <x:v>NV</x:v>
      </x:c>
      <x:c r="AC21" s="18" t="str">
        <x:f>IF(AND(ISNUMBER('Recalculados'!AC21),ISNUMBER('Registrados'!AC21)),ROUND(('Recalculados'!AC21-'Registrados'!AC21),8),IF(OR('Recalculados'!AC21="NV",'Registrados'!AC21="Sem registro"),"NV","N/A"))</x:f>
        <x:v>NV</x:v>
      </x:c>
      <x:c r="AD21" s="11" t="str">
        <x:v>collected_code_6/kimi-k3/feedback-static-r0-t1.0-p1.0</x:v>
      </x:c>
      <x:c r="AE21" s="12"/>
    </x:row>
    <x:row r="22" ht="40" customHeight="1">
      <x:c r="A22" s="2"/>
      <x:c r="B22" s="9" t="str">
        <x:v>kimi-k3</x:v>
      </x:c>
      <x:c r="C22" s="8" t="str">
        <x:v>feedback-static+dynamic-r0-t1.0-p1.0</x:v>
      </x:c>
      <x:c r="D22" s="18" t="str">
        <x:f>IF(AND(ISNUMBER('Recalculados'!D22),ISNUMBER('Registrados'!D22)),ROUND(('Recalculados'!D22-'Registrados'!D22),8),IF(OR('Recalculados'!D22="NV",'Registrados'!D22="Sem registro"),"NV","N/A"))</x:f>
        <x:v>NV</x:v>
      </x:c>
      <x:c r="E22" s="24" t="str">
        <x:f>IF(AND(ISNUMBER('Recalculados'!E22),ISNUMBER('Registrados'!E22)),ROUND(('Recalculados'!E22-'Registrados'!E22)*100,8),IF(OR('Recalculados'!E22="NV",'Registrados'!E22="Sem registro"),"NV","N/A"))</x:f>
        <x:v>NV</x:v>
      </x:c>
      <x:c r="F22" s="18" t="str">
        <x:f>IF(AND(ISNUMBER('Recalculados'!F22),ISNUMBER('Registrados'!F22)),ROUND(('Recalculados'!F22-'Registrados'!F22),8),IF(OR('Recalculados'!F22="NV",'Registrados'!F22="Sem registro"),"NV","N/A"))</x:f>
        <x:v>NV</x:v>
      </x:c>
      <x:c r="G22" s="18" t="str">
        <x:f>IF(AND(ISNUMBER('Recalculados'!G22),ISNUMBER('Registrados'!G22)),ROUND(('Recalculados'!G22-'Registrados'!G22),8),IF(OR('Recalculados'!G22="NV",'Registrados'!G22="Sem registro"),"NV","N/A"))</x:f>
        <x:v>NV</x:v>
      </x:c>
      <x:c r="H22" s="24" t="str">
        <x:f>IF(AND(ISNUMBER('Recalculados'!H22),ISNUMBER('Registrados'!H22)),ROUND(('Recalculados'!H22-'Registrados'!H22)*100,8),IF(OR('Recalculados'!H22="NV",'Registrados'!H22="Sem registro"),"NV","N/A"))</x:f>
        <x:v>NV</x:v>
      </x:c>
      <x:c r="I22" s="18" t="str">
        <x:f>IF(AND(ISNUMBER('Recalculados'!I22),ISNUMBER('Registrados'!I22)),ROUND(('Recalculados'!I22-'Registrados'!I22),8),IF(OR('Recalculados'!I22="NV",'Registrados'!I22="Sem registro"),"NV","N/A"))</x:f>
        <x:v>NV</x:v>
      </x:c>
      <x:c r="J22" s="18" t="str">
        <x:f>IF(AND(ISNUMBER('Recalculados'!J22),ISNUMBER('Registrados'!J22)),ROUND(('Recalculados'!J22-'Registrados'!J22),8),IF(OR('Recalculados'!J22="NV",'Registrados'!J22="Sem registro"),"NV","N/A"))</x:f>
        <x:v>NV</x:v>
      </x:c>
      <x:c r="K22" s="18" t="str">
        <x:f>IF(AND(ISNUMBER('Recalculados'!K22),ISNUMBER('Registrados'!K22)),ROUND(('Recalculados'!K22-'Registrados'!K22),8),IF(OR('Recalculados'!K22="NV",'Registrados'!K22="Sem registro"),"NV","N/A"))</x:f>
        <x:v>NV</x:v>
      </x:c>
      <x:c r="L22" s="18" t="str">
        <x:f>IF(AND(ISNUMBER('Recalculados'!L22),ISNUMBER('Registrados'!L22)),ROUND(('Recalculados'!L22-'Registrados'!L22),8),IF(OR('Recalculados'!L22="NV",'Registrados'!L22="Sem registro"),"NV","N/A"))</x:f>
        <x:v>NV</x:v>
      </x:c>
      <x:c r="M22" s="18" t="str">
        <x:f>IF(AND(ISNUMBER('Recalculados'!M22),ISNUMBER('Registrados'!M22)),ROUND(('Recalculados'!M22-'Registrados'!M22),8),IF(OR('Recalculados'!M22="NV",'Registrados'!M22="Sem registro"),"NV","N/A"))</x:f>
        <x:v>NV</x:v>
      </x:c>
      <x:c r="N22" s="18" t="str">
        <x:f>IF(AND(ISNUMBER('Recalculados'!N22),ISNUMBER('Registrados'!N22)),ROUND(('Recalculados'!N22-'Registrados'!N22),8),IF(OR('Recalculados'!N22="NV",'Registrados'!N22="Sem registro"),"NV","N/A"))</x:f>
        <x:v>NV</x:v>
      </x:c>
      <x:c r="O22" s="18" t="str">
        <x:f>IF(AND(ISNUMBER('Recalculados'!O22),ISNUMBER('Registrados'!O22)),ROUND(('Recalculados'!O22-'Registrados'!O22),8),IF(OR('Recalculados'!O22="NV",'Registrados'!O22="Sem registro"),"NV","N/A"))</x:f>
        <x:v>NV</x:v>
      </x:c>
      <x:c r="P22" s="18" t="str">
        <x:f>IF(AND(ISNUMBER('Recalculados'!P22),ISNUMBER('Registrados'!P22)),ROUND(('Recalculados'!P22-'Registrados'!P22),8),IF(OR('Recalculados'!P22="NV",'Registrados'!P22="Sem registro"),"NV","N/A"))</x:f>
        <x:v>NV</x:v>
      </x:c>
      <x:c r="Q22" s="18" t="str">
        <x:f>IF(AND(ISNUMBER('Recalculados'!Q22),ISNUMBER('Registrados'!Q22)),ROUND(('Recalculados'!Q22-'Registrados'!Q22),8),IF(OR('Recalculados'!Q22="NV",'Registrados'!Q22="Sem registro"),"NV","N/A"))</x:f>
        <x:v>NV</x:v>
      </x:c>
      <x:c r="R22" s="18" t="str">
        <x:f>IF(AND(ISNUMBER('Recalculados'!R22),ISNUMBER('Registrados'!R22)),ROUND(('Recalculados'!R22-'Registrados'!R22),8),IF(OR('Recalculados'!R22="NV",'Registrados'!R22="Sem registro"),"NV","N/A"))</x:f>
        <x:v>NV</x:v>
      </x:c>
      <x:c r="S22" s="18" t="str">
        <x:f>IF(AND(ISNUMBER('Recalculados'!S22),ISNUMBER('Registrados'!S22)),ROUND(('Recalculados'!S22-'Registrados'!S22),8),IF(OR('Recalculados'!S22="NV",'Registrados'!S22="Sem registro"),"NV","N/A"))</x:f>
        <x:v>NV</x:v>
      </x:c>
      <x:c r="T22" s="24" t="str">
        <x:f>IF(AND(ISNUMBER('Recalculados'!T22),ISNUMBER('Registrados'!T22)),ROUND(('Recalculados'!T22-'Registrados'!T22)*100,8),IF(OR('Recalculados'!T22="NV",'Registrados'!T22="Sem registro"),"NV","N/A"))</x:f>
        <x:v>NV</x:v>
      </x:c>
      <x:c r="U22" s="18" t="str">
        <x:f>IF(AND(ISNUMBER('Recalculados'!U22),ISNUMBER('Registrados'!U22)),ROUND(('Recalculados'!U22-'Registrados'!U22),8),IF(OR('Recalculados'!U22="NV",'Registrados'!U22="Sem registro"),"NV","N/A"))</x:f>
        <x:v>NV</x:v>
      </x:c>
      <x:c r="V22" s="24" t="str">
        <x:f>IF(AND(ISNUMBER('Recalculados'!V22),ISNUMBER('Registrados'!V22)),ROUND(('Recalculados'!V22-'Registrados'!V22)*100,8),IF(OR('Recalculados'!V22="NV",'Registrados'!V22="Sem registro"),"NV","N/A"))</x:f>
        <x:v>NV</x:v>
      </x:c>
      <x:c r="W22" s="24" t="str">
        <x:f>IF(AND(ISNUMBER('Recalculados'!W22),ISNUMBER('Registrados'!W22)),ROUND(('Recalculados'!W22-'Registrados'!W22)*100,8),IF(OR('Recalculados'!W22="NV",'Registrados'!W22="Sem registro"),"NV","N/A"))</x:f>
        <x:v>NV</x:v>
      </x:c>
      <x:c r="X22" s="18" t="str">
        <x:f>IF(AND(ISNUMBER('Recalculados'!X22),ISNUMBER('Registrados'!X22)),ROUND(('Recalculados'!X22-'Registrados'!X22),8),IF(OR('Recalculados'!X22="NV",'Registrados'!X22="Sem registro"),"NV","N/A"))</x:f>
        <x:v>NV</x:v>
      </x:c>
      <x:c r="Y22" s="18" t="str">
        <x:f>IF(AND(ISNUMBER('Recalculados'!Y22),ISNUMBER('Registrados'!Y22)),ROUND(('Recalculados'!Y22-'Registrados'!Y22),8),IF(OR('Recalculados'!Y22="NV",'Registrados'!Y22="Sem registro"),"NV","N/A"))</x:f>
        <x:v>NV</x:v>
      </x:c>
      <x:c r="Z22" s="18" t="str">
        <x:f>IF(AND(ISNUMBER('Recalculados'!Z22),ISNUMBER('Registrados'!Z22)),ROUND(('Recalculados'!Z22-'Registrados'!Z22),8),IF(OR('Recalculados'!Z22="NV",'Registrados'!Z22="Sem registro"),"NV","N/A"))</x:f>
        <x:v>NV</x:v>
      </x:c>
      <x:c r="AA22" s="22" t="str">
        <x:f>IF(AND(ISNUMBER('Recalculados'!AA22),ISNUMBER('Registrados'!AA22)),ROUND(('Recalculados'!AA22-'Registrados'!AA22),8),IF(OR('Recalculados'!AA22="NV",'Registrados'!AA22="Sem registro"),"NV","N/A"))</x:f>
        <x:v>NV</x:v>
      </x:c>
      <x:c r="AB22" s="22" t="str">
        <x:f>IF(AND(ISNUMBER('Recalculados'!AB22),ISNUMBER('Registrados'!AB22)),ROUND(('Recalculados'!AB22-'Registrados'!AB22),8),IF(OR('Recalculados'!AB22="NV",'Registrados'!AB22="Sem registro"),"NV","N/A"))</x:f>
        <x:v>NV</x:v>
      </x:c>
      <x:c r="AC22" s="18" t="str">
        <x:f>IF(AND(ISNUMBER('Recalculados'!AC22),ISNUMBER('Registrados'!AC22)),ROUND(('Recalculados'!AC22-'Registrados'!AC22),8),IF(OR('Recalculados'!AC22="NV",'Registrados'!AC22="Sem registro"),"NV","N/A"))</x:f>
        <x:v>NV</x:v>
      </x:c>
      <x:c r="AD22" s="11" t="str">
        <x:v>collected_code_6/kimi-k3/feedback-static+dynamic-r0-t1.0-p1.0</x:v>
      </x:c>
      <x:c r="AE22" s="12"/>
    </x:row>
    <x:row r="23" ht="40" customHeight="1">
      <x:c r="A23" s="2"/>
      <x:c r="B23" s="13" t="str">
        <x:v>kimi-k3-thinking</x:v>
      </x:c>
      <x:c r="C23" s="14" t="str">
        <x:v>feedback-static-r1-t1.0-p1.0</x:v>
      </x:c>
      <x:c r="D23" s="17" t="str">
        <x:f>IF(AND(ISNUMBER('Recalculados'!D23),ISNUMBER('Registrados'!D23)),ROUND(('Recalculados'!D23-'Registrados'!D23),8),IF(OR('Recalculados'!D23="NV",'Registrados'!D23="Sem registro"),"NV","N/A"))</x:f>
        <x:v>NV</x:v>
      </x:c>
      <x:c r="E23" s="23" t="str">
        <x:f>IF(AND(ISNUMBER('Recalculados'!E23),ISNUMBER('Registrados'!E23)),ROUND(('Recalculados'!E23-'Registrados'!E23)*100,8),IF(OR('Recalculados'!E23="NV",'Registrados'!E23="Sem registro"),"NV","N/A"))</x:f>
        <x:v>NV</x:v>
      </x:c>
      <x:c r="F23" s="17" t="str">
        <x:f>IF(AND(ISNUMBER('Recalculados'!F23),ISNUMBER('Registrados'!F23)),ROUND(('Recalculados'!F23-'Registrados'!F23),8),IF(OR('Recalculados'!F23="NV",'Registrados'!F23="Sem registro"),"NV","N/A"))</x:f>
        <x:v>NV</x:v>
      </x:c>
      <x:c r="G23" s="17" t="str">
        <x:f>IF(AND(ISNUMBER('Recalculados'!G23),ISNUMBER('Registrados'!G23)),ROUND(('Recalculados'!G23-'Registrados'!G23),8),IF(OR('Recalculados'!G23="NV",'Registrados'!G23="Sem registro"),"NV","N/A"))</x:f>
        <x:v>NV</x:v>
      </x:c>
      <x:c r="H23" s="23" t="str">
        <x:f>IF(AND(ISNUMBER('Recalculados'!H23),ISNUMBER('Registrados'!H23)),ROUND(('Recalculados'!H23-'Registrados'!H23)*100,8),IF(OR('Recalculados'!H23="NV",'Registrados'!H23="Sem registro"),"NV","N/A"))</x:f>
        <x:v>NV</x:v>
      </x:c>
      <x:c r="I23" s="17" t="str">
        <x:f>IF(AND(ISNUMBER('Recalculados'!I23),ISNUMBER('Registrados'!I23)),ROUND(('Recalculados'!I23-'Registrados'!I23),8),IF(OR('Recalculados'!I23="NV",'Registrados'!I23="Sem registro"),"NV","N/A"))</x:f>
        <x:v>NV</x:v>
      </x:c>
      <x:c r="J23" s="17" t="str">
        <x:f>IF(AND(ISNUMBER('Recalculados'!J23),ISNUMBER('Registrados'!J23)),ROUND(('Recalculados'!J23-'Registrados'!J23),8),IF(OR('Recalculados'!J23="NV",'Registrados'!J23="Sem registro"),"NV","N/A"))</x:f>
        <x:v>NV</x:v>
      </x:c>
      <x:c r="K23" s="17" t="str">
        <x:f>IF(AND(ISNUMBER('Recalculados'!K23),ISNUMBER('Registrados'!K23)),ROUND(('Recalculados'!K23-'Registrados'!K23),8),IF(OR('Recalculados'!K23="NV",'Registrados'!K23="Sem registro"),"NV","N/A"))</x:f>
        <x:v>NV</x:v>
      </x:c>
      <x:c r="L23" s="17" t="str">
        <x:f>IF(AND(ISNUMBER('Recalculados'!L23),ISNUMBER('Registrados'!L23)),ROUND(('Recalculados'!L23-'Registrados'!L23),8),IF(OR('Recalculados'!L23="NV",'Registrados'!L23="Sem registro"),"NV","N/A"))</x:f>
        <x:v>NV</x:v>
      </x:c>
      <x:c r="M23" s="17" t="str">
        <x:f>IF(AND(ISNUMBER('Recalculados'!M23),ISNUMBER('Registrados'!M23)),ROUND(('Recalculados'!M23-'Registrados'!M23),8),IF(OR('Recalculados'!M23="NV",'Registrados'!M23="Sem registro"),"NV","N/A"))</x:f>
        <x:v>NV</x:v>
      </x:c>
      <x:c r="N23" s="17" t="str">
        <x:f>IF(AND(ISNUMBER('Recalculados'!N23),ISNUMBER('Registrados'!N23)),ROUND(('Recalculados'!N23-'Registrados'!N23),8),IF(OR('Recalculados'!N23="NV",'Registrados'!N23="Sem registro"),"NV","N/A"))</x:f>
        <x:v>NV</x:v>
      </x:c>
      <x:c r="O23" s="17" t="str">
        <x:f>IF(AND(ISNUMBER('Recalculados'!O23),ISNUMBER('Registrados'!O23)),ROUND(('Recalculados'!O23-'Registrados'!O23),8),IF(OR('Recalculados'!O23="NV",'Registrados'!O23="Sem registro"),"NV","N/A"))</x:f>
        <x:v>NV</x:v>
      </x:c>
      <x:c r="P23" s="17" t="str">
        <x:f>IF(AND(ISNUMBER('Recalculados'!P23),ISNUMBER('Registrados'!P23)),ROUND(('Recalculados'!P23-'Registrados'!P23),8),IF(OR('Recalculados'!P23="NV",'Registrados'!P23="Sem registro"),"NV","N/A"))</x:f>
        <x:v>NV</x:v>
      </x:c>
      <x:c r="Q23" s="17" t="str">
        <x:f>IF(AND(ISNUMBER('Recalculados'!Q23),ISNUMBER('Registrados'!Q23)),ROUND(('Recalculados'!Q23-'Registrados'!Q23),8),IF(OR('Recalculados'!Q23="NV",'Registrados'!Q23="Sem registro"),"NV","N/A"))</x:f>
        <x:v>NV</x:v>
      </x:c>
      <x:c r="R23" s="17" t="str">
        <x:f>IF(AND(ISNUMBER('Recalculados'!R23),ISNUMBER('Registrados'!R23)),ROUND(('Recalculados'!R23-'Registrados'!R23),8),IF(OR('Recalculados'!R23="NV",'Registrados'!R23="Sem registro"),"NV","N/A"))</x:f>
        <x:v>NV</x:v>
      </x:c>
      <x:c r="S23" s="17" t="str">
        <x:f>IF(AND(ISNUMBER('Recalculados'!S23),ISNUMBER('Registrados'!S23)),ROUND(('Recalculados'!S23-'Registrados'!S23),8),IF(OR('Recalculados'!S23="NV",'Registrados'!S23="Sem registro"),"NV","N/A"))</x:f>
        <x:v>NV</x:v>
      </x:c>
      <x:c r="T23" s="23" t="str">
        <x:f>IF(AND(ISNUMBER('Recalculados'!T23),ISNUMBER('Registrados'!T23)),ROUND(('Recalculados'!T23-'Registrados'!T23)*100,8),IF(OR('Recalculados'!T23="NV",'Registrados'!T23="Sem registro"),"NV","N/A"))</x:f>
        <x:v>NV</x:v>
      </x:c>
      <x:c r="U23" s="17" t="str">
        <x:f>IF(AND(ISNUMBER('Recalculados'!U23),ISNUMBER('Registrados'!U23)),ROUND(('Recalculados'!U23-'Registrados'!U23),8),IF(OR('Recalculados'!U23="NV",'Registrados'!U23="Sem registro"),"NV","N/A"))</x:f>
        <x:v>NV</x:v>
      </x:c>
      <x:c r="V23" s="23" t="str">
        <x:f>IF(AND(ISNUMBER('Recalculados'!V23),ISNUMBER('Registrados'!V23)),ROUND(('Recalculados'!V23-'Registrados'!V23)*100,8),IF(OR('Recalculados'!V23="NV",'Registrados'!V23="Sem registro"),"NV","N/A"))</x:f>
        <x:v>NV</x:v>
      </x:c>
      <x:c r="W23" s="23" t="str">
        <x:f>IF(AND(ISNUMBER('Recalculados'!W23),ISNUMBER('Registrados'!W23)),ROUND(('Recalculados'!W23-'Registrados'!W23)*100,8),IF(OR('Recalculados'!W23="NV",'Registrados'!W23="Sem registro"),"NV","N/A"))</x:f>
        <x:v>NV</x:v>
      </x:c>
      <x:c r="X23" s="17" t="str">
        <x:f>IF(AND(ISNUMBER('Recalculados'!X23),ISNUMBER('Registrados'!X23)),ROUND(('Recalculados'!X23-'Registrados'!X23),8),IF(OR('Recalculados'!X23="NV",'Registrados'!X23="Sem registro"),"NV","N/A"))</x:f>
        <x:v>NV</x:v>
      </x:c>
      <x:c r="Y23" s="17" t="str">
        <x:f>IF(AND(ISNUMBER('Recalculados'!Y23),ISNUMBER('Registrados'!Y23)),ROUND(('Recalculados'!Y23-'Registrados'!Y23),8),IF(OR('Recalculados'!Y23="NV",'Registrados'!Y23="Sem registro"),"NV","N/A"))</x:f>
        <x:v>NV</x:v>
      </x:c>
      <x:c r="Z23" s="17" t="str">
        <x:f>IF(AND(ISNUMBER('Recalculados'!Z23),ISNUMBER('Registrados'!Z23)),ROUND(('Recalculados'!Z23-'Registrados'!Z23),8),IF(OR('Recalculados'!Z23="NV",'Registrados'!Z23="Sem registro"),"NV","N/A"))</x:f>
        <x:v>NV</x:v>
      </x:c>
      <x:c r="AA23" s="21" t="str">
        <x:f>IF(AND(ISNUMBER('Recalculados'!AA23),ISNUMBER('Registrados'!AA23)),ROUND(('Recalculados'!AA23-'Registrados'!AA23),8),IF(OR('Recalculados'!AA23="NV",'Registrados'!AA23="Sem registro"),"NV","N/A"))</x:f>
        <x:v>NV</x:v>
      </x:c>
      <x:c r="AB23" s="21" t="str">
        <x:f>IF(AND(ISNUMBER('Recalculados'!AB23),ISNUMBER('Registrados'!AB23)),ROUND(('Recalculados'!AB23-'Registrados'!AB23),8),IF(OR('Recalculados'!AB23="NV",'Registrados'!AB23="Sem registro"),"NV","N/A"))</x:f>
        <x:v>NV</x:v>
      </x:c>
      <x:c r="AC23" s="17" t="str">
        <x:f>IF(AND(ISNUMBER('Recalculados'!AC23),ISNUMBER('Registrados'!AC23)),ROUND(('Recalculados'!AC23-'Registrados'!AC23),8),IF(OR('Recalculados'!AC23="NV",'Registrados'!AC23="Sem registro"),"NV","N/A"))</x:f>
        <x:v>NV</x:v>
      </x:c>
      <x:c r="AD23" s="16" t="str">
        <x:v>collected_code_6/kimi-k3-thinking/feedback-static-r1-t1.0-p1.0</x:v>
      </x:c>
      <x:c r="AE23" s="12"/>
    </x:row>
    <x:row r="24" ht="40" customHeight="1">
      <x:c r="A24" s="2"/>
      <x:c r="B24" s="13" t="str">
        <x:v>openai-gpt56-sol</x:v>
      </x:c>
      <x:c r="C24" s="14" t="str">
        <x:v>feedback-static-r0-t1.0-p1.0</x:v>
      </x:c>
      <x:c r="D24" s="17" t="str">
        <x:f>IF(AND(ISNUMBER('Recalculados'!D24),ISNUMBER('Registrados'!D24)),ROUND(('Recalculados'!D24-'Registrados'!D24),8),IF(OR('Recalculados'!D24="NV",'Registrados'!D24="Sem registro"),"NV","N/A"))</x:f>
        <x:v>NV</x:v>
      </x:c>
      <x:c r="E24" s="23" t="str">
        <x:f>IF(AND(ISNUMBER('Recalculados'!E24),ISNUMBER('Registrados'!E24)),ROUND(('Recalculados'!E24-'Registrados'!E24)*100,8),IF(OR('Recalculados'!E24="NV",'Registrados'!E24="Sem registro"),"NV","N/A"))</x:f>
        <x:v>NV</x:v>
      </x:c>
      <x:c r="F24" s="17" t="str">
        <x:f>IF(AND(ISNUMBER('Recalculados'!F24),ISNUMBER('Registrados'!F24)),ROUND(('Recalculados'!F24-'Registrados'!F24),8),IF(OR('Recalculados'!F24="NV",'Registrados'!F24="Sem registro"),"NV","N/A"))</x:f>
        <x:v>NV</x:v>
      </x:c>
      <x:c r="G24" s="17" t="str">
        <x:f>IF(AND(ISNUMBER('Recalculados'!G24),ISNUMBER('Registrados'!G24)),ROUND(('Recalculados'!G24-'Registrados'!G24),8),IF(OR('Recalculados'!G24="NV",'Registrados'!G24="Sem registro"),"NV","N/A"))</x:f>
        <x:v>NV</x:v>
      </x:c>
      <x:c r="H24" s="23" t="str">
        <x:f>IF(AND(ISNUMBER('Recalculados'!H24),ISNUMBER('Registrados'!H24)),ROUND(('Recalculados'!H24-'Registrados'!H24)*100,8),IF(OR('Recalculados'!H24="NV",'Registrados'!H24="Sem registro"),"NV","N/A"))</x:f>
        <x:v>NV</x:v>
      </x:c>
      <x:c r="I24" s="17" t="str">
        <x:f>IF(AND(ISNUMBER('Recalculados'!I24),ISNUMBER('Registrados'!I24)),ROUND(('Recalculados'!I24-'Registrados'!I24),8),IF(OR('Recalculados'!I24="NV",'Registrados'!I24="Sem registro"),"NV","N/A"))</x:f>
        <x:v>NV</x:v>
      </x:c>
      <x:c r="J24" s="17" t="str">
        <x:f>IF(AND(ISNUMBER('Recalculados'!J24),ISNUMBER('Registrados'!J24)),ROUND(('Recalculados'!J24-'Registrados'!J24),8),IF(OR('Recalculados'!J24="NV",'Registrados'!J24="Sem registro"),"NV","N/A"))</x:f>
        <x:v>NV</x:v>
      </x:c>
      <x:c r="K24" s="17" t="str">
        <x:f>IF(AND(ISNUMBER('Recalculados'!K24),ISNUMBER('Registrados'!K24)),ROUND(('Recalculados'!K24-'Registrados'!K24),8),IF(OR('Recalculados'!K24="NV",'Registrados'!K24="Sem registro"),"NV","N/A"))</x:f>
        <x:v>NV</x:v>
      </x:c>
      <x:c r="L24" s="17" t="str">
        <x:f>IF(AND(ISNUMBER('Recalculados'!L24),ISNUMBER('Registrados'!L24)),ROUND(('Recalculados'!L24-'Registrados'!L24),8),IF(OR('Recalculados'!L24="NV",'Registrados'!L24="Sem registro"),"NV","N/A"))</x:f>
        <x:v>NV</x:v>
      </x:c>
      <x:c r="M24" s="17" t="str">
        <x:f>IF(AND(ISNUMBER('Recalculados'!M24),ISNUMBER('Registrados'!M24)),ROUND(('Recalculados'!M24-'Registrados'!M24),8),IF(OR('Recalculados'!M24="NV",'Registrados'!M24="Sem registro"),"NV","N/A"))</x:f>
        <x:v>NV</x:v>
      </x:c>
      <x:c r="N24" s="17" t="str">
        <x:f>IF(AND(ISNUMBER('Recalculados'!N24),ISNUMBER('Registrados'!N24)),ROUND(('Recalculados'!N24-'Registrados'!N24),8),IF(OR('Recalculados'!N24="NV",'Registrados'!N24="Sem registro"),"NV","N/A"))</x:f>
        <x:v>NV</x:v>
      </x:c>
      <x:c r="O24" s="17" t="str">
        <x:f>IF(AND(ISNUMBER('Recalculados'!O24),ISNUMBER('Registrados'!O24)),ROUND(('Recalculados'!O24-'Registrados'!O24),8),IF(OR('Recalculados'!O24="NV",'Registrados'!O24="Sem registro"),"NV","N/A"))</x:f>
        <x:v>NV</x:v>
      </x:c>
      <x:c r="P24" s="17" t="str">
        <x:f>IF(AND(ISNUMBER('Recalculados'!P24),ISNUMBER('Registrados'!P24)),ROUND(('Recalculados'!P24-'Registrados'!P24),8),IF(OR('Recalculados'!P24="NV",'Registrados'!P24="Sem registro"),"NV","N/A"))</x:f>
        <x:v>NV</x:v>
      </x:c>
      <x:c r="Q24" s="17" t="str">
        <x:f>IF(AND(ISNUMBER('Recalculados'!Q24),ISNUMBER('Registrados'!Q24)),ROUND(('Recalculados'!Q24-'Registrados'!Q24),8),IF(OR('Recalculados'!Q24="NV",'Registrados'!Q24="Sem registro"),"NV","N/A"))</x:f>
        <x:v>NV</x:v>
      </x:c>
      <x:c r="R24" s="17" t="str">
        <x:f>IF(AND(ISNUMBER('Recalculados'!R24),ISNUMBER('Registrados'!R24)),ROUND(('Recalculados'!R24-'Registrados'!R24),8),IF(OR('Recalculados'!R24="NV",'Registrados'!R24="Sem registro"),"NV","N/A"))</x:f>
        <x:v>NV</x:v>
      </x:c>
      <x:c r="S24" s="17" t="str">
        <x:f>IF(AND(ISNUMBER('Recalculados'!S24),ISNUMBER('Registrados'!S24)),ROUND(('Recalculados'!S24-'Registrados'!S24),8),IF(OR('Recalculados'!S24="NV",'Registrados'!S24="Sem registro"),"NV","N/A"))</x:f>
        <x:v>NV</x:v>
      </x:c>
      <x:c r="T24" s="23" t="str">
        <x:f>IF(AND(ISNUMBER('Recalculados'!T24),ISNUMBER('Registrados'!T24)),ROUND(('Recalculados'!T24-'Registrados'!T24)*100,8),IF(OR('Recalculados'!T24="NV",'Registrados'!T24="Sem registro"),"NV","N/A"))</x:f>
        <x:v>NV</x:v>
      </x:c>
      <x:c r="U24" s="17" t="str">
        <x:f>IF(AND(ISNUMBER('Recalculados'!U24),ISNUMBER('Registrados'!U24)),ROUND(('Recalculados'!U24-'Registrados'!U24),8),IF(OR('Recalculados'!U24="NV",'Registrados'!U24="Sem registro"),"NV","N/A"))</x:f>
        <x:v>NV</x:v>
      </x:c>
      <x:c r="V24" s="23" t="str">
        <x:f>IF(AND(ISNUMBER('Recalculados'!V24),ISNUMBER('Registrados'!V24)),ROUND(('Recalculados'!V24-'Registrados'!V24)*100,8),IF(OR('Recalculados'!V24="NV",'Registrados'!V24="Sem registro"),"NV","N/A"))</x:f>
        <x:v>NV</x:v>
      </x:c>
      <x:c r="W24" s="23" t="str">
        <x:f>IF(AND(ISNUMBER('Recalculados'!W24),ISNUMBER('Registrados'!W24)),ROUND(('Recalculados'!W24-'Registrados'!W24)*100,8),IF(OR('Recalculados'!W24="NV",'Registrados'!W24="Sem registro"),"NV","N/A"))</x:f>
        <x:v>NV</x:v>
      </x:c>
      <x:c r="X24" s="17" t="str">
        <x:f>IF(AND(ISNUMBER('Recalculados'!X24),ISNUMBER('Registrados'!X24)),ROUND(('Recalculados'!X24-'Registrados'!X24),8),IF(OR('Recalculados'!X24="NV",'Registrados'!X24="Sem registro"),"NV","N/A"))</x:f>
        <x:v>NV</x:v>
      </x:c>
      <x:c r="Y24" s="17" t="str">
        <x:f>IF(AND(ISNUMBER('Recalculados'!Y24),ISNUMBER('Registrados'!Y24)),ROUND(('Recalculados'!Y24-'Registrados'!Y24),8),IF(OR('Recalculados'!Y24="NV",'Registrados'!Y24="Sem registro"),"NV","N/A"))</x:f>
        <x:v>NV</x:v>
      </x:c>
      <x:c r="Z24" s="17" t="str">
        <x:f>IF(AND(ISNUMBER('Recalculados'!Z24),ISNUMBER('Registrados'!Z24)),ROUND(('Recalculados'!Z24-'Registrados'!Z24),8),IF(OR('Recalculados'!Z24="NV",'Registrados'!Z24="Sem registro"),"NV","N/A"))</x:f>
        <x:v>NV</x:v>
      </x:c>
      <x:c r="AA24" s="21" t="str">
        <x:f>IF(AND(ISNUMBER('Recalculados'!AA24),ISNUMBER('Registrados'!AA24)),ROUND(('Recalculados'!AA24-'Registrados'!AA24),8),IF(OR('Recalculados'!AA24="NV",'Registrados'!AA24="Sem registro"),"NV","N/A"))</x:f>
        <x:v>NV</x:v>
      </x:c>
      <x:c r="AB24" s="21" t="str">
        <x:f>IF(AND(ISNUMBER('Recalculados'!AB24),ISNUMBER('Registrados'!AB24)),ROUND(('Recalculados'!AB24-'Registrados'!AB24),8),IF(OR('Recalculados'!AB24="NV",'Registrados'!AB24="Sem registro"),"NV","N/A"))</x:f>
        <x:v>NV</x:v>
      </x:c>
      <x:c r="AC24" s="17" t="str">
        <x:f>IF(AND(ISNUMBER('Recalculados'!AC24),ISNUMBER('Registrados'!AC24)),ROUND(('Recalculados'!AC24-'Registrados'!AC24),8),IF(OR('Recalculados'!AC24="NV",'Registrados'!AC24="Sem registro"),"NV","N/A"))</x:f>
        <x:v>NV</x:v>
      </x:c>
      <x:c r="AD24" s="16" t="str">
        <x:v>collected_code_6/openai-gpt56-sol/feedback-static-r0-t1.0-p1.0</x:v>
      </x:c>
      <x:c r="AE24" s="12"/>
    </x:row>
    <x:row r="25" ht="40" customHeight="1">
      <x:c r="A25" s="2"/>
      <x:c r="B25" s="13" t="str">
        <x:v>openai-gpt56-sol-thinking</x:v>
      </x:c>
      <x:c r="C25" s="14" t="str">
        <x:v>feedback-static-r1-t1.0-p1.0</x:v>
      </x:c>
      <x:c r="D25" s="17" t="str">
        <x:f>IF(AND(ISNUMBER('Recalculados'!D25),ISNUMBER('Registrados'!D25)),ROUND(('Recalculados'!D25-'Registrados'!D25),8),IF(OR('Recalculados'!D25="NV",'Registrados'!D25="Sem registro"),"NV","N/A"))</x:f>
        <x:v>NV</x:v>
      </x:c>
      <x:c r="E25" s="23" t="str">
        <x:f>IF(AND(ISNUMBER('Recalculados'!E25),ISNUMBER('Registrados'!E25)),ROUND(('Recalculados'!E25-'Registrados'!E25)*100,8),IF(OR('Recalculados'!E25="NV",'Registrados'!E25="Sem registro"),"NV","N/A"))</x:f>
        <x:v>NV</x:v>
      </x:c>
      <x:c r="F25" s="17" t="str">
        <x:f>IF(AND(ISNUMBER('Recalculados'!F25),ISNUMBER('Registrados'!F25)),ROUND(('Recalculados'!F25-'Registrados'!F25),8),IF(OR('Recalculados'!F25="NV",'Registrados'!F25="Sem registro"),"NV","N/A"))</x:f>
        <x:v>NV</x:v>
      </x:c>
      <x:c r="G25" s="17" t="str">
        <x:f>IF(AND(ISNUMBER('Recalculados'!G25),ISNUMBER('Registrados'!G25)),ROUND(('Recalculados'!G25-'Registrados'!G25),8),IF(OR('Recalculados'!G25="NV",'Registrados'!G25="Sem registro"),"NV","N/A"))</x:f>
        <x:v>NV</x:v>
      </x:c>
      <x:c r="H25" s="23" t="str">
        <x:f>IF(AND(ISNUMBER('Recalculados'!H25),ISNUMBER('Registrados'!H25)),ROUND(('Recalculados'!H25-'Registrados'!H25)*100,8),IF(OR('Recalculados'!H25="NV",'Registrados'!H25="Sem registro"),"NV","N/A"))</x:f>
        <x:v>NV</x:v>
      </x:c>
      <x:c r="I25" s="17" t="str">
        <x:f>IF(AND(ISNUMBER('Recalculados'!I25),ISNUMBER('Registrados'!I25)),ROUND(('Recalculados'!I25-'Registrados'!I25),8),IF(OR('Recalculados'!I25="NV",'Registrados'!I25="Sem registro"),"NV","N/A"))</x:f>
        <x:v>NV</x:v>
      </x:c>
      <x:c r="J25" s="17" t="str">
        <x:f>IF(AND(ISNUMBER('Recalculados'!J25),ISNUMBER('Registrados'!J25)),ROUND(('Recalculados'!J25-'Registrados'!J25),8),IF(OR('Recalculados'!J25="NV",'Registrados'!J25="Sem registro"),"NV","N/A"))</x:f>
        <x:v>NV</x:v>
      </x:c>
      <x:c r="K25" s="17" t="str">
        <x:f>IF(AND(ISNUMBER('Recalculados'!K25),ISNUMBER('Registrados'!K25)),ROUND(('Recalculados'!K25-'Registrados'!K25),8),IF(OR('Recalculados'!K25="NV",'Registrados'!K25="Sem registro"),"NV","N/A"))</x:f>
        <x:v>NV</x:v>
      </x:c>
      <x:c r="L25" s="17" t="str">
        <x:f>IF(AND(ISNUMBER('Recalculados'!L25),ISNUMBER('Registrados'!L25)),ROUND(('Recalculados'!L25-'Registrados'!L25),8),IF(OR('Recalculados'!L25="NV",'Registrados'!L25="Sem registro"),"NV","N/A"))</x:f>
        <x:v>NV</x:v>
      </x:c>
      <x:c r="M25" s="17" t="str">
        <x:f>IF(AND(ISNUMBER('Recalculados'!M25),ISNUMBER('Registrados'!M25)),ROUND(('Recalculados'!M25-'Registrados'!M25),8),IF(OR('Recalculados'!M25="NV",'Registrados'!M25="Sem registro"),"NV","N/A"))</x:f>
        <x:v>NV</x:v>
      </x:c>
      <x:c r="N25" s="17" t="str">
        <x:f>IF(AND(ISNUMBER('Recalculados'!N25),ISNUMBER('Registrados'!N25)),ROUND(('Recalculados'!N25-'Registrados'!N25),8),IF(OR('Recalculados'!N25="NV",'Registrados'!N25="Sem registro"),"NV","N/A"))</x:f>
        <x:v>NV</x:v>
      </x:c>
      <x:c r="O25" s="17" t="str">
        <x:f>IF(AND(ISNUMBER('Recalculados'!O25),ISNUMBER('Registrados'!O25)),ROUND(('Recalculados'!O25-'Registrados'!O25),8),IF(OR('Recalculados'!O25="NV",'Registrados'!O25="Sem registro"),"NV","N/A"))</x:f>
        <x:v>NV</x:v>
      </x:c>
      <x:c r="P25" s="17" t="str">
        <x:f>IF(AND(ISNUMBER('Recalculados'!P25),ISNUMBER('Registrados'!P25)),ROUND(('Recalculados'!P25-'Registrados'!P25),8),IF(OR('Recalculados'!P25="NV",'Registrados'!P25="Sem registro"),"NV","N/A"))</x:f>
        <x:v>NV</x:v>
      </x:c>
      <x:c r="Q25" s="17" t="str">
        <x:f>IF(AND(ISNUMBER('Recalculados'!Q25),ISNUMBER('Registrados'!Q25)),ROUND(('Recalculados'!Q25-'Registrados'!Q25),8),IF(OR('Recalculados'!Q25="NV",'Registrados'!Q25="Sem registro"),"NV","N/A"))</x:f>
        <x:v>NV</x:v>
      </x:c>
      <x:c r="R25" s="17" t="str">
        <x:f>IF(AND(ISNUMBER('Recalculados'!R25),ISNUMBER('Registrados'!R25)),ROUND(('Recalculados'!R25-'Registrados'!R25),8),IF(OR('Recalculados'!R25="NV",'Registrados'!R25="Sem registro"),"NV","N/A"))</x:f>
        <x:v>NV</x:v>
      </x:c>
      <x:c r="S25" s="17" t="str">
        <x:f>IF(AND(ISNUMBER('Recalculados'!S25),ISNUMBER('Registrados'!S25)),ROUND(('Recalculados'!S25-'Registrados'!S25),8),IF(OR('Recalculados'!S25="NV",'Registrados'!S25="Sem registro"),"NV","N/A"))</x:f>
        <x:v>NV</x:v>
      </x:c>
      <x:c r="T25" s="23" t="str">
        <x:f>IF(AND(ISNUMBER('Recalculados'!T25),ISNUMBER('Registrados'!T25)),ROUND(('Recalculados'!T25-'Registrados'!T25)*100,8),IF(OR('Recalculados'!T25="NV",'Registrados'!T25="Sem registro"),"NV","N/A"))</x:f>
        <x:v>NV</x:v>
      </x:c>
      <x:c r="U25" s="17" t="str">
        <x:f>IF(AND(ISNUMBER('Recalculados'!U25),ISNUMBER('Registrados'!U25)),ROUND(('Recalculados'!U25-'Registrados'!U25),8),IF(OR('Recalculados'!U25="NV",'Registrados'!U25="Sem registro"),"NV","N/A"))</x:f>
        <x:v>NV</x:v>
      </x:c>
      <x:c r="V25" s="23" t="str">
        <x:f>IF(AND(ISNUMBER('Recalculados'!V25),ISNUMBER('Registrados'!V25)),ROUND(('Recalculados'!V25-'Registrados'!V25)*100,8),IF(OR('Recalculados'!V25="NV",'Registrados'!V25="Sem registro"),"NV","N/A"))</x:f>
        <x:v>NV</x:v>
      </x:c>
      <x:c r="W25" s="23" t="str">
        <x:f>IF(AND(ISNUMBER('Recalculados'!W25),ISNUMBER('Registrados'!W25)),ROUND(('Recalculados'!W25-'Registrados'!W25)*100,8),IF(OR('Recalculados'!W25="NV",'Registrados'!W25="Sem registro"),"NV","N/A"))</x:f>
        <x:v>NV</x:v>
      </x:c>
      <x:c r="X25" s="17" t="str">
        <x:f>IF(AND(ISNUMBER('Recalculados'!X25),ISNUMBER('Registrados'!X25)),ROUND(('Recalculados'!X25-'Registrados'!X25),8),IF(OR('Recalculados'!X25="NV",'Registrados'!X25="Sem registro"),"NV","N/A"))</x:f>
        <x:v>NV</x:v>
      </x:c>
      <x:c r="Y25" s="17" t="str">
        <x:f>IF(AND(ISNUMBER('Recalculados'!Y25),ISNUMBER('Registrados'!Y25)),ROUND(('Recalculados'!Y25-'Registrados'!Y25),8),IF(OR('Recalculados'!Y25="NV",'Registrados'!Y25="Sem registro"),"NV","N/A"))</x:f>
        <x:v>NV</x:v>
      </x:c>
      <x:c r="Z25" s="17" t="str">
        <x:f>IF(AND(ISNUMBER('Recalculados'!Z25),ISNUMBER('Registrados'!Z25)),ROUND(('Recalculados'!Z25-'Registrados'!Z25),8),IF(OR('Recalculados'!Z25="NV",'Registrados'!Z25="Sem registro"),"NV","N/A"))</x:f>
        <x:v>NV</x:v>
      </x:c>
      <x:c r="AA25" s="21" t="str">
        <x:f>IF(AND(ISNUMBER('Recalculados'!AA25),ISNUMBER('Registrados'!AA25)),ROUND(('Recalculados'!AA25-'Registrados'!AA25),8),IF(OR('Recalculados'!AA25="NV",'Registrados'!AA25="Sem registro"),"NV","N/A"))</x:f>
        <x:v>NV</x:v>
      </x:c>
      <x:c r="AB25" s="21" t="str">
        <x:f>IF(AND(ISNUMBER('Recalculados'!AB25),ISNUMBER('Registrados'!AB25)),ROUND(('Recalculados'!AB25-'Registrados'!AB25),8),IF(OR('Recalculados'!AB25="NV",'Registrados'!AB25="Sem registro"),"NV","N/A"))</x:f>
        <x:v>NV</x:v>
      </x:c>
      <x:c r="AC25" s="17" t="str">
        <x:f>IF(AND(ISNUMBER('Recalculados'!AC25),ISNUMBER('Registrados'!AC25)),ROUND(('Recalculados'!AC25-'Registrados'!AC25),8),IF(OR('Recalculados'!AC25="NV",'Registrados'!AC25="Sem registro"),"NV","N/A"))</x:f>
        <x:v>NV</x:v>
      </x:c>
      <x:c r="AD25" s="16" t="str">
        <x:v>collected_code_6/openai-gpt56-sol-thinking/feedback-static-r1-t1.0-p1.0</x:v>
      </x:c>
      <x:c r="AE25" s="12"/>
    </x:row>
    <x:row r="26" ht="40" customHeight="1">
      <x:c r="A26" s="2"/>
      <x:c r="B26" s="13" t="str">
        <x:v>qwen-max</x:v>
      </x:c>
      <x:c r="C26" s="14" t="str">
        <x:v>feedback-dynamic-r0-t1.0-p1.0</x:v>
      </x:c>
      <x:c r="D26" s="17" t="str">
        <x:f>IF(AND(ISNUMBER('Recalculados'!D26),ISNUMBER('Registrados'!D26)),ROUND(('Recalculados'!D26-'Registrados'!D26),8),IF(OR('Recalculados'!D26="NV",'Registrados'!D26="Sem registro"),"NV","N/A"))</x:f>
        <x:v>NV</x:v>
      </x:c>
      <x:c r="E26" s="23" t="str">
        <x:f>IF(AND(ISNUMBER('Recalculados'!E26),ISNUMBER('Registrados'!E26)),ROUND(('Recalculados'!E26-'Registrados'!E26)*100,8),IF(OR('Recalculados'!E26="NV",'Registrados'!E26="Sem registro"),"NV","N/A"))</x:f>
        <x:v>NV</x:v>
      </x:c>
      <x:c r="F26" s="17" t="str">
        <x:f>IF(AND(ISNUMBER('Recalculados'!F26),ISNUMBER('Registrados'!F26)),ROUND(('Recalculados'!F26-'Registrados'!F26),8),IF(OR('Recalculados'!F26="NV",'Registrados'!F26="Sem registro"),"NV","N/A"))</x:f>
        <x:v>NV</x:v>
      </x:c>
      <x:c r="G26" s="17" t="str">
        <x:f>IF(AND(ISNUMBER('Recalculados'!G26),ISNUMBER('Registrados'!G26)),ROUND(('Recalculados'!G26-'Registrados'!G26),8),IF(OR('Recalculados'!G26="NV",'Registrados'!G26="Sem registro"),"NV","N/A"))</x:f>
        <x:v>NV</x:v>
      </x:c>
      <x:c r="H26" s="23" t="str">
        <x:f>IF(AND(ISNUMBER('Recalculados'!H26),ISNUMBER('Registrados'!H26)),ROUND(('Recalculados'!H26-'Registrados'!H26)*100,8),IF(OR('Recalculados'!H26="NV",'Registrados'!H26="Sem registro"),"NV","N/A"))</x:f>
        <x:v>NV</x:v>
      </x:c>
      <x:c r="I26" s="17" t="str">
        <x:f>IF(AND(ISNUMBER('Recalculados'!I26),ISNUMBER('Registrados'!I26)),ROUND(('Recalculados'!I26-'Registrados'!I26),8),IF(OR('Recalculados'!I26="NV",'Registrados'!I26="Sem registro"),"NV","N/A"))</x:f>
        <x:v>NV</x:v>
      </x:c>
      <x:c r="J26" s="17" t="str">
        <x:f>IF(AND(ISNUMBER('Recalculados'!J26),ISNUMBER('Registrados'!J26)),ROUND(('Recalculados'!J26-'Registrados'!J26),8),IF(OR('Recalculados'!J26="NV",'Registrados'!J26="Sem registro"),"NV","N/A"))</x:f>
        <x:v>NV</x:v>
      </x:c>
      <x:c r="K26" s="17" t="str">
        <x:f>IF(AND(ISNUMBER('Recalculados'!K26),ISNUMBER('Registrados'!K26)),ROUND(('Recalculados'!K26-'Registrados'!K26),8),IF(OR('Recalculados'!K26="NV",'Registrados'!K26="Sem registro"),"NV","N/A"))</x:f>
        <x:v>NV</x:v>
      </x:c>
      <x:c r="L26" s="17" t="str">
        <x:f>IF(AND(ISNUMBER('Recalculados'!L26),ISNUMBER('Registrados'!L26)),ROUND(('Recalculados'!L26-'Registrados'!L26),8),IF(OR('Recalculados'!L26="NV",'Registrados'!L26="Sem registro"),"NV","N/A"))</x:f>
        <x:v>NV</x:v>
      </x:c>
      <x:c r="M26" s="17" t="str">
        <x:f>IF(AND(ISNUMBER('Recalculados'!M26),ISNUMBER('Registrados'!M26)),ROUND(('Recalculados'!M26-'Registrados'!M26),8),IF(OR('Recalculados'!M26="NV",'Registrados'!M26="Sem registro"),"NV","N/A"))</x:f>
        <x:v>NV</x:v>
      </x:c>
      <x:c r="N26" s="17" t="str">
        <x:f>IF(AND(ISNUMBER('Recalculados'!N26),ISNUMBER('Registrados'!N26)),ROUND(('Recalculados'!N26-'Registrados'!N26),8),IF(OR('Recalculados'!N26="NV",'Registrados'!N26="Sem registro"),"NV","N/A"))</x:f>
        <x:v>NV</x:v>
      </x:c>
      <x:c r="O26" s="17" t="str">
        <x:f>IF(AND(ISNUMBER('Recalculados'!O26),ISNUMBER('Registrados'!O26)),ROUND(('Recalculados'!O26-'Registrados'!O26),8),IF(OR('Recalculados'!O26="NV",'Registrados'!O26="Sem registro"),"NV","N/A"))</x:f>
        <x:v>NV</x:v>
      </x:c>
      <x:c r="P26" s="17" t="str">
        <x:f>IF(AND(ISNUMBER('Recalculados'!P26),ISNUMBER('Registrados'!P26)),ROUND(('Recalculados'!P26-'Registrados'!P26),8),IF(OR('Recalculados'!P26="NV",'Registrados'!P26="Sem registro"),"NV","N/A"))</x:f>
        <x:v>NV</x:v>
      </x:c>
      <x:c r="Q26" s="17" t="str">
        <x:f>IF(AND(ISNUMBER('Recalculados'!Q26),ISNUMBER('Registrados'!Q26)),ROUND(('Recalculados'!Q26-'Registrados'!Q26),8),IF(OR('Recalculados'!Q26="NV",'Registrados'!Q26="Sem registro"),"NV","N/A"))</x:f>
        <x:v>NV</x:v>
      </x:c>
      <x:c r="R26" s="17" t="str">
        <x:f>IF(AND(ISNUMBER('Recalculados'!R26),ISNUMBER('Registrados'!R26)),ROUND(('Recalculados'!R26-'Registrados'!R26),8),IF(OR('Recalculados'!R26="NV",'Registrados'!R26="Sem registro"),"NV","N/A"))</x:f>
        <x:v>NV</x:v>
      </x:c>
      <x:c r="S26" s="17" t="str">
        <x:f>IF(AND(ISNUMBER('Recalculados'!S26),ISNUMBER('Registrados'!S26)),ROUND(('Recalculados'!S26-'Registrados'!S26),8),IF(OR('Recalculados'!S26="NV",'Registrados'!S26="Sem registro"),"NV","N/A"))</x:f>
        <x:v>NV</x:v>
      </x:c>
      <x:c r="T26" s="23" t="str">
        <x:f>IF(AND(ISNUMBER('Recalculados'!T26),ISNUMBER('Registrados'!T26)),ROUND(('Recalculados'!T26-'Registrados'!T26)*100,8),IF(OR('Recalculados'!T26="NV",'Registrados'!T26="Sem registro"),"NV","N/A"))</x:f>
        <x:v>NV</x:v>
      </x:c>
      <x:c r="U26" s="17" t="str">
        <x:f>IF(AND(ISNUMBER('Recalculados'!U26),ISNUMBER('Registrados'!U26)),ROUND(('Recalculados'!U26-'Registrados'!U26),8),IF(OR('Recalculados'!U26="NV",'Registrados'!U26="Sem registro"),"NV","N/A"))</x:f>
        <x:v>NV</x:v>
      </x:c>
      <x:c r="V26" s="23" t="str">
        <x:f>IF(AND(ISNUMBER('Recalculados'!V26),ISNUMBER('Registrados'!V26)),ROUND(('Recalculados'!V26-'Registrados'!V26)*100,8),IF(OR('Recalculados'!V26="NV",'Registrados'!V26="Sem registro"),"NV","N/A"))</x:f>
        <x:v>NV</x:v>
      </x:c>
      <x:c r="W26" s="23" t="str">
        <x:f>IF(AND(ISNUMBER('Recalculados'!W26),ISNUMBER('Registrados'!W26)),ROUND(('Recalculados'!W26-'Registrados'!W26)*100,8),IF(OR('Recalculados'!W26="NV",'Registrados'!W26="Sem registro"),"NV","N/A"))</x:f>
        <x:v>NV</x:v>
      </x:c>
      <x:c r="X26" s="17" t="str">
        <x:f>IF(AND(ISNUMBER('Recalculados'!X26),ISNUMBER('Registrados'!X26)),ROUND(('Recalculados'!X26-'Registrados'!X26),8),IF(OR('Recalculados'!X26="NV",'Registrados'!X26="Sem registro"),"NV","N/A"))</x:f>
        <x:v>NV</x:v>
      </x:c>
      <x:c r="Y26" s="17" t="str">
        <x:f>IF(AND(ISNUMBER('Recalculados'!Y26),ISNUMBER('Registrados'!Y26)),ROUND(('Recalculados'!Y26-'Registrados'!Y26),8),IF(OR('Recalculados'!Y26="NV",'Registrados'!Y26="Sem registro"),"NV","N/A"))</x:f>
        <x:v>NV</x:v>
      </x:c>
      <x:c r="Z26" s="17" t="str">
        <x:f>IF(AND(ISNUMBER('Recalculados'!Z26),ISNUMBER('Registrados'!Z26)),ROUND(('Recalculados'!Z26-'Registrados'!Z26),8),IF(OR('Recalculados'!Z26="NV",'Registrados'!Z26="Sem registro"),"NV","N/A"))</x:f>
        <x:v>NV</x:v>
      </x:c>
      <x:c r="AA26" s="21" t="str">
        <x:f>IF(AND(ISNUMBER('Recalculados'!AA26),ISNUMBER('Registrados'!AA26)),ROUND(('Recalculados'!AA26-'Registrados'!AA26),8),IF(OR('Recalculados'!AA26="NV",'Registrados'!AA26="Sem registro"),"NV","N/A"))</x:f>
        <x:v>NV</x:v>
      </x:c>
      <x:c r="AB26" s="21" t="str">
        <x:f>IF(AND(ISNUMBER('Recalculados'!AB26),ISNUMBER('Registrados'!AB26)),ROUND(('Recalculados'!AB26-'Registrados'!AB26),8),IF(OR('Recalculados'!AB26="NV",'Registrados'!AB26="Sem registro"),"NV","N/A"))</x:f>
        <x:v>NV</x:v>
      </x:c>
      <x:c r="AC26" s="17" t="str">
        <x:f>IF(AND(ISNUMBER('Recalculados'!AC26),ISNUMBER('Registrados'!AC26)),ROUND(('Recalculados'!AC26-'Registrados'!AC26),8),IF(OR('Recalculados'!AC26="NV",'Registrados'!AC26="Sem registro"),"NV","N/A"))</x:f>
        <x:v>NV</x:v>
      </x:c>
      <x:c r="AD26" s="16" t="str">
        <x:v>collected_code_6/qwen-max/feedback-dynamic-r0-t1.0-p1.0</x:v>
      </x:c>
      <x:c r="AE26" s="12"/>
    </x:row>
    <x:row r="27" ht="40" customHeight="1">
      <x:c r="A27" s="2"/>
      <x:c r="B27" s="9" t="str">
        <x:v>qwen-max</x:v>
      </x:c>
      <x:c r="C27" s="8" t="str">
        <x:v>feedback-static-r0-t0.2-p1.0</x:v>
      </x:c>
      <x:c r="D27" s="18" t="n">
        <x:f>IF(AND(ISNUMBER('Recalculados'!D27),ISNUMBER('Registrados'!D27)),ROUND(('Recalculados'!D27-'Registrados'!D27),8),IF(OR('Recalculados'!D27="NV",'Registrados'!D27="Sem registro"),"NV","N/A"))</x:f>
        <x:v>0</x:v>
      </x:c>
      <x:c r="E27" s="24" t="str">
        <x:f>IF(AND(ISNUMBER('Recalculados'!E27),ISNUMBER('Registrados'!E27)),ROUND(('Recalculados'!E27-'Registrados'!E27)*100,8),IF(OR('Recalculados'!E27="NV",'Registrados'!E27="Sem registro"),"NV","N/A"))</x:f>
        <x:v>NV</x:v>
      </x:c>
      <x:c r="F27" s="18" t="n">
        <x:f>IF(AND(ISNUMBER('Recalculados'!F27),ISNUMBER('Registrados'!F27)),ROUND(('Recalculados'!F27-'Registrados'!F27),8),IF(OR('Recalculados'!F27="NV",'Registrados'!F27="Sem registro"),"NV","N/A"))</x:f>
        <x:v>0</x:v>
      </x:c>
      <x:c r="G27" s="18" t="n">
        <x:f>IF(AND(ISNUMBER('Recalculados'!G27),ISNUMBER('Registrados'!G27)),ROUND(('Recalculados'!G27-'Registrados'!G27),8),IF(OR('Recalculados'!G27="NV",'Registrados'!G27="Sem registro"),"NV","N/A"))</x:f>
        <x:v>0</x:v>
      </x:c>
      <x:c r="H27" s="24" t="n">
        <x:f>IF(AND(ISNUMBER('Recalculados'!H27),ISNUMBER('Registrados'!H27)),ROUND(('Recalculados'!H27-'Registrados'!H27)*100,8),IF(OR('Recalculados'!H27="NV",'Registrados'!H27="Sem registro"),"NV","N/A"))</x:f>
        <x:v>0</x:v>
      </x:c>
      <x:c r="I27" s="18" t="str">
        <x:f>IF(AND(ISNUMBER('Recalculados'!I27),ISNUMBER('Registrados'!I27)),ROUND(('Recalculados'!I27-'Registrados'!I27),8),IF(OR('Recalculados'!I27="NV",'Registrados'!I27="Sem registro"),"NV","N/A"))</x:f>
        <x:v>NV</x:v>
      </x:c>
      <x:c r="J27" s="18" t="n">
        <x:f>IF(AND(ISNUMBER('Recalculados'!J27),ISNUMBER('Registrados'!J27)),ROUND(('Recalculados'!J27-'Registrados'!J27),8),IF(OR('Recalculados'!J27="NV",'Registrados'!J27="Sem registro"),"NV","N/A"))</x:f>
        <x:v>0</x:v>
      </x:c>
      <x:c r="K27" s="18" t="n">
        <x:f>IF(AND(ISNUMBER('Recalculados'!K27),ISNUMBER('Registrados'!K27)),ROUND(('Recalculados'!K27-'Registrados'!K27),8),IF(OR('Recalculados'!K27="NV",'Registrados'!K27="Sem registro"),"NV","N/A"))</x:f>
        <x:v>0</x:v>
      </x:c>
      <x:c r="L27" s="18" t="n">
        <x:f>IF(AND(ISNUMBER('Recalculados'!L27),ISNUMBER('Registrados'!L27)),ROUND(('Recalculados'!L27-'Registrados'!L27),8),IF(OR('Recalculados'!L27="NV",'Registrados'!L27="Sem registro"),"NV","N/A"))</x:f>
        <x:v>0</x:v>
      </x:c>
      <x:c r="M27" s="18" t="n">
        <x:f>IF(AND(ISNUMBER('Recalculados'!M27),ISNUMBER('Registrados'!M27)),ROUND(('Recalculados'!M27-'Registrados'!M27),8),IF(OR('Recalculados'!M27="NV",'Registrados'!M27="Sem registro"),"NV","N/A"))</x:f>
        <x:v>0</x:v>
      </x:c>
      <x:c r="N27" s="18" t="n">
        <x:f>IF(AND(ISNUMBER('Recalculados'!N27),ISNUMBER('Registrados'!N27)),ROUND(('Recalculados'!N27-'Registrados'!N27),8),IF(OR('Recalculados'!N27="NV",'Registrados'!N27="Sem registro"),"NV","N/A"))</x:f>
        <x:v>0</x:v>
      </x:c>
      <x:c r="O27" s="18" t="n">
        <x:f>IF(AND(ISNUMBER('Recalculados'!O27),ISNUMBER('Registrados'!O27)),ROUND(('Recalculados'!O27-'Registrados'!O27),8),IF(OR('Recalculados'!O27="NV",'Registrados'!O27="Sem registro"),"NV","N/A"))</x:f>
        <x:v>0</x:v>
      </x:c>
      <x:c r="P27" s="18" t="n">
        <x:f>IF(AND(ISNUMBER('Recalculados'!P27),ISNUMBER('Registrados'!P27)),ROUND(('Recalculados'!P27-'Registrados'!P27),8),IF(OR('Recalculados'!P27="NV",'Registrados'!P27="Sem registro"),"NV","N/A"))</x:f>
        <x:v>0</x:v>
      </x:c>
      <x:c r="Q27" s="18" t="n">
        <x:f>IF(AND(ISNUMBER('Recalculados'!Q27),ISNUMBER('Registrados'!Q27)),ROUND(('Recalculados'!Q27-'Registrados'!Q27),8),IF(OR('Recalculados'!Q27="NV",'Registrados'!Q27="Sem registro"),"NV","N/A"))</x:f>
        <x:v>0</x:v>
      </x:c>
      <x:c r="R27" s="18" t="n">
        <x:f>IF(AND(ISNUMBER('Recalculados'!R27),ISNUMBER('Registrados'!R27)),ROUND(('Recalculados'!R27-'Registrados'!R27),8),IF(OR('Recalculados'!R27="NV",'Registrados'!R27="Sem registro"),"NV","N/A"))</x:f>
        <x:v>0</x:v>
      </x:c>
      <x:c r="S27" s="18" t="n">
        <x:f>IF(AND(ISNUMBER('Recalculados'!S27),ISNUMBER('Registrados'!S27)),ROUND(('Recalculados'!S27-'Registrados'!S27),8),IF(OR('Recalculados'!S27="NV",'Registrados'!S27="Sem registro"),"NV","N/A"))</x:f>
        <x:v>0</x:v>
      </x:c>
      <x:c r="T27" s="24" t="str">
        <x:f>IF(AND(ISNUMBER('Recalculados'!T27),ISNUMBER('Registrados'!T27)),ROUND(('Recalculados'!T27-'Registrados'!T27)*100,8),IF(OR('Recalculados'!T27="NV",'Registrados'!T27="Sem registro"),"NV","N/A"))</x:f>
        <x:v>NV</x:v>
      </x:c>
      <x:c r="U27" s="18" t="n">
        <x:f>IF(AND(ISNUMBER('Recalculados'!U27),ISNUMBER('Registrados'!U27)),ROUND(('Recalculados'!U27-'Registrados'!U27),8),IF(OR('Recalculados'!U27="NV",'Registrados'!U27="Sem registro"),"NV","N/A"))</x:f>
        <x:v>0</x:v>
      </x:c>
      <x:c r="V27" s="24" t="n">
        <x:f>IF(AND(ISNUMBER('Recalculados'!V27),ISNUMBER('Registrados'!V27)),ROUND(('Recalculados'!V27-'Registrados'!V27)*100,8),IF(OR('Recalculados'!V27="NV",'Registrados'!V27="Sem registro"),"NV","N/A"))</x:f>
        <x:v>0</x:v>
      </x:c>
      <x:c r="W27" s="24" t="n">
        <x:f>IF(AND(ISNUMBER('Recalculados'!W27),ISNUMBER('Registrados'!W27)),ROUND(('Recalculados'!W27-'Registrados'!W27)*100,8),IF(OR('Recalculados'!W27="NV",'Registrados'!W27="Sem registro"),"NV","N/A"))</x:f>
        <x:v>0</x:v>
      </x:c>
      <x:c r="X27" s="18" t="n">
        <x:f>IF(AND(ISNUMBER('Recalculados'!X27),ISNUMBER('Registrados'!X27)),ROUND(('Recalculados'!X27-'Registrados'!X27),8),IF(OR('Recalculados'!X27="NV",'Registrados'!X27="Sem registro"),"NV","N/A"))</x:f>
        <x:v>0</x:v>
      </x:c>
      <x:c r="Y27" s="18" t="n">
        <x:f>IF(AND(ISNUMBER('Recalculados'!Y27),ISNUMBER('Registrados'!Y27)),ROUND(('Recalculados'!Y27-'Registrados'!Y27),8),IF(OR('Recalculados'!Y27="NV",'Registrados'!Y27="Sem registro"),"NV","N/A"))</x:f>
        <x:v>0</x:v>
      </x:c>
      <x:c r="Z27" s="18" t="n">
        <x:f>IF(AND(ISNUMBER('Recalculados'!Z27),ISNUMBER('Registrados'!Z27)),ROUND(('Recalculados'!Z27-'Registrados'!Z27),8),IF(OR('Recalculados'!Z27="NV",'Registrados'!Z27="Sem registro"),"NV","N/A"))</x:f>
        <x:v>0</x:v>
      </x:c>
      <x:c r="AA27" s="22" t="n">
        <x:f>IF(AND(ISNUMBER('Recalculados'!AA27),ISNUMBER('Registrados'!AA27)),ROUND(('Recalculados'!AA27-'Registrados'!AA27),8),IF(OR('Recalculados'!AA27="NV",'Registrados'!AA27="Sem registro"),"NV","N/A"))</x:f>
        <x:v>0</x:v>
      </x:c>
      <x:c r="AB27" s="22" t="n">
        <x:f>IF(AND(ISNUMBER('Recalculados'!AB27),ISNUMBER('Registrados'!AB27)),ROUND(('Recalculados'!AB27-'Registrados'!AB27),8),IF(OR('Recalculados'!AB27="NV",'Registrados'!AB27="Sem registro"),"NV","N/A"))</x:f>
        <x:v>0</x:v>
      </x:c>
      <x:c r="AC27" s="18" t="str">
        <x:f>IF(AND(ISNUMBER('Recalculados'!AC27),ISNUMBER('Registrados'!AC27)),ROUND(('Recalculados'!AC27-'Registrados'!AC27),8),IF(OR('Recalculados'!AC27="NV",'Registrados'!AC27="Sem registro"),"NV","N/A"))</x:f>
        <x:v>N/A</x:v>
      </x:c>
      <x:c r="AD27" s="11" t="str">
        <x:v>collected_code_6/qwen-max/feedback-static-r0-t0.2-p1.0</x:v>
      </x:c>
      <x:c r="AE27" s="12"/>
    </x:row>
    <x:row r="28" ht="40" customHeight="1">
      <x:c r="A28" s="2"/>
      <x:c r="B28" s="9" t="str">
        <x:v>qwen-max</x:v>
      </x:c>
      <x:c r="C28" s="8" t="str">
        <x:v>feedback-static-r0-t1.0-p0.5</x:v>
      </x:c>
      <x:c r="D28" s="18" t="n">
        <x:f>IF(AND(ISNUMBER('Recalculados'!D28),ISNUMBER('Registrados'!D28)),ROUND(('Recalculados'!D28-'Registrados'!D28),8),IF(OR('Recalculados'!D28="NV",'Registrados'!D28="Sem registro"),"NV","N/A"))</x:f>
        <x:v>0</x:v>
      </x:c>
      <x:c r="E28" s="24" t="str">
        <x:f>IF(AND(ISNUMBER('Recalculados'!E28),ISNUMBER('Registrados'!E28)),ROUND(('Recalculados'!E28-'Registrados'!E28)*100,8),IF(OR('Recalculados'!E28="NV",'Registrados'!E28="Sem registro"),"NV","N/A"))</x:f>
        <x:v>NV</x:v>
      </x:c>
      <x:c r="F28" s="18" t="n">
        <x:f>IF(AND(ISNUMBER('Recalculados'!F28),ISNUMBER('Registrados'!F28)),ROUND(('Recalculados'!F28-'Registrados'!F28),8),IF(OR('Recalculados'!F28="NV",'Registrados'!F28="Sem registro"),"NV","N/A"))</x:f>
        <x:v>0</x:v>
      </x:c>
      <x:c r="G28" s="18" t="n">
        <x:f>IF(AND(ISNUMBER('Recalculados'!G28),ISNUMBER('Registrados'!G28)),ROUND(('Recalculados'!G28-'Registrados'!G28),8),IF(OR('Recalculados'!G28="NV",'Registrados'!G28="Sem registro"),"NV","N/A"))</x:f>
        <x:v>0</x:v>
      </x:c>
      <x:c r="H28" s="24" t="n">
        <x:f>IF(AND(ISNUMBER('Recalculados'!H28),ISNUMBER('Registrados'!H28)),ROUND(('Recalculados'!H28-'Registrados'!H28)*100,8),IF(OR('Recalculados'!H28="NV",'Registrados'!H28="Sem registro"),"NV","N/A"))</x:f>
        <x:v>0</x:v>
      </x:c>
      <x:c r="I28" s="18" t="str">
        <x:f>IF(AND(ISNUMBER('Recalculados'!I28),ISNUMBER('Registrados'!I28)),ROUND(('Recalculados'!I28-'Registrados'!I28),8),IF(OR('Recalculados'!I28="NV",'Registrados'!I28="Sem registro"),"NV","N/A"))</x:f>
        <x:v>NV</x:v>
      </x:c>
      <x:c r="J28" s="18" t="n">
        <x:f>IF(AND(ISNUMBER('Recalculados'!J28),ISNUMBER('Registrados'!J28)),ROUND(('Recalculados'!J28-'Registrados'!J28),8),IF(OR('Recalculados'!J28="NV",'Registrados'!J28="Sem registro"),"NV","N/A"))</x:f>
        <x:v>0</x:v>
      </x:c>
      <x:c r="K28" s="18" t="n">
        <x:f>IF(AND(ISNUMBER('Recalculados'!K28),ISNUMBER('Registrados'!K28)),ROUND(('Recalculados'!K28-'Registrados'!K28),8),IF(OR('Recalculados'!K28="NV",'Registrados'!K28="Sem registro"),"NV","N/A"))</x:f>
        <x:v>0</x:v>
      </x:c>
      <x:c r="L28" s="18" t="n">
        <x:f>IF(AND(ISNUMBER('Recalculados'!L28),ISNUMBER('Registrados'!L28)),ROUND(('Recalculados'!L28-'Registrados'!L28),8),IF(OR('Recalculados'!L28="NV",'Registrados'!L28="Sem registro"),"NV","N/A"))</x:f>
        <x:v>0</x:v>
      </x:c>
      <x:c r="M28" s="18" t="n">
        <x:f>IF(AND(ISNUMBER('Recalculados'!M28),ISNUMBER('Registrados'!M28)),ROUND(('Recalculados'!M28-'Registrados'!M28),8),IF(OR('Recalculados'!M28="NV",'Registrados'!M28="Sem registro"),"NV","N/A"))</x:f>
        <x:v>0</x:v>
      </x:c>
      <x:c r="N28" s="18" t="n">
        <x:f>IF(AND(ISNUMBER('Recalculados'!N28),ISNUMBER('Registrados'!N28)),ROUND(('Recalculados'!N28-'Registrados'!N28),8),IF(OR('Recalculados'!N28="NV",'Registrados'!N28="Sem registro"),"NV","N/A"))</x:f>
        <x:v>0</x:v>
      </x:c>
      <x:c r="O28" s="18" t="n">
        <x:f>IF(AND(ISNUMBER('Recalculados'!O28),ISNUMBER('Registrados'!O28)),ROUND(('Recalculados'!O28-'Registrados'!O28),8),IF(OR('Recalculados'!O28="NV",'Registrados'!O28="Sem registro"),"NV","N/A"))</x:f>
        <x:v>0</x:v>
      </x:c>
      <x:c r="P28" s="18" t="n">
        <x:f>IF(AND(ISNUMBER('Recalculados'!P28),ISNUMBER('Registrados'!P28)),ROUND(('Recalculados'!P28-'Registrados'!P28),8),IF(OR('Recalculados'!P28="NV",'Registrados'!P28="Sem registro"),"NV","N/A"))</x:f>
        <x:v>0</x:v>
      </x:c>
      <x:c r="Q28" s="18" t="n">
        <x:f>IF(AND(ISNUMBER('Recalculados'!Q28),ISNUMBER('Registrados'!Q28)),ROUND(('Recalculados'!Q28-'Registrados'!Q28),8),IF(OR('Recalculados'!Q28="NV",'Registrados'!Q28="Sem registro"),"NV","N/A"))</x:f>
        <x:v>0</x:v>
      </x:c>
      <x:c r="R28" s="18" t="n">
        <x:f>IF(AND(ISNUMBER('Recalculados'!R28),ISNUMBER('Registrados'!R28)),ROUND(('Recalculados'!R28-'Registrados'!R28),8),IF(OR('Recalculados'!R28="NV",'Registrados'!R28="Sem registro"),"NV","N/A"))</x:f>
        <x:v>0</x:v>
      </x:c>
      <x:c r="S28" s="18" t="n">
        <x:f>IF(AND(ISNUMBER('Recalculados'!S28),ISNUMBER('Registrados'!S28)),ROUND(('Recalculados'!S28-'Registrados'!S28),8),IF(OR('Recalculados'!S28="NV",'Registrados'!S28="Sem registro"),"NV","N/A"))</x:f>
        <x:v>0</x:v>
      </x:c>
      <x:c r="T28" s="24" t="str">
        <x:f>IF(AND(ISNUMBER('Recalculados'!T28),ISNUMBER('Registrados'!T28)),ROUND(('Recalculados'!T28-'Registrados'!T28)*100,8),IF(OR('Recalculados'!T28="NV",'Registrados'!T28="Sem registro"),"NV","N/A"))</x:f>
        <x:v>NV</x:v>
      </x:c>
      <x:c r="U28" s="18" t="n">
        <x:f>IF(AND(ISNUMBER('Recalculados'!U28),ISNUMBER('Registrados'!U28)),ROUND(('Recalculados'!U28-'Registrados'!U28),8),IF(OR('Recalculados'!U28="NV",'Registrados'!U28="Sem registro"),"NV","N/A"))</x:f>
        <x:v>0</x:v>
      </x:c>
      <x:c r="V28" s="24" t="n">
        <x:f>IF(AND(ISNUMBER('Recalculados'!V28),ISNUMBER('Registrados'!V28)),ROUND(('Recalculados'!V28-'Registrados'!V28)*100,8),IF(OR('Recalculados'!V28="NV",'Registrados'!V28="Sem registro"),"NV","N/A"))</x:f>
        <x:v>0</x:v>
      </x:c>
      <x:c r="W28" s="24" t="n">
        <x:f>IF(AND(ISNUMBER('Recalculados'!W28),ISNUMBER('Registrados'!W28)),ROUND(('Recalculados'!W28-'Registrados'!W28)*100,8),IF(OR('Recalculados'!W28="NV",'Registrados'!W28="Sem registro"),"NV","N/A"))</x:f>
        <x:v>0</x:v>
      </x:c>
      <x:c r="X28" s="18" t="n">
        <x:f>IF(AND(ISNUMBER('Recalculados'!X28),ISNUMBER('Registrados'!X28)),ROUND(('Recalculados'!X28-'Registrados'!X28),8),IF(OR('Recalculados'!X28="NV",'Registrados'!X28="Sem registro"),"NV","N/A"))</x:f>
        <x:v>0</x:v>
      </x:c>
      <x:c r="Y28" s="18" t="n">
        <x:f>IF(AND(ISNUMBER('Recalculados'!Y28),ISNUMBER('Registrados'!Y28)),ROUND(('Recalculados'!Y28-'Registrados'!Y28),8),IF(OR('Recalculados'!Y28="NV",'Registrados'!Y28="Sem registro"),"NV","N/A"))</x:f>
        <x:v>0</x:v>
      </x:c>
      <x:c r="Z28" s="18" t="n">
        <x:f>IF(AND(ISNUMBER('Recalculados'!Z28),ISNUMBER('Registrados'!Z28)),ROUND(('Recalculados'!Z28-'Registrados'!Z28),8),IF(OR('Recalculados'!Z28="NV",'Registrados'!Z28="Sem registro"),"NV","N/A"))</x:f>
        <x:v>0</x:v>
      </x:c>
      <x:c r="AA28" s="22" t="n">
        <x:f>IF(AND(ISNUMBER('Recalculados'!AA28),ISNUMBER('Registrados'!AA28)),ROUND(('Recalculados'!AA28-'Registrados'!AA28),8),IF(OR('Recalculados'!AA28="NV",'Registrados'!AA28="Sem registro"),"NV","N/A"))</x:f>
        <x:v>0</x:v>
      </x:c>
      <x:c r="AB28" s="22" t="n">
        <x:f>IF(AND(ISNUMBER('Recalculados'!AB28),ISNUMBER('Registrados'!AB28)),ROUND(('Recalculados'!AB28-'Registrados'!AB28),8),IF(OR('Recalculados'!AB28="NV",'Registrados'!AB28="Sem registro"),"NV","N/A"))</x:f>
        <x:v>0</x:v>
      </x:c>
      <x:c r="AC28" s="18" t="str">
        <x:f>IF(AND(ISNUMBER('Recalculados'!AC28),ISNUMBER('Registrados'!AC28)),ROUND(('Recalculados'!AC28-'Registrados'!AC28),8),IF(OR('Recalculados'!AC28="NV",'Registrados'!AC28="Sem registro"),"NV","N/A"))</x:f>
        <x:v>N/A</x:v>
      </x:c>
      <x:c r="AD28" s="11" t="str">
        <x:v>collected_code_6/qwen-max/feedback-static-r0-t1.0-p0.5</x:v>
      </x:c>
      <x:c r="AE28" s="12"/>
    </x:row>
    <x:row r="29" ht="40" customHeight="1">
      <x:c r="A29" s="2"/>
      <x:c r="B29" s="9" t="str">
        <x:v>qwen-max</x:v>
      </x:c>
      <x:c r="C29" s="8" t="str">
        <x:v>feedback-static-r0-t1.0-p1.0</x:v>
      </x:c>
      <x:c r="D29" s="18" t="n">
        <x:f>IF(AND(ISNUMBER('Recalculados'!D29),ISNUMBER('Registrados'!D29)),ROUND(('Recalculados'!D29-'Registrados'!D29),8),IF(OR('Recalculados'!D29="NV",'Registrados'!D29="Sem registro"),"NV","N/A"))</x:f>
        <x:v>0</x:v>
      </x:c>
      <x:c r="E29" s="24" t="str">
        <x:f>IF(AND(ISNUMBER('Recalculados'!E29),ISNUMBER('Registrados'!E29)),ROUND(('Recalculados'!E29-'Registrados'!E29)*100,8),IF(OR('Recalculados'!E29="NV",'Registrados'!E29="Sem registro"),"NV","N/A"))</x:f>
        <x:v>NV</x:v>
      </x:c>
      <x:c r="F29" s="18" t="n">
        <x:f>IF(AND(ISNUMBER('Recalculados'!F29),ISNUMBER('Registrados'!F29)),ROUND(('Recalculados'!F29-'Registrados'!F29),8),IF(OR('Recalculados'!F29="NV",'Registrados'!F29="Sem registro"),"NV","N/A"))</x:f>
        <x:v>0</x:v>
      </x:c>
      <x:c r="G29" s="18" t="n">
        <x:f>IF(AND(ISNUMBER('Recalculados'!G29),ISNUMBER('Registrados'!G29)),ROUND(('Recalculados'!G29-'Registrados'!G29),8),IF(OR('Recalculados'!G29="NV",'Registrados'!G29="Sem registro"),"NV","N/A"))</x:f>
        <x:v>0</x:v>
      </x:c>
      <x:c r="H29" s="24" t="n">
        <x:f>IF(AND(ISNUMBER('Recalculados'!H29),ISNUMBER('Registrados'!H29)),ROUND(('Recalculados'!H29-'Registrados'!H29)*100,8),IF(OR('Recalculados'!H29="NV",'Registrados'!H29="Sem registro"),"NV","N/A"))</x:f>
        <x:v>0</x:v>
      </x:c>
      <x:c r="I29" s="18" t="str">
        <x:f>IF(AND(ISNUMBER('Recalculados'!I29),ISNUMBER('Registrados'!I29)),ROUND(('Recalculados'!I29-'Registrados'!I29),8),IF(OR('Recalculados'!I29="NV",'Registrados'!I29="Sem registro"),"NV","N/A"))</x:f>
        <x:v>NV</x:v>
      </x:c>
      <x:c r="J29" s="18" t="n">
        <x:f>IF(AND(ISNUMBER('Recalculados'!J29),ISNUMBER('Registrados'!J29)),ROUND(('Recalculados'!J29-'Registrados'!J29),8),IF(OR('Recalculados'!J29="NV",'Registrados'!J29="Sem registro"),"NV","N/A"))</x:f>
        <x:v>0</x:v>
      </x:c>
      <x:c r="K29" s="18" t="n">
        <x:f>IF(AND(ISNUMBER('Recalculados'!K29),ISNUMBER('Registrados'!K29)),ROUND(('Recalculados'!K29-'Registrados'!K29),8),IF(OR('Recalculados'!K29="NV",'Registrados'!K29="Sem registro"),"NV","N/A"))</x:f>
        <x:v>0</x:v>
      </x:c>
      <x:c r="L29" s="18" t="n">
        <x:f>IF(AND(ISNUMBER('Recalculados'!L29),ISNUMBER('Registrados'!L29)),ROUND(('Recalculados'!L29-'Registrados'!L29),8),IF(OR('Recalculados'!L29="NV",'Registrados'!L29="Sem registro"),"NV","N/A"))</x:f>
        <x:v>0</x:v>
      </x:c>
      <x:c r="M29" s="18" t="n">
        <x:f>IF(AND(ISNUMBER('Recalculados'!M29),ISNUMBER('Registrados'!M29)),ROUND(('Recalculados'!M29-'Registrados'!M29),8),IF(OR('Recalculados'!M29="NV",'Registrados'!M29="Sem registro"),"NV","N/A"))</x:f>
        <x:v>0</x:v>
      </x:c>
      <x:c r="N29" s="18" t="n">
        <x:f>IF(AND(ISNUMBER('Recalculados'!N29),ISNUMBER('Registrados'!N29)),ROUND(('Recalculados'!N29-'Registrados'!N29),8),IF(OR('Recalculados'!N29="NV",'Registrados'!N29="Sem registro"),"NV","N/A"))</x:f>
        <x:v>0</x:v>
      </x:c>
      <x:c r="O29" s="18" t="n">
        <x:f>IF(AND(ISNUMBER('Recalculados'!O29),ISNUMBER('Registrados'!O29)),ROUND(('Recalculados'!O29-'Registrados'!O29),8),IF(OR('Recalculados'!O29="NV",'Registrados'!O29="Sem registro"),"NV","N/A"))</x:f>
        <x:v>0</x:v>
      </x:c>
      <x:c r="P29" s="18" t="n">
        <x:f>IF(AND(ISNUMBER('Recalculados'!P29),ISNUMBER('Registrados'!P29)),ROUND(('Recalculados'!P29-'Registrados'!P29),8),IF(OR('Recalculados'!P29="NV",'Registrados'!P29="Sem registro"),"NV","N/A"))</x:f>
        <x:v>0</x:v>
      </x:c>
      <x:c r="Q29" s="18" t="n">
        <x:f>IF(AND(ISNUMBER('Recalculados'!Q29),ISNUMBER('Registrados'!Q29)),ROUND(('Recalculados'!Q29-'Registrados'!Q29),8),IF(OR('Recalculados'!Q29="NV",'Registrados'!Q29="Sem registro"),"NV","N/A"))</x:f>
        <x:v>0</x:v>
      </x:c>
      <x:c r="R29" s="18" t="n">
        <x:f>IF(AND(ISNUMBER('Recalculados'!R29),ISNUMBER('Registrados'!R29)),ROUND(('Recalculados'!R29-'Registrados'!R29),8),IF(OR('Recalculados'!R29="NV",'Registrados'!R29="Sem registro"),"NV","N/A"))</x:f>
        <x:v>0</x:v>
      </x:c>
      <x:c r="S29" s="18" t="n">
        <x:f>IF(AND(ISNUMBER('Recalculados'!S29),ISNUMBER('Registrados'!S29)),ROUND(('Recalculados'!S29-'Registrados'!S29),8),IF(OR('Recalculados'!S29="NV",'Registrados'!S29="Sem registro"),"NV","N/A"))</x:f>
        <x:v>0</x:v>
      </x:c>
      <x:c r="T29" s="24" t="str">
        <x:f>IF(AND(ISNUMBER('Recalculados'!T29),ISNUMBER('Registrados'!T29)),ROUND(('Recalculados'!T29-'Registrados'!T29)*100,8),IF(OR('Recalculados'!T29="NV",'Registrados'!T29="Sem registro"),"NV","N/A"))</x:f>
        <x:v>NV</x:v>
      </x:c>
      <x:c r="U29" s="18" t="n">
        <x:f>IF(AND(ISNUMBER('Recalculados'!U29),ISNUMBER('Registrados'!U29)),ROUND(('Recalculados'!U29-'Registrados'!U29),8),IF(OR('Recalculados'!U29="NV",'Registrados'!U29="Sem registro"),"NV","N/A"))</x:f>
        <x:v>0</x:v>
      </x:c>
      <x:c r="V29" s="24" t="n">
        <x:f>IF(AND(ISNUMBER('Recalculados'!V29),ISNUMBER('Registrados'!V29)),ROUND(('Recalculados'!V29-'Registrados'!V29)*100,8),IF(OR('Recalculados'!V29="NV",'Registrados'!V29="Sem registro"),"NV","N/A"))</x:f>
        <x:v>0</x:v>
      </x:c>
      <x:c r="W29" s="24" t="n">
        <x:f>IF(AND(ISNUMBER('Recalculados'!W29),ISNUMBER('Registrados'!W29)),ROUND(('Recalculados'!W29-'Registrados'!W29)*100,8),IF(OR('Recalculados'!W29="NV",'Registrados'!W29="Sem registro"),"NV","N/A"))</x:f>
        <x:v>0</x:v>
      </x:c>
      <x:c r="X29" s="18" t="n">
        <x:f>IF(AND(ISNUMBER('Recalculados'!X29),ISNUMBER('Registrados'!X29)),ROUND(('Recalculados'!X29-'Registrados'!X29),8),IF(OR('Recalculados'!X29="NV",'Registrados'!X29="Sem registro"),"NV","N/A"))</x:f>
        <x:v>0</x:v>
      </x:c>
      <x:c r="Y29" s="18" t="n">
        <x:f>IF(AND(ISNUMBER('Recalculados'!Y29),ISNUMBER('Registrados'!Y29)),ROUND(('Recalculados'!Y29-'Registrados'!Y29),8),IF(OR('Recalculados'!Y29="NV",'Registrados'!Y29="Sem registro"),"NV","N/A"))</x:f>
        <x:v>0</x:v>
      </x:c>
      <x:c r="Z29" s="18" t="n">
        <x:f>IF(AND(ISNUMBER('Recalculados'!Z29),ISNUMBER('Registrados'!Z29)),ROUND(('Recalculados'!Z29-'Registrados'!Z29),8),IF(OR('Recalculados'!Z29="NV",'Registrados'!Z29="Sem registro"),"NV","N/A"))</x:f>
        <x:v>0</x:v>
      </x:c>
      <x:c r="AA29" s="22" t="n">
        <x:f>IF(AND(ISNUMBER('Recalculados'!AA29),ISNUMBER('Registrados'!AA29)),ROUND(('Recalculados'!AA29-'Registrados'!AA29),8),IF(OR('Recalculados'!AA29="NV",'Registrados'!AA29="Sem registro"),"NV","N/A"))</x:f>
        <x:v>0</x:v>
      </x:c>
      <x:c r="AB29" s="22" t="n">
        <x:f>IF(AND(ISNUMBER('Recalculados'!AB29),ISNUMBER('Registrados'!AB29)),ROUND(('Recalculados'!AB29-'Registrados'!AB29),8),IF(OR('Recalculados'!AB29="NV",'Registrados'!AB29="Sem registro"),"NV","N/A"))</x:f>
        <x:v>0</x:v>
      </x:c>
      <x:c r="AC29" s="18" t="str">
        <x:f>IF(AND(ISNUMBER('Recalculados'!AC29),ISNUMBER('Registrados'!AC29)),ROUND(('Recalculados'!AC29-'Registrados'!AC29),8),IF(OR('Recalculados'!AC29="NV",'Registrados'!AC29="Sem registro"),"NV","N/A"))</x:f>
        <x:v>N/A</x:v>
      </x:c>
      <x:c r="AD29" s="11" t="str">
        <x:v>collected_code_6/qwen-max/feedback-static-r0-t1.0-p1.0</x:v>
      </x:c>
      <x:c r="AE29" s="12"/>
    </x:row>
    <x:row r="30" ht="40" customHeight="1">
      <x:c r="A30" s="2"/>
      <x:c r="B30" s="9" t="str">
        <x:v>qwen-max</x:v>
      </x:c>
      <x:c r="C30" s="8" t="str">
        <x:v>feedback-static+dynamic-r0-t0.2-p1.0</x:v>
      </x:c>
      <x:c r="D30" s="18" t="str">
        <x:f>IF(AND(ISNUMBER('Recalculados'!D30),ISNUMBER('Registrados'!D30)),ROUND(('Recalculados'!D30-'Registrados'!D30),8),IF(OR('Recalculados'!D30="NV",'Registrados'!D30="Sem registro"),"NV","N/A"))</x:f>
        <x:v>NV</x:v>
      </x:c>
      <x:c r="E30" s="24" t="str">
        <x:f>IF(AND(ISNUMBER('Recalculados'!E30),ISNUMBER('Registrados'!E30)),ROUND(('Recalculados'!E30-'Registrados'!E30)*100,8),IF(OR('Recalculados'!E30="NV",'Registrados'!E30="Sem registro"),"NV","N/A"))</x:f>
        <x:v>NV</x:v>
      </x:c>
      <x:c r="F30" s="18" t="str">
        <x:f>IF(AND(ISNUMBER('Recalculados'!F30),ISNUMBER('Registrados'!F30)),ROUND(('Recalculados'!F30-'Registrados'!F30),8),IF(OR('Recalculados'!F30="NV",'Registrados'!F30="Sem registro"),"NV","N/A"))</x:f>
        <x:v>NV</x:v>
      </x:c>
      <x:c r="G30" s="18" t="str">
        <x:f>IF(AND(ISNUMBER('Recalculados'!G30),ISNUMBER('Registrados'!G30)),ROUND(('Recalculados'!G30-'Registrados'!G30),8),IF(OR('Recalculados'!G30="NV",'Registrados'!G30="Sem registro"),"NV","N/A"))</x:f>
        <x:v>NV</x:v>
      </x:c>
      <x:c r="H30" s="24" t="str">
        <x:f>IF(AND(ISNUMBER('Recalculados'!H30),ISNUMBER('Registrados'!H30)),ROUND(('Recalculados'!H30-'Registrados'!H30)*100,8),IF(OR('Recalculados'!H30="NV",'Registrados'!H30="Sem registro"),"NV","N/A"))</x:f>
        <x:v>NV</x:v>
      </x:c>
      <x:c r="I30" s="18" t="str">
        <x:f>IF(AND(ISNUMBER('Recalculados'!I30),ISNUMBER('Registrados'!I30)),ROUND(('Recalculados'!I30-'Registrados'!I30),8),IF(OR('Recalculados'!I30="NV",'Registrados'!I30="Sem registro"),"NV","N/A"))</x:f>
        <x:v>NV</x:v>
      </x:c>
      <x:c r="J30" s="18" t="str">
        <x:f>IF(AND(ISNUMBER('Recalculados'!J30),ISNUMBER('Registrados'!J30)),ROUND(('Recalculados'!J30-'Registrados'!J30),8),IF(OR('Recalculados'!J30="NV",'Registrados'!J30="Sem registro"),"NV","N/A"))</x:f>
        <x:v>NV</x:v>
      </x:c>
      <x:c r="K30" s="18" t="str">
        <x:f>IF(AND(ISNUMBER('Recalculados'!K30),ISNUMBER('Registrados'!K30)),ROUND(('Recalculados'!K30-'Registrados'!K30),8),IF(OR('Recalculados'!K30="NV",'Registrados'!K30="Sem registro"),"NV","N/A"))</x:f>
        <x:v>NV</x:v>
      </x:c>
      <x:c r="L30" s="18" t="str">
        <x:f>IF(AND(ISNUMBER('Recalculados'!L30),ISNUMBER('Registrados'!L30)),ROUND(('Recalculados'!L30-'Registrados'!L30),8),IF(OR('Recalculados'!L30="NV",'Registrados'!L30="Sem registro"),"NV","N/A"))</x:f>
        <x:v>NV</x:v>
      </x:c>
      <x:c r="M30" s="18" t="str">
        <x:f>IF(AND(ISNUMBER('Recalculados'!M30),ISNUMBER('Registrados'!M30)),ROUND(('Recalculados'!M30-'Registrados'!M30),8),IF(OR('Recalculados'!M30="NV",'Registrados'!M30="Sem registro"),"NV","N/A"))</x:f>
        <x:v>NV</x:v>
      </x:c>
      <x:c r="N30" s="18" t="str">
        <x:f>IF(AND(ISNUMBER('Recalculados'!N30),ISNUMBER('Registrados'!N30)),ROUND(('Recalculados'!N30-'Registrados'!N30),8),IF(OR('Recalculados'!N30="NV",'Registrados'!N30="Sem registro"),"NV","N/A"))</x:f>
        <x:v>NV</x:v>
      </x:c>
      <x:c r="O30" s="18" t="str">
        <x:f>IF(AND(ISNUMBER('Recalculados'!O30),ISNUMBER('Registrados'!O30)),ROUND(('Recalculados'!O30-'Registrados'!O30),8),IF(OR('Recalculados'!O30="NV",'Registrados'!O30="Sem registro"),"NV","N/A"))</x:f>
        <x:v>NV</x:v>
      </x:c>
      <x:c r="P30" s="18" t="str">
        <x:f>IF(AND(ISNUMBER('Recalculados'!P30),ISNUMBER('Registrados'!P30)),ROUND(('Recalculados'!P30-'Registrados'!P30),8),IF(OR('Recalculados'!P30="NV",'Registrados'!P30="Sem registro"),"NV","N/A"))</x:f>
        <x:v>NV</x:v>
      </x:c>
      <x:c r="Q30" s="18" t="str">
        <x:f>IF(AND(ISNUMBER('Recalculados'!Q30),ISNUMBER('Registrados'!Q30)),ROUND(('Recalculados'!Q30-'Registrados'!Q30),8),IF(OR('Recalculados'!Q30="NV",'Registrados'!Q30="Sem registro"),"NV","N/A"))</x:f>
        <x:v>NV</x:v>
      </x:c>
      <x:c r="R30" s="18" t="str">
        <x:f>IF(AND(ISNUMBER('Recalculados'!R30),ISNUMBER('Registrados'!R30)),ROUND(('Recalculados'!R30-'Registrados'!R30),8),IF(OR('Recalculados'!R30="NV",'Registrados'!R30="Sem registro"),"NV","N/A"))</x:f>
        <x:v>NV</x:v>
      </x:c>
      <x:c r="S30" s="18" t="str">
        <x:f>IF(AND(ISNUMBER('Recalculados'!S30),ISNUMBER('Registrados'!S30)),ROUND(('Recalculados'!S30-'Registrados'!S30),8),IF(OR('Recalculados'!S30="NV",'Registrados'!S30="Sem registro"),"NV","N/A"))</x:f>
        <x:v>NV</x:v>
      </x:c>
      <x:c r="T30" s="24" t="str">
        <x:f>IF(AND(ISNUMBER('Recalculados'!T30),ISNUMBER('Registrados'!T30)),ROUND(('Recalculados'!T30-'Registrados'!T30)*100,8),IF(OR('Recalculados'!T30="NV",'Registrados'!T30="Sem registro"),"NV","N/A"))</x:f>
        <x:v>NV</x:v>
      </x:c>
      <x:c r="U30" s="18" t="str">
        <x:f>IF(AND(ISNUMBER('Recalculados'!U30),ISNUMBER('Registrados'!U30)),ROUND(('Recalculados'!U30-'Registrados'!U30),8),IF(OR('Recalculados'!U30="NV",'Registrados'!U30="Sem registro"),"NV","N/A"))</x:f>
        <x:v>NV</x:v>
      </x:c>
      <x:c r="V30" s="24" t="str">
        <x:f>IF(AND(ISNUMBER('Recalculados'!V30),ISNUMBER('Registrados'!V30)),ROUND(('Recalculados'!V30-'Registrados'!V30)*100,8),IF(OR('Recalculados'!V30="NV",'Registrados'!V30="Sem registro"),"NV","N/A"))</x:f>
        <x:v>NV</x:v>
      </x:c>
      <x:c r="W30" s="24" t="str">
        <x:f>IF(AND(ISNUMBER('Recalculados'!W30),ISNUMBER('Registrados'!W30)),ROUND(('Recalculados'!W30-'Registrados'!W30)*100,8),IF(OR('Recalculados'!W30="NV",'Registrados'!W30="Sem registro"),"NV","N/A"))</x:f>
        <x:v>NV</x:v>
      </x:c>
      <x:c r="X30" s="18" t="str">
        <x:f>IF(AND(ISNUMBER('Recalculados'!X30),ISNUMBER('Registrados'!X30)),ROUND(('Recalculados'!X30-'Registrados'!X30),8),IF(OR('Recalculados'!X30="NV",'Registrados'!X30="Sem registro"),"NV","N/A"))</x:f>
        <x:v>NV</x:v>
      </x:c>
      <x:c r="Y30" s="18" t="str">
        <x:f>IF(AND(ISNUMBER('Recalculados'!Y30),ISNUMBER('Registrados'!Y30)),ROUND(('Recalculados'!Y30-'Registrados'!Y30),8),IF(OR('Recalculados'!Y30="NV",'Registrados'!Y30="Sem registro"),"NV","N/A"))</x:f>
        <x:v>NV</x:v>
      </x:c>
      <x:c r="Z30" s="18" t="str">
        <x:f>IF(AND(ISNUMBER('Recalculados'!Z30),ISNUMBER('Registrados'!Z30)),ROUND(('Recalculados'!Z30-'Registrados'!Z30),8),IF(OR('Recalculados'!Z30="NV",'Registrados'!Z30="Sem registro"),"NV","N/A"))</x:f>
        <x:v>NV</x:v>
      </x:c>
      <x:c r="AA30" s="22" t="str">
        <x:f>IF(AND(ISNUMBER('Recalculados'!AA30),ISNUMBER('Registrados'!AA30)),ROUND(('Recalculados'!AA30-'Registrados'!AA30),8),IF(OR('Recalculados'!AA30="NV",'Registrados'!AA30="Sem registro"),"NV","N/A"))</x:f>
        <x:v>NV</x:v>
      </x:c>
      <x:c r="AB30" s="22" t="str">
        <x:f>IF(AND(ISNUMBER('Recalculados'!AB30),ISNUMBER('Registrados'!AB30)),ROUND(('Recalculados'!AB30-'Registrados'!AB30),8),IF(OR('Recalculados'!AB30="NV",'Registrados'!AB30="Sem registro"),"NV","N/A"))</x:f>
        <x:v>NV</x:v>
      </x:c>
      <x:c r="AC30" s="18" t="str">
        <x:f>IF(AND(ISNUMBER('Recalculados'!AC30),ISNUMBER('Registrados'!AC30)),ROUND(('Recalculados'!AC30-'Registrados'!AC30),8),IF(OR('Recalculados'!AC30="NV",'Registrados'!AC30="Sem registro"),"NV","N/A"))</x:f>
        <x:v>NV</x:v>
      </x:c>
      <x:c r="AD30" s="11" t="str">
        <x:v>collected_code_6/qwen-max/feedback-static+dynamic-r0-t0.2-p1.0</x:v>
      </x:c>
      <x:c r="AE30" s="12"/>
    </x:row>
    <x:row r="31" ht="40" customHeight="1">
      <x:c r="A31" s="2"/>
      <x:c r="B31" s="9" t="str">
        <x:v>qwen-max</x:v>
      </x:c>
      <x:c r="C31" s="8" t="str">
        <x:v>feedback-static+dynamic-r0-t1.0-p0.5</x:v>
      </x:c>
      <x:c r="D31" s="18" t="str">
        <x:f>IF(AND(ISNUMBER('Recalculados'!D31),ISNUMBER('Registrados'!D31)),ROUND(('Recalculados'!D31-'Registrados'!D31),8),IF(OR('Recalculados'!D31="NV",'Registrados'!D31="Sem registro"),"NV","N/A"))</x:f>
        <x:v>NV</x:v>
      </x:c>
      <x:c r="E31" s="24" t="str">
        <x:f>IF(AND(ISNUMBER('Recalculados'!E31),ISNUMBER('Registrados'!E31)),ROUND(('Recalculados'!E31-'Registrados'!E31)*100,8),IF(OR('Recalculados'!E31="NV",'Registrados'!E31="Sem registro"),"NV","N/A"))</x:f>
        <x:v>NV</x:v>
      </x:c>
      <x:c r="F31" s="18" t="str">
        <x:f>IF(AND(ISNUMBER('Recalculados'!F31),ISNUMBER('Registrados'!F31)),ROUND(('Recalculados'!F31-'Registrados'!F31),8),IF(OR('Recalculados'!F31="NV",'Registrados'!F31="Sem registro"),"NV","N/A"))</x:f>
        <x:v>NV</x:v>
      </x:c>
      <x:c r="G31" s="18" t="str">
        <x:f>IF(AND(ISNUMBER('Recalculados'!G31),ISNUMBER('Registrados'!G31)),ROUND(('Recalculados'!G31-'Registrados'!G31),8),IF(OR('Recalculados'!G31="NV",'Registrados'!G31="Sem registro"),"NV","N/A"))</x:f>
        <x:v>NV</x:v>
      </x:c>
      <x:c r="H31" s="24" t="str">
        <x:f>IF(AND(ISNUMBER('Recalculados'!H31),ISNUMBER('Registrados'!H31)),ROUND(('Recalculados'!H31-'Registrados'!H31)*100,8),IF(OR('Recalculados'!H31="NV",'Registrados'!H31="Sem registro"),"NV","N/A"))</x:f>
        <x:v>NV</x:v>
      </x:c>
      <x:c r="I31" s="18" t="str">
        <x:f>IF(AND(ISNUMBER('Recalculados'!I31),ISNUMBER('Registrados'!I31)),ROUND(('Recalculados'!I31-'Registrados'!I31),8),IF(OR('Recalculados'!I31="NV",'Registrados'!I31="Sem registro"),"NV","N/A"))</x:f>
        <x:v>NV</x:v>
      </x:c>
      <x:c r="J31" s="18" t="str">
        <x:f>IF(AND(ISNUMBER('Recalculados'!J31),ISNUMBER('Registrados'!J31)),ROUND(('Recalculados'!J31-'Registrados'!J31),8),IF(OR('Recalculados'!J31="NV",'Registrados'!J31="Sem registro"),"NV","N/A"))</x:f>
        <x:v>NV</x:v>
      </x:c>
      <x:c r="K31" s="18" t="str">
        <x:f>IF(AND(ISNUMBER('Recalculados'!K31),ISNUMBER('Registrados'!K31)),ROUND(('Recalculados'!K31-'Registrados'!K31),8),IF(OR('Recalculados'!K31="NV",'Registrados'!K31="Sem registro"),"NV","N/A"))</x:f>
        <x:v>NV</x:v>
      </x:c>
      <x:c r="L31" s="18" t="str">
        <x:f>IF(AND(ISNUMBER('Recalculados'!L31),ISNUMBER('Registrados'!L31)),ROUND(('Recalculados'!L31-'Registrados'!L31),8),IF(OR('Recalculados'!L31="NV",'Registrados'!L31="Sem registro"),"NV","N/A"))</x:f>
        <x:v>NV</x:v>
      </x:c>
      <x:c r="M31" s="18" t="str">
        <x:f>IF(AND(ISNUMBER('Recalculados'!M31),ISNUMBER('Registrados'!M31)),ROUND(('Recalculados'!M31-'Registrados'!M31),8),IF(OR('Recalculados'!M31="NV",'Registrados'!M31="Sem registro"),"NV","N/A"))</x:f>
        <x:v>NV</x:v>
      </x:c>
      <x:c r="N31" s="18" t="str">
        <x:f>IF(AND(ISNUMBER('Recalculados'!N31),ISNUMBER('Registrados'!N31)),ROUND(('Recalculados'!N31-'Registrados'!N31),8),IF(OR('Recalculados'!N31="NV",'Registrados'!N31="Sem registro"),"NV","N/A"))</x:f>
        <x:v>NV</x:v>
      </x:c>
      <x:c r="O31" s="18" t="str">
        <x:f>IF(AND(ISNUMBER('Recalculados'!O31),ISNUMBER('Registrados'!O31)),ROUND(('Recalculados'!O31-'Registrados'!O31),8),IF(OR('Recalculados'!O31="NV",'Registrados'!O31="Sem registro"),"NV","N/A"))</x:f>
        <x:v>NV</x:v>
      </x:c>
      <x:c r="P31" s="18" t="str">
        <x:f>IF(AND(ISNUMBER('Recalculados'!P31),ISNUMBER('Registrados'!P31)),ROUND(('Recalculados'!P31-'Registrados'!P31),8),IF(OR('Recalculados'!P31="NV",'Registrados'!P31="Sem registro"),"NV","N/A"))</x:f>
        <x:v>NV</x:v>
      </x:c>
      <x:c r="Q31" s="18" t="str">
        <x:f>IF(AND(ISNUMBER('Recalculados'!Q31),ISNUMBER('Registrados'!Q31)),ROUND(('Recalculados'!Q31-'Registrados'!Q31),8),IF(OR('Recalculados'!Q31="NV",'Registrados'!Q31="Sem registro"),"NV","N/A"))</x:f>
        <x:v>NV</x:v>
      </x:c>
      <x:c r="R31" s="18" t="str">
        <x:f>IF(AND(ISNUMBER('Recalculados'!R31),ISNUMBER('Registrados'!R31)),ROUND(('Recalculados'!R31-'Registrados'!R31),8),IF(OR('Recalculados'!R31="NV",'Registrados'!R31="Sem registro"),"NV","N/A"))</x:f>
        <x:v>NV</x:v>
      </x:c>
      <x:c r="S31" s="18" t="str">
        <x:f>IF(AND(ISNUMBER('Recalculados'!S31),ISNUMBER('Registrados'!S31)),ROUND(('Recalculados'!S31-'Registrados'!S31),8),IF(OR('Recalculados'!S31="NV",'Registrados'!S31="Sem registro"),"NV","N/A"))</x:f>
        <x:v>NV</x:v>
      </x:c>
      <x:c r="T31" s="24" t="str">
        <x:f>IF(AND(ISNUMBER('Recalculados'!T31),ISNUMBER('Registrados'!T31)),ROUND(('Recalculados'!T31-'Registrados'!T31)*100,8),IF(OR('Recalculados'!T31="NV",'Registrados'!T31="Sem registro"),"NV","N/A"))</x:f>
        <x:v>NV</x:v>
      </x:c>
      <x:c r="U31" s="18" t="str">
        <x:f>IF(AND(ISNUMBER('Recalculados'!U31),ISNUMBER('Registrados'!U31)),ROUND(('Recalculados'!U31-'Registrados'!U31),8),IF(OR('Recalculados'!U31="NV",'Registrados'!U31="Sem registro"),"NV","N/A"))</x:f>
        <x:v>NV</x:v>
      </x:c>
      <x:c r="V31" s="24" t="str">
        <x:f>IF(AND(ISNUMBER('Recalculados'!V31),ISNUMBER('Registrados'!V31)),ROUND(('Recalculados'!V31-'Registrados'!V31)*100,8),IF(OR('Recalculados'!V31="NV",'Registrados'!V31="Sem registro"),"NV","N/A"))</x:f>
        <x:v>NV</x:v>
      </x:c>
      <x:c r="W31" s="24" t="str">
        <x:f>IF(AND(ISNUMBER('Recalculados'!W31),ISNUMBER('Registrados'!W31)),ROUND(('Recalculados'!W31-'Registrados'!W31)*100,8),IF(OR('Recalculados'!W31="NV",'Registrados'!W31="Sem registro"),"NV","N/A"))</x:f>
        <x:v>NV</x:v>
      </x:c>
      <x:c r="X31" s="18" t="str">
        <x:f>IF(AND(ISNUMBER('Recalculados'!X31),ISNUMBER('Registrados'!X31)),ROUND(('Recalculados'!X31-'Registrados'!X31),8),IF(OR('Recalculados'!X31="NV",'Registrados'!X31="Sem registro"),"NV","N/A"))</x:f>
        <x:v>NV</x:v>
      </x:c>
      <x:c r="Y31" s="18" t="str">
        <x:f>IF(AND(ISNUMBER('Recalculados'!Y31),ISNUMBER('Registrados'!Y31)),ROUND(('Recalculados'!Y31-'Registrados'!Y31),8),IF(OR('Recalculados'!Y31="NV",'Registrados'!Y31="Sem registro"),"NV","N/A"))</x:f>
        <x:v>NV</x:v>
      </x:c>
      <x:c r="Z31" s="18" t="str">
        <x:f>IF(AND(ISNUMBER('Recalculados'!Z31),ISNUMBER('Registrados'!Z31)),ROUND(('Recalculados'!Z31-'Registrados'!Z31),8),IF(OR('Recalculados'!Z31="NV",'Registrados'!Z31="Sem registro"),"NV","N/A"))</x:f>
        <x:v>NV</x:v>
      </x:c>
      <x:c r="AA31" s="22" t="str">
        <x:f>IF(AND(ISNUMBER('Recalculados'!AA31),ISNUMBER('Registrados'!AA31)),ROUND(('Recalculados'!AA31-'Registrados'!AA31),8),IF(OR('Recalculados'!AA31="NV",'Registrados'!AA31="Sem registro"),"NV","N/A"))</x:f>
        <x:v>NV</x:v>
      </x:c>
      <x:c r="AB31" s="22" t="str">
        <x:f>IF(AND(ISNUMBER('Recalculados'!AB31),ISNUMBER('Registrados'!AB31)),ROUND(('Recalculados'!AB31-'Registrados'!AB31),8),IF(OR('Recalculados'!AB31="NV",'Registrados'!AB31="Sem registro"),"NV","N/A"))</x:f>
        <x:v>NV</x:v>
      </x:c>
      <x:c r="AC31" s="18" t="str">
        <x:f>IF(AND(ISNUMBER('Recalculados'!AC31),ISNUMBER('Registrados'!AC31)),ROUND(('Recalculados'!AC31-'Registrados'!AC31),8),IF(OR('Recalculados'!AC31="NV",'Registrados'!AC31="Sem registro"),"NV","N/A"))</x:f>
        <x:v>NV</x:v>
      </x:c>
      <x:c r="AD31" s="11" t="str">
        <x:v>collected_code_6/qwen-max/feedback-static+dynamic-r0-t1.0-p0.5</x:v>
      </x:c>
      <x:c r="AE31" s="12"/>
    </x:row>
    <x:row r="32" ht="40" customHeight="1">
      <x:c r="A32" s="2"/>
      <x:c r="B32" s="9" t="str">
        <x:v>qwen-max</x:v>
      </x:c>
      <x:c r="C32" s="8" t="str">
        <x:v>feedback-static+dynamic-r0-t1.0-p1.0</x:v>
      </x:c>
      <x:c r="D32" s="18" t="n">
        <x:f>IF(AND(ISNUMBER('Recalculados'!D32),ISNUMBER('Registrados'!D32)),ROUND(('Recalculados'!D32-'Registrados'!D32),8),IF(OR('Recalculados'!D32="NV",'Registrados'!D32="Sem registro"),"NV","N/A"))</x:f>
        <x:v>0</x:v>
      </x:c>
      <x:c r="E32" s="24" t="str">
        <x:f>IF(AND(ISNUMBER('Recalculados'!E32),ISNUMBER('Registrados'!E32)),ROUND(('Recalculados'!E32-'Registrados'!E32)*100,8),IF(OR('Recalculados'!E32="NV",'Registrados'!E32="Sem registro"),"NV","N/A"))</x:f>
        <x:v>NV</x:v>
      </x:c>
      <x:c r="F32" s="18" t="n">
        <x:f>IF(AND(ISNUMBER('Recalculados'!F32),ISNUMBER('Registrados'!F32)),ROUND(('Recalculados'!F32-'Registrados'!F32),8),IF(OR('Recalculados'!F32="NV",'Registrados'!F32="Sem registro"),"NV","N/A"))</x:f>
        <x:v>0</x:v>
      </x:c>
      <x:c r="G32" s="18" t="n">
        <x:f>IF(AND(ISNUMBER('Recalculados'!G32),ISNUMBER('Registrados'!G32)),ROUND(('Recalculados'!G32-'Registrados'!G32),8),IF(OR('Recalculados'!G32="NV",'Registrados'!G32="Sem registro"),"NV","N/A"))</x:f>
        <x:v>0</x:v>
      </x:c>
      <x:c r="H32" s="24" t="n">
        <x:f>IF(AND(ISNUMBER('Recalculados'!H32),ISNUMBER('Registrados'!H32)),ROUND(('Recalculados'!H32-'Registrados'!H32)*100,8),IF(OR('Recalculados'!H32="NV",'Registrados'!H32="Sem registro"),"NV","N/A"))</x:f>
        <x:v>0</x:v>
      </x:c>
      <x:c r="I32" s="18" t="str">
        <x:f>IF(AND(ISNUMBER('Recalculados'!I32),ISNUMBER('Registrados'!I32)),ROUND(('Recalculados'!I32-'Registrados'!I32),8),IF(OR('Recalculados'!I32="NV",'Registrados'!I32="Sem registro"),"NV","N/A"))</x:f>
        <x:v>NV</x:v>
      </x:c>
      <x:c r="J32" s="18" t="n">
        <x:f>IF(AND(ISNUMBER('Recalculados'!J32),ISNUMBER('Registrados'!J32)),ROUND(('Recalculados'!J32-'Registrados'!J32),8),IF(OR('Recalculados'!J32="NV",'Registrados'!J32="Sem registro"),"NV","N/A"))</x:f>
        <x:v>0</x:v>
      </x:c>
      <x:c r="K32" s="18" t="n">
        <x:f>IF(AND(ISNUMBER('Recalculados'!K32),ISNUMBER('Registrados'!K32)),ROUND(('Recalculados'!K32-'Registrados'!K32),8),IF(OR('Recalculados'!K32="NV",'Registrados'!K32="Sem registro"),"NV","N/A"))</x:f>
        <x:v>0</x:v>
      </x:c>
      <x:c r="L32" s="18" t="n">
        <x:f>IF(AND(ISNUMBER('Recalculados'!L32),ISNUMBER('Registrados'!L32)),ROUND(('Recalculados'!L32-'Registrados'!L32),8),IF(OR('Recalculados'!L32="NV",'Registrados'!L32="Sem registro"),"NV","N/A"))</x:f>
        <x:v>0</x:v>
      </x:c>
      <x:c r="M32" s="18" t="n">
        <x:f>IF(AND(ISNUMBER('Recalculados'!M32),ISNUMBER('Registrados'!M32)),ROUND(('Recalculados'!M32-'Registrados'!M32),8),IF(OR('Recalculados'!M32="NV",'Registrados'!M32="Sem registro"),"NV","N/A"))</x:f>
        <x:v>0</x:v>
      </x:c>
      <x:c r="N32" s="18" t="n">
        <x:f>IF(AND(ISNUMBER('Recalculados'!N32),ISNUMBER('Registrados'!N32)),ROUND(('Recalculados'!N32-'Registrados'!N32),8),IF(OR('Recalculados'!N32="NV",'Registrados'!N32="Sem registro"),"NV","N/A"))</x:f>
        <x:v>0</x:v>
      </x:c>
      <x:c r="O32" s="18" t="n">
        <x:f>IF(AND(ISNUMBER('Recalculados'!O32),ISNUMBER('Registrados'!O32)),ROUND(('Recalculados'!O32-'Registrados'!O32),8),IF(OR('Recalculados'!O32="NV",'Registrados'!O32="Sem registro"),"NV","N/A"))</x:f>
        <x:v>0</x:v>
      </x:c>
      <x:c r="P32" s="18" t="n">
        <x:f>IF(AND(ISNUMBER('Recalculados'!P32),ISNUMBER('Registrados'!P32)),ROUND(('Recalculados'!P32-'Registrados'!P32),8),IF(OR('Recalculados'!P32="NV",'Registrados'!P32="Sem registro"),"NV","N/A"))</x:f>
        <x:v>0</x:v>
      </x:c>
      <x:c r="Q32" s="18" t="n">
        <x:f>IF(AND(ISNUMBER('Recalculados'!Q32),ISNUMBER('Registrados'!Q32)),ROUND(('Recalculados'!Q32-'Registrados'!Q32),8),IF(OR('Recalculados'!Q32="NV",'Registrados'!Q32="Sem registro"),"NV","N/A"))</x:f>
        <x:v>0</x:v>
      </x:c>
      <x:c r="R32" s="18" t="n">
        <x:f>IF(AND(ISNUMBER('Recalculados'!R32),ISNUMBER('Registrados'!R32)),ROUND(('Recalculados'!R32-'Registrados'!R32),8),IF(OR('Recalculados'!R32="NV",'Registrados'!R32="Sem registro"),"NV","N/A"))</x:f>
        <x:v>0</x:v>
      </x:c>
      <x:c r="S32" s="18" t="n">
        <x:f>IF(AND(ISNUMBER('Recalculados'!S32),ISNUMBER('Registrados'!S32)),ROUND(('Recalculados'!S32-'Registrados'!S32),8),IF(OR('Recalculados'!S32="NV",'Registrados'!S32="Sem registro"),"NV","N/A"))</x:f>
        <x:v>0</x:v>
      </x:c>
      <x:c r="T32" s="24" t="n">
        <x:f>IF(AND(ISNUMBER('Recalculados'!T32),ISNUMBER('Registrados'!T32)),ROUND(('Recalculados'!T32-'Registrados'!T32)*100,8),IF(OR('Recalculados'!T32="NV",'Registrados'!T32="Sem registro"),"NV","N/A"))</x:f>
        <x:v>0</x:v>
      </x:c>
      <x:c r="U32" s="18" t="n">
        <x:f>IF(AND(ISNUMBER('Recalculados'!U32),ISNUMBER('Registrados'!U32)),ROUND(('Recalculados'!U32-'Registrados'!U32),8),IF(OR('Recalculados'!U32="NV",'Registrados'!U32="Sem registro"),"NV","N/A"))</x:f>
        <x:v>0</x:v>
      </x:c>
      <x:c r="V32" s="24" t="n">
        <x:f>IF(AND(ISNUMBER('Recalculados'!V32),ISNUMBER('Registrados'!V32)),ROUND(('Recalculados'!V32-'Registrados'!V32)*100,8),IF(OR('Recalculados'!V32="NV",'Registrados'!V32="Sem registro"),"NV","N/A"))</x:f>
        <x:v>0</x:v>
      </x:c>
      <x:c r="W32" s="24" t="n">
        <x:f>IF(AND(ISNUMBER('Recalculados'!W32),ISNUMBER('Registrados'!W32)),ROUND(('Recalculados'!W32-'Registrados'!W32)*100,8),IF(OR('Recalculados'!W32="NV",'Registrados'!W32="Sem registro"),"NV","N/A"))</x:f>
        <x:v>0</x:v>
      </x:c>
      <x:c r="X32" s="18" t="n">
        <x:f>IF(AND(ISNUMBER('Recalculados'!X32),ISNUMBER('Registrados'!X32)),ROUND(('Recalculados'!X32-'Registrados'!X32),8),IF(OR('Recalculados'!X32="NV",'Registrados'!X32="Sem registro"),"NV","N/A"))</x:f>
        <x:v>0</x:v>
      </x:c>
      <x:c r="Y32" s="18" t="n">
        <x:f>IF(AND(ISNUMBER('Recalculados'!Y32),ISNUMBER('Registrados'!Y32)),ROUND(('Recalculados'!Y32-'Registrados'!Y32),8),IF(OR('Recalculados'!Y32="NV",'Registrados'!Y32="Sem registro"),"NV","N/A"))</x:f>
        <x:v>0</x:v>
      </x:c>
      <x:c r="Z32" s="18" t="n">
        <x:f>IF(AND(ISNUMBER('Recalculados'!Z32),ISNUMBER('Registrados'!Z32)),ROUND(('Recalculados'!Z32-'Registrados'!Z32),8),IF(OR('Recalculados'!Z32="NV",'Registrados'!Z32="Sem registro"),"NV","N/A"))</x:f>
        <x:v>0</x:v>
      </x:c>
      <x:c r="AA32" s="22" t="n">
        <x:f>IF(AND(ISNUMBER('Recalculados'!AA32),ISNUMBER('Registrados'!AA32)),ROUND(('Recalculados'!AA32-'Registrados'!AA32),8),IF(OR('Recalculados'!AA32="NV",'Registrados'!AA32="Sem registro"),"NV","N/A"))</x:f>
        <x:v>0</x:v>
      </x:c>
      <x:c r="AB32" s="22" t="n">
        <x:f>IF(AND(ISNUMBER('Recalculados'!AB32),ISNUMBER('Registrados'!AB32)),ROUND(('Recalculados'!AB32-'Registrados'!AB32),8),IF(OR('Recalculados'!AB32="NV",'Registrados'!AB32="Sem registro"),"NV","N/A"))</x:f>
        <x:v>0</x:v>
      </x:c>
      <x:c r="AC32" s="18" t="str">
        <x:f>IF(AND(ISNUMBER('Recalculados'!AC32),ISNUMBER('Registrados'!AC32)),ROUND(('Recalculados'!AC32-'Registrados'!AC32),8),IF(OR('Recalculados'!AC32="NV",'Registrados'!AC32="Sem registro"),"NV","N/A"))</x:f>
        <x:v>N/A</x:v>
      </x:c>
      <x:c r="AD32" s="11" t="str">
        <x:v>collected_code_6/qwen-max/feedback-static+dynamic-r0-t1.0-p1.0</x:v>
      </x:c>
      <x:c r="AE32" s="12"/>
    </x:row>
  </x:sheetData>
  <x:conditionalFormatting sqref="D3:AC32">
    <x:cfRule type="cellIs" dxfId="8" priority="1" operator="equal">
      <x:formula>"NV"</x:formula>
    </x:cfRule>
    <x:cfRule type="cellIs" dxfId="9" priority="2" operator="equal">
      <x:formula>"N/A"</x:formula>
    </x:cfRule>
    <x:cfRule type="cellIs" dxfId="10" priority="3" operator="equal">
      <x:formula>"Sem registro"</x:formula>
    </x:cfRule>
    <x:cfRule type="cellIs" dxfId="11" priority="4" operator="equal">
      <x:formula>"Sem célula"</x:formula>
    </x:cfRule>
    <x:cfRule type="expression" dxfId="12" priority="5">
      <x:formula>AND(ISNUMBER(D3),D3&lt;&gt;0)</x:formula>
    </x:cfRule>
  </x:conditionalFormatting>
  <x:pageMargins left="0.7" right="0.7" top="0.75" bottom="0.75" header="0.3" footer="0.3"/>
</x:worksheet>
</file>