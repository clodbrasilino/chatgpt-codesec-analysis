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odbrasilino/zju-workspace/chatgpt-codesec-analysis/"/>
    </mc:Choice>
  </mc:AlternateContent>
  <xr:revisionPtr revIDLastSave="0" documentId="13_ncr:1_{EF665243-AADC-274E-9402-8D24CCB064ED}" xr6:coauthVersionLast="47" xr6:coauthVersionMax="47" xr10:uidLastSave="{00000000-0000-0000-0000-000000000000}"/>
  <bookViews>
    <workbookView xWindow="900" yWindow="500" windowWidth="34940" windowHeight="21900" activeTab="1" xr2:uid="{719189B5-235B-F14C-B154-3F3F267FCDD1}"/>
  </bookViews>
  <sheets>
    <sheet name="csv imports" sheetId="1" r:id="rId1"/>
    <sheet name="Samples analysis" sheetId="3" r:id="rId2"/>
    <sheet name="Problems_DT" sheetId="5" r:id="rId3"/>
  </sheets>
  <definedNames>
    <definedName name="_xlnm._FilterDatabase" localSheetId="1" hidden="1">'Samples analysis'!$C$2:$C$202</definedName>
    <definedName name="_xlchart.v1.0" hidden="1">'Samples analysis'!$N$3:$N$10</definedName>
    <definedName name="_xlchart.v1.1" hidden="1">'Samples analysis'!$O$2</definedName>
    <definedName name="_xlchart.v1.10" hidden="1">'Samples analysis'!$O$2</definedName>
    <definedName name="_xlchart.v1.11" hidden="1">'Samples analysis'!$O$3:$O$10</definedName>
    <definedName name="_xlchart.v1.12" hidden="1">'Samples analysis'!$P$2</definedName>
    <definedName name="_xlchart.v1.13" hidden="1">'Samples analysis'!$P$3:$P$10</definedName>
    <definedName name="_xlchart.v1.14" hidden="1">'Samples analysis'!$Q$2</definedName>
    <definedName name="_xlchart.v1.15" hidden="1">'Samples analysis'!$Q$3:$Q$10</definedName>
    <definedName name="_xlchart.v1.16" hidden="1">'Samples analysis'!$R$2</definedName>
    <definedName name="_xlchart.v1.17" hidden="1">'Samples analysis'!$R$3:$R$10</definedName>
    <definedName name="_xlchart.v1.18" hidden="1">'Samples analysis'!$S$2</definedName>
    <definedName name="_xlchart.v1.19" hidden="1">'Samples analysis'!$S$3:$S$10</definedName>
    <definedName name="_xlchart.v1.2" hidden="1">'Samples analysis'!$O$3:$O$10</definedName>
    <definedName name="_xlchart.v1.3" hidden="1">'Samples analysis'!$P$2</definedName>
    <definedName name="_xlchart.v1.4" hidden="1">'Samples analysis'!$P$3:$P$10</definedName>
    <definedName name="_xlchart.v1.5" hidden="1">'Samples analysis'!$Q$2</definedName>
    <definedName name="_xlchart.v1.6" hidden="1">'Samples analysis'!$Q$3:$Q$10</definedName>
    <definedName name="_xlchart.v1.7" hidden="1">'Samples analysis'!$R$2</definedName>
    <definedName name="_xlchart.v1.8" hidden="1">'Samples analysis'!$R$3:$R$10</definedName>
    <definedName name="_xlchart.v1.9" hidden="1">'Samples analysis'!$N$3:$N$10</definedName>
    <definedName name="_xlnm.Extract" localSheetId="1">'Samples analysis'!$AE$10</definedName>
  </definedNames>
  <calcPr calcId="181029"/>
  <pivotCaches>
    <pivotCache cacheId="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3" i="3" l="1"/>
  <c r="S132" i="3"/>
  <c r="S131" i="3"/>
  <c r="S130" i="3"/>
  <c r="S129" i="3"/>
  <c r="S128" i="3"/>
  <c r="S127" i="3"/>
  <c r="T123" i="3"/>
  <c r="T122" i="3"/>
  <c r="T121" i="3"/>
  <c r="T120" i="3"/>
  <c r="T119" i="3"/>
  <c r="T118" i="3"/>
  <c r="S438" i="3"/>
  <c r="S437" i="3"/>
  <c r="S436" i="3"/>
  <c r="S435" i="3"/>
  <c r="S434" i="3"/>
  <c r="S433" i="3"/>
  <c r="S432" i="3"/>
  <c r="S123" i="3"/>
  <c r="S122" i="3"/>
  <c r="S121" i="3"/>
  <c r="S120" i="3"/>
  <c r="S119" i="3"/>
  <c r="S118" i="3"/>
  <c r="S117" i="3"/>
  <c r="O432" i="3"/>
  <c r="R437" i="3"/>
  <c r="O437" i="3"/>
  <c r="R436" i="3"/>
  <c r="Q436" i="3"/>
  <c r="O436" i="3"/>
  <c r="R435" i="3"/>
  <c r="Q435" i="3"/>
  <c r="P435" i="3"/>
  <c r="O435" i="3"/>
  <c r="R434" i="3"/>
  <c r="Q434" i="3"/>
  <c r="P434" i="3"/>
  <c r="O434" i="3"/>
  <c r="R433" i="3"/>
  <c r="Q433" i="3"/>
  <c r="P433" i="3"/>
  <c r="O433" i="3"/>
  <c r="R432" i="3"/>
  <c r="Q432" i="3"/>
  <c r="P432" i="3"/>
  <c r="T6" i="3"/>
  <c r="T5" i="3"/>
  <c r="T4" i="3"/>
  <c r="T86" i="3"/>
  <c r="R86" i="3"/>
  <c r="Q86" i="3"/>
  <c r="P86" i="3"/>
  <c r="O86" i="3"/>
  <c r="V386" i="3"/>
  <c r="U386" i="3"/>
  <c r="T386" i="3"/>
  <c r="S386" i="3"/>
  <c r="V385" i="3"/>
  <c r="U385" i="3"/>
  <c r="T385" i="3"/>
  <c r="S385" i="3"/>
  <c r="V384" i="3"/>
  <c r="U384" i="3"/>
  <c r="T384" i="3"/>
  <c r="S384" i="3"/>
  <c r="V383" i="3"/>
  <c r="U383" i="3"/>
  <c r="T383" i="3"/>
  <c r="S383" i="3"/>
  <c r="V382" i="3"/>
  <c r="U382" i="3"/>
  <c r="T382" i="3"/>
  <c r="S382" i="3"/>
  <c r="V381" i="3"/>
  <c r="U381" i="3"/>
  <c r="T381" i="3"/>
  <c r="S381" i="3"/>
  <c r="V380" i="3"/>
  <c r="U380" i="3"/>
  <c r="T380" i="3"/>
  <c r="S380" i="3"/>
  <c r="V379" i="3"/>
  <c r="U379" i="3"/>
  <c r="T379" i="3"/>
  <c r="S379" i="3"/>
  <c r="V378" i="3"/>
  <c r="U378" i="3"/>
  <c r="T378" i="3"/>
  <c r="S378" i="3"/>
  <c r="V377" i="3"/>
  <c r="U377" i="3"/>
  <c r="T377" i="3"/>
  <c r="S377" i="3"/>
  <c r="S45" i="3"/>
  <c r="R45" i="3"/>
  <c r="Q45" i="3"/>
  <c r="P45" i="3"/>
  <c r="O45" i="3"/>
  <c r="O377" i="3"/>
  <c r="O378" i="3"/>
  <c r="O379" i="3"/>
  <c r="O380" i="3"/>
  <c r="O381" i="3"/>
  <c r="O382" i="3"/>
  <c r="O383" i="3"/>
  <c r="O384" i="3"/>
  <c r="O385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P387" i="3"/>
  <c r="Q387" i="3"/>
  <c r="R387" i="3"/>
  <c r="P388" i="3"/>
  <c r="Q388" i="3"/>
  <c r="R388" i="3"/>
  <c r="P389" i="3"/>
  <c r="P386" i="3" s="1"/>
  <c r="Q389" i="3"/>
  <c r="R389" i="3"/>
  <c r="P390" i="3"/>
  <c r="Q390" i="3"/>
  <c r="R390" i="3"/>
  <c r="P391" i="3"/>
  <c r="Q391" i="3"/>
  <c r="R391" i="3"/>
  <c r="P392" i="3"/>
  <c r="Q392" i="3"/>
  <c r="R392" i="3"/>
  <c r="P393" i="3"/>
  <c r="Q393" i="3"/>
  <c r="R393" i="3"/>
  <c r="P394" i="3"/>
  <c r="Q394" i="3"/>
  <c r="R394" i="3"/>
  <c r="P395" i="3"/>
  <c r="Q395" i="3"/>
  <c r="R395" i="3"/>
  <c r="P396" i="3"/>
  <c r="Q396" i="3"/>
  <c r="R396" i="3"/>
  <c r="P397" i="3"/>
  <c r="Q397" i="3"/>
  <c r="R397" i="3"/>
  <c r="P398" i="3"/>
  <c r="Q398" i="3"/>
  <c r="R398" i="3"/>
  <c r="P399" i="3"/>
  <c r="Q399" i="3"/>
  <c r="R399" i="3"/>
  <c r="P400" i="3"/>
  <c r="Q400" i="3"/>
  <c r="R400" i="3"/>
  <c r="P401" i="3"/>
  <c r="Q401" i="3"/>
  <c r="R401" i="3"/>
  <c r="P402" i="3"/>
  <c r="Q402" i="3"/>
  <c r="R402" i="3"/>
  <c r="P377" i="3"/>
  <c r="P378" i="3"/>
  <c r="P379" i="3"/>
  <c r="P380" i="3"/>
  <c r="P381" i="3"/>
  <c r="P382" i="3"/>
  <c r="P383" i="3"/>
  <c r="P384" i="3"/>
  <c r="P385" i="3"/>
  <c r="Q377" i="3"/>
  <c r="Q378" i="3"/>
  <c r="Q379" i="3"/>
  <c r="Q380" i="3"/>
  <c r="Q381" i="3"/>
  <c r="Q382" i="3"/>
  <c r="Q383" i="3"/>
  <c r="Q384" i="3"/>
  <c r="Q385" i="3"/>
  <c r="R377" i="3"/>
  <c r="R378" i="3"/>
  <c r="R379" i="3"/>
  <c r="R380" i="3"/>
  <c r="R381" i="3"/>
  <c r="R382" i="3"/>
  <c r="R383" i="3"/>
  <c r="R384" i="3"/>
  <c r="R385" i="3"/>
  <c r="S373" i="3"/>
  <c r="S372" i="3"/>
  <c r="S371" i="3"/>
  <c r="S359" i="3"/>
  <c r="S370" i="3"/>
  <c r="S369" i="3"/>
  <c r="S368" i="3"/>
  <c r="S358" i="3"/>
  <c r="S367" i="3"/>
  <c r="S366" i="3"/>
  <c r="S365" i="3"/>
  <c r="S357" i="3"/>
  <c r="S364" i="3"/>
  <c r="S363" i="3"/>
  <c r="S362" i="3"/>
  <c r="S361" i="3"/>
  <c r="S356" i="3"/>
  <c r="S360" i="3"/>
  <c r="S355" i="3"/>
  <c r="S354" i="3"/>
  <c r="S353" i="3"/>
  <c r="S352" i="3"/>
  <c r="S351" i="3"/>
  <c r="S350" i="3"/>
  <c r="S349" i="3"/>
  <c r="S348" i="3"/>
  <c r="S347" i="3"/>
  <c r="S346" i="3"/>
  <c r="S345" i="3"/>
  <c r="S330" i="3"/>
  <c r="S329" i="3"/>
  <c r="S336" i="3"/>
  <c r="S335" i="3"/>
  <c r="S344" i="3"/>
  <c r="S343" i="3"/>
  <c r="S342" i="3"/>
  <c r="S341" i="3"/>
  <c r="S334" i="3"/>
  <c r="S340" i="3"/>
  <c r="S339" i="3"/>
  <c r="S338" i="3"/>
  <c r="S333" i="3"/>
  <c r="S337" i="3"/>
  <c r="S328" i="3"/>
  <c r="S332" i="3"/>
  <c r="S331" i="3"/>
  <c r="S327" i="3"/>
  <c r="S310" i="3"/>
  <c r="S317" i="3"/>
  <c r="S326" i="3"/>
  <c r="S311" i="3"/>
  <c r="S316" i="3"/>
  <c r="S325" i="3"/>
  <c r="S324" i="3"/>
  <c r="S315" i="3"/>
  <c r="S314" i="3"/>
  <c r="S323" i="3"/>
  <c r="S322" i="3"/>
  <c r="S321" i="3"/>
  <c r="S313" i="3"/>
  <c r="S320" i="3"/>
  <c r="S319" i="3"/>
  <c r="S318" i="3"/>
  <c r="S312" i="3"/>
  <c r="S299" i="3"/>
  <c r="S309" i="3"/>
  <c r="S298" i="3"/>
  <c r="S297" i="3"/>
  <c r="S296" i="3"/>
  <c r="S295" i="3"/>
  <c r="S294" i="3"/>
  <c r="S293" i="3"/>
  <c r="S292" i="3"/>
  <c r="S291" i="3"/>
  <c r="S308" i="3"/>
  <c r="S290" i="3"/>
  <c r="S289" i="3"/>
  <c r="S288" i="3"/>
  <c r="S287" i="3"/>
  <c r="S286" i="3"/>
  <c r="S285" i="3"/>
  <c r="S284" i="3"/>
  <c r="S265" i="3"/>
  <c r="S263" i="3"/>
  <c r="S307" i="3"/>
  <c r="S283" i="3"/>
  <c r="S282" i="3"/>
  <c r="S306" i="3"/>
  <c r="S305" i="3"/>
  <c r="S304" i="3"/>
  <c r="S281" i="3"/>
  <c r="S280" i="3"/>
  <c r="S303" i="3"/>
  <c r="S279" i="3"/>
  <c r="S302" i="3"/>
  <c r="S278" i="3"/>
  <c r="S277" i="3"/>
  <c r="S276" i="3"/>
  <c r="S275" i="3"/>
  <c r="S274" i="3"/>
  <c r="S273" i="3"/>
  <c r="S264" i="3"/>
  <c r="S272" i="3"/>
  <c r="S271" i="3"/>
  <c r="S301" i="3"/>
  <c r="S270" i="3"/>
  <c r="S269" i="3"/>
  <c r="S268" i="3"/>
  <c r="S267" i="3"/>
  <c r="S300" i="3"/>
  <c r="S266" i="3"/>
  <c r="S262" i="3"/>
  <c r="S257" i="3"/>
  <c r="S261" i="3"/>
  <c r="S260" i="3"/>
  <c r="S256" i="3"/>
  <c r="S259" i="3"/>
  <c r="S258" i="3"/>
  <c r="S255" i="3"/>
  <c r="S242" i="3"/>
  <c r="S247" i="3"/>
  <c r="S254" i="3"/>
  <c r="S253" i="3"/>
  <c r="S246" i="3"/>
  <c r="S250" i="3"/>
  <c r="S241" i="3"/>
  <c r="S252" i="3"/>
  <c r="S245" i="3"/>
  <c r="S251" i="3"/>
  <c r="S249" i="3"/>
  <c r="S244" i="3"/>
  <c r="S243" i="3"/>
  <c r="S248" i="3"/>
  <c r="S231" i="3"/>
  <c r="S237" i="3"/>
  <c r="S229" i="3"/>
  <c r="S227" i="3"/>
  <c r="S230" i="3"/>
  <c r="S239" i="3"/>
  <c r="S228" i="3"/>
  <c r="S236" i="3"/>
  <c r="S238" i="3"/>
  <c r="S235" i="3"/>
  <c r="S234" i="3"/>
  <c r="S233" i="3"/>
  <c r="S240" i="3"/>
  <c r="S232" i="3"/>
  <c r="S222" i="3"/>
  <c r="S226" i="3"/>
  <c r="S224" i="3"/>
  <c r="S223" i="3"/>
  <c r="S221" i="3"/>
  <c r="S220" i="3"/>
  <c r="S219" i="3"/>
  <c r="S218" i="3"/>
  <c r="S217" i="3"/>
  <c r="S225" i="3"/>
  <c r="S216" i="3"/>
  <c r="S209" i="3"/>
  <c r="S215" i="3"/>
  <c r="S214" i="3"/>
  <c r="S213" i="3"/>
  <c r="S212" i="3"/>
  <c r="S211" i="3"/>
  <c r="S210" i="3"/>
  <c r="S203" i="3"/>
  <c r="S207" i="3"/>
  <c r="S206" i="3"/>
  <c r="S208" i="3"/>
  <c r="S202" i="3"/>
  <c r="S205" i="3"/>
  <c r="S201" i="3"/>
  <c r="S200" i="3"/>
  <c r="S195" i="3"/>
  <c r="S196" i="3"/>
  <c r="S204" i="3"/>
  <c r="S199" i="3"/>
  <c r="S198" i="3"/>
  <c r="S197" i="3"/>
  <c r="S194" i="3"/>
  <c r="S193" i="3"/>
  <c r="S192" i="3"/>
  <c r="S188" i="3"/>
  <c r="S191" i="3"/>
  <c r="S190" i="3"/>
  <c r="S189" i="3"/>
  <c r="S187" i="3"/>
  <c r="S186" i="3"/>
  <c r="S184" i="3"/>
  <c r="S183" i="3"/>
  <c r="S182" i="3"/>
  <c r="S185" i="3"/>
  <c r="S181" i="3"/>
  <c r="S178" i="3"/>
  <c r="S179" i="3"/>
  <c r="S180" i="3"/>
  <c r="S173" i="3"/>
  <c r="S176" i="3"/>
  <c r="S177" i="3"/>
  <c r="S175" i="3"/>
  <c r="S174" i="3"/>
  <c r="S172" i="3"/>
  <c r="S170" i="3"/>
  <c r="S171" i="3"/>
  <c r="S169" i="3"/>
  <c r="S167" i="3"/>
  <c r="S166" i="3"/>
  <c r="S164" i="3"/>
  <c r="S168" i="3"/>
  <c r="S165" i="3"/>
  <c r="S163" i="3"/>
  <c r="S160" i="3"/>
  <c r="S159" i="3"/>
  <c r="S162" i="3"/>
  <c r="S161" i="3"/>
  <c r="S158" i="3"/>
  <c r="S157" i="3"/>
  <c r="S156" i="3"/>
  <c r="S155" i="3"/>
  <c r="S154" i="3"/>
  <c r="S153" i="3"/>
  <c r="S152" i="3"/>
  <c r="S151" i="3"/>
  <c r="S150" i="3"/>
  <c r="S3" i="3"/>
  <c r="S4" i="3"/>
  <c r="S5" i="3"/>
  <c r="S6" i="3"/>
  <c r="S7" i="3"/>
  <c r="T7" i="3" s="1"/>
  <c r="S8" i="3"/>
  <c r="S9" i="3"/>
  <c r="T9" i="3" l="1"/>
  <c r="T8" i="3"/>
  <c r="S86" i="3"/>
  <c r="Q403" i="3"/>
  <c r="Q386" i="3"/>
  <c r="R386" i="3"/>
  <c r="R403" i="3"/>
  <c r="P403" i="3"/>
  <c r="O386" i="3"/>
</calcChain>
</file>

<file path=xl/sharedStrings.xml><?xml version="1.0" encoding="utf-8"?>
<sst xmlns="http://schemas.openxmlformats.org/spreadsheetml/2006/main" count="7242" uniqueCount="304">
  <si>
    <t>problem</t>
  </si>
  <si>
    <t>cwe</t>
  </si>
  <si>
    <t>tool</t>
  </si>
  <si>
    <t>frequency</t>
  </si>
  <si>
    <t>513</t>
  </si>
  <si>
    <t>690</t>
  </si>
  <si>
    <t>gcc</t>
  </si>
  <si>
    <t>665</t>
  </si>
  <si>
    <t>297</t>
  </si>
  <si>
    <t>585</t>
  </si>
  <si>
    <t>444</t>
  </si>
  <si>
    <t>75</t>
  </si>
  <si>
    <t>65</t>
  </si>
  <si>
    <t>758</t>
  </si>
  <si>
    <t>115</t>
  </si>
  <si>
    <t>750</t>
  </si>
  <si>
    <t>740</t>
  </si>
  <si>
    <t>691</t>
  </si>
  <si>
    <t>568</t>
  </si>
  <si>
    <t>410</t>
  </si>
  <si>
    <t>578</t>
  </si>
  <si>
    <t>400</t>
  </si>
  <si>
    <t>245</t>
  </si>
  <si>
    <t>31</t>
  </si>
  <si>
    <t>936</t>
  </si>
  <si>
    <t>653</t>
  </si>
  <si>
    <t>411</t>
  </si>
  <si>
    <t>802</t>
  </si>
  <si>
    <t>457</t>
  </si>
  <si>
    <t>140</t>
  </si>
  <si>
    <t>401</t>
  </si>
  <si>
    <t>715</t>
  </si>
  <si>
    <t>945</t>
  </si>
  <si>
    <t>361</t>
  </si>
  <si>
    <t>937</t>
  </si>
  <si>
    <t>927</t>
  </si>
  <si>
    <t>869</t>
  </si>
  <si>
    <t>674</t>
  </si>
  <si>
    <t>418</t>
  </si>
  <si>
    <t>570</t>
  </si>
  <si>
    <t>126</t>
  </si>
  <si>
    <t>127</t>
  </si>
  <si>
    <t>476</t>
  </si>
  <si>
    <t>824</t>
  </si>
  <si>
    <t>272</t>
  </si>
  <si>
    <t>262</t>
  </si>
  <si>
    <t>114</t>
  </si>
  <si>
    <t>120</t>
  </si>
  <si>
    <t>130</t>
  </si>
  <si>
    <t>536</t>
  </si>
  <si>
    <t>957</t>
  </si>
  <si>
    <t>572</t>
  </si>
  <si>
    <t>562</t>
  </si>
  <si>
    <t>129</t>
  </si>
  <si>
    <t>604</t>
  </si>
  <si>
    <t>468</t>
  </si>
  <si>
    <t>510</t>
  </si>
  <si>
    <t>743</t>
  </si>
  <si>
    <t>425</t>
  </si>
  <si>
    <t>260</t>
  </si>
  <si>
    <t>721</t>
  </si>
  <si>
    <t>174</t>
  </si>
  <si>
    <t>788</t>
  </si>
  <si>
    <t>854</t>
  </si>
  <si>
    <t>326</t>
  </si>
  <si>
    <t>563</t>
  </si>
  <si>
    <t>128</t>
  </si>
  <si>
    <t>469</t>
  </si>
  <si>
    <t>902</t>
  </si>
  <si>
    <t>117</t>
  </si>
  <si>
    <t>827</t>
  </si>
  <si>
    <t>587</t>
  </si>
  <si>
    <t>175</t>
  </si>
  <si>
    <t>730</t>
  </si>
  <si>
    <t>23</t>
  </si>
  <si>
    <t>460</t>
  </si>
  <si>
    <t>969</t>
  </si>
  <si>
    <t>412</t>
  </si>
  <si>
    <t>729</t>
  </si>
  <si>
    <t>310</t>
  </si>
  <si>
    <t>484</t>
  </si>
  <si>
    <t>946</t>
  </si>
  <si>
    <t>921</t>
  </si>
  <si>
    <t>795</t>
  </si>
  <si>
    <t>522</t>
  </si>
  <si>
    <t>367</t>
  </si>
  <si>
    <t>315</t>
  </si>
  <si>
    <t>943</t>
  </si>
  <si>
    <t>36</t>
  </si>
  <si>
    <t>26</t>
  </si>
  <si>
    <t>465</t>
  </si>
  <si>
    <t>703</t>
  </si>
  <si>
    <t>393</t>
  </si>
  <si>
    <t>771</t>
  </si>
  <si>
    <t>757</t>
  </si>
  <si>
    <t>102</t>
  </si>
  <si>
    <t>696</t>
  </si>
  <si>
    <t>822</t>
  </si>
  <si>
    <t>582</t>
  </si>
  <si>
    <t>938</t>
  </si>
  <si>
    <t>206</t>
  </si>
  <si>
    <t>965</t>
  </si>
  <si>
    <t>610</t>
  </si>
  <si>
    <t>290</t>
  </si>
  <si>
    <t>833</t>
  </si>
  <si>
    <t>73</t>
  </si>
  <si>
    <t>548</t>
  </si>
  <si>
    <t>265</t>
  </si>
  <si>
    <t>161</t>
  </si>
  <si>
    <t>207</t>
  </si>
  <si>
    <t>779</t>
  </si>
  <si>
    <t>601</t>
  </si>
  <si>
    <t>769</t>
  </si>
  <si>
    <t>322</t>
  </si>
  <si>
    <t>350</t>
  </si>
  <si>
    <t>533</t>
  </si>
  <si>
    <t>920</t>
  </si>
  <si>
    <t>480</t>
  </si>
  <si>
    <t>551</t>
  </si>
  <si>
    <t>893</t>
  </si>
  <si>
    <t>298</t>
  </si>
  <si>
    <t>231</t>
  </si>
  <si>
    <t>464</t>
  </si>
  <si>
    <t>27</t>
  </si>
  <si>
    <t>123</t>
  </si>
  <si>
    <t>712</t>
  </si>
  <si>
    <t>157</t>
  </si>
  <si>
    <t>147</t>
  </si>
  <si>
    <t>450</t>
  </si>
  <si>
    <t>528</t>
  </si>
  <si>
    <t>538</t>
  </si>
  <si>
    <t>215</t>
  </si>
  <si>
    <t>843</t>
  </si>
  <si>
    <t>591</t>
  </si>
  <si>
    <t>898</t>
  </si>
  <si>
    <t>277</t>
  </si>
  <si>
    <t>966</t>
  </si>
  <si>
    <t>482</t>
  </si>
  <si>
    <t>635</t>
  </si>
  <si>
    <t>118</t>
  </si>
  <si>
    <t>553</t>
  </si>
  <si>
    <t>251</t>
  </si>
  <si>
    <t>772</t>
  </si>
  <si>
    <t>380</t>
  </si>
  <si>
    <t>700</t>
  </si>
  <si>
    <t>109</t>
  </si>
  <si>
    <t>542</t>
  </si>
  <si>
    <t>317</t>
  </si>
  <si>
    <t>493</t>
  </si>
  <si>
    <t>829</t>
  </si>
  <si>
    <t>391</t>
  </si>
  <si>
    <t>415</t>
  </si>
  <si>
    <t>328</t>
  </si>
  <si>
    <t>240</t>
  </si>
  <si>
    <t>679</t>
  </si>
  <si>
    <t>222</t>
  </si>
  <si>
    <t>852</t>
  </si>
  <si>
    <t>889</t>
  </si>
  <si>
    <t>423</t>
  </si>
  <si>
    <t>70</t>
  </si>
  <si>
    <t>958</t>
  </si>
  <si>
    <t>694</t>
  </si>
  <si>
    <t>718</t>
  </si>
  <si>
    <t>708</t>
  </si>
  <si>
    <t>353</t>
  </si>
  <si>
    <t>282</t>
  </si>
  <si>
    <t>196</t>
  </si>
  <si>
    <t>612</t>
  </si>
  <si>
    <t>Round 1 No repair</t>
  </si>
  <si>
    <t>805</t>
  </si>
  <si>
    <t>108</t>
  </si>
  <si>
    <t>Round 1 Repair 1</t>
  </si>
  <si>
    <t>Round 1 Repair 2</t>
  </si>
  <si>
    <t>Round 1 Repair 3</t>
  </si>
  <si>
    <t>Round 1 Repair 4</t>
  </si>
  <si>
    <t>Round 1 Repair 5</t>
  </si>
  <si>
    <t>Round 1 Repair 6</t>
  </si>
  <si>
    <t>Rótulos de Linha</t>
  </si>
  <si>
    <t>Soma de frequency</t>
  </si>
  <si>
    <t>263</t>
  </si>
  <si>
    <t>237</t>
  </si>
  <si>
    <t>486</t>
  </si>
  <si>
    <t>792</t>
  </si>
  <si>
    <t>918</t>
  </si>
  <si>
    <t>473</t>
  </si>
  <si>
    <t>699</t>
  </si>
  <si>
    <t>620</t>
  </si>
  <si>
    <t>209</t>
  </si>
  <si>
    <t>325</t>
  </si>
  <si>
    <t>834</t>
  </si>
  <si>
    <t>413</t>
  </si>
  <si>
    <t>640</t>
  </si>
  <si>
    <t>791</t>
  </si>
  <si>
    <t>544</t>
  </si>
  <si>
    <t>301</t>
  </si>
  <si>
    <t>971</t>
  </si>
  <si>
    <t>500</t>
  </si>
  <si>
    <t>15</t>
  </si>
  <si>
    <t>456</t>
  </si>
  <si>
    <t>198</t>
  </si>
  <si>
    <t>537</t>
  </si>
  <si>
    <t>362</t>
  </si>
  <si>
    <t>358</t>
  </si>
  <si>
    <t>348</t>
  </si>
  <si>
    <t>974</t>
  </si>
  <si>
    <t>618</t>
  </si>
  <si>
    <t>392</t>
  </si>
  <si>
    <t>821</t>
  </si>
  <si>
    <t>904</t>
  </si>
  <si>
    <t>661</t>
  </si>
  <si>
    <t>352</t>
  </si>
  <si>
    <t>2</t>
  </si>
  <si>
    <t>922</t>
  </si>
  <si>
    <t>57</t>
  </si>
  <si>
    <t>933</t>
  </si>
  <si>
    <t>923</t>
  </si>
  <si>
    <t>154</t>
  </si>
  <si>
    <t>727</t>
  </si>
  <si>
    <t>110</t>
  </si>
  <si>
    <t>Round 2 No repair</t>
  </si>
  <si>
    <t>Round 2 Repair 1</t>
  </si>
  <si>
    <t>Round 2 Repair 2</t>
  </si>
  <si>
    <t>Round 2 Repair 3</t>
  </si>
  <si>
    <t>496</t>
  </si>
  <si>
    <t>748</t>
  </si>
  <si>
    <t>512</t>
  </si>
  <si>
    <t>200</t>
  </si>
  <si>
    <t>387</t>
  </si>
  <si>
    <t>294</t>
  </si>
  <si>
    <t>345</t>
  </si>
  <si>
    <t>213</t>
  </si>
  <si>
    <t>859</t>
  </si>
  <si>
    <t>953</t>
  </si>
  <si>
    <t>421</t>
  </si>
  <si>
    <t>341</t>
  </si>
  <si>
    <t>97</t>
  </si>
  <si>
    <t>858</t>
  </si>
  <si>
    <t>932</t>
  </si>
  <si>
    <t>539</t>
  </si>
  <si>
    <t>Round 3 No repair</t>
  </si>
  <si>
    <t>Round 3 Repair 1</t>
  </si>
  <si>
    <t>Round 3 Repair 2</t>
  </si>
  <si>
    <t>Round 3 Repair 3</t>
  </si>
  <si>
    <t>Round 3 Repair 4</t>
  </si>
  <si>
    <t>Round 4 No repair</t>
  </si>
  <si>
    <t>847</t>
  </si>
  <si>
    <t>812</t>
  </si>
  <si>
    <t>182</t>
  </si>
  <si>
    <t>495</t>
  </si>
  <si>
    <t>658</t>
  </si>
  <si>
    <t>956</t>
  </si>
  <si>
    <t>593</t>
  </si>
  <si>
    <t>507</t>
  </si>
  <si>
    <t>381</t>
  </si>
  <si>
    <t>Round 4 Repair 1</t>
  </si>
  <si>
    <t>Round 4 Repair 2</t>
  </si>
  <si>
    <t>Round 4 Repair 3</t>
  </si>
  <si>
    <t>Round 4 Repair 4</t>
  </si>
  <si>
    <t>Round 4 Repair 5</t>
  </si>
  <si>
    <t>Round 4 Repair 6</t>
  </si>
  <si>
    <t>Sample</t>
  </si>
  <si>
    <t>Round</t>
  </si>
  <si>
    <t>Rótulos de Coluna</t>
  </si>
  <si>
    <t>avg</t>
  </si>
  <si>
    <t>Repair round</t>
  </si>
  <si>
    <t>Sample 1</t>
  </si>
  <si>
    <t>Sample 2</t>
  </si>
  <si>
    <t>Sample 3</t>
  </si>
  <si>
    <t>Sample 4</t>
  </si>
  <si>
    <t>CWE</t>
  </si>
  <si>
    <t>(Tudo)</t>
  </si>
  <si>
    <t>CWE-123</t>
  </si>
  <si>
    <t>CWE-126</t>
  </si>
  <si>
    <t>CWE-127</t>
  </si>
  <si>
    <t>CWE-401</t>
  </si>
  <si>
    <t>CWE-457</t>
  </si>
  <si>
    <t>CWE-476</t>
  </si>
  <si>
    <t>CWE-562</t>
  </si>
  <si>
    <t>CWE-690</t>
  </si>
  <si>
    <t>CWE-758</t>
  </si>
  <si>
    <t>CWE-843</t>
  </si>
  <si>
    <t>Problems with detections</t>
  </si>
  <si>
    <t>No repair</t>
  </si>
  <si>
    <t>Problem</t>
  </si>
  <si>
    <t>CWEs per problem</t>
  </si>
  <si>
    <t>Sample 5</t>
  </si>
  <si>
    <t>No Repair</t>
  </si>
  <si>
    <t>Frequency</t>
  </si>
  <si>
    <t>CWE frequency per problem</t>
  </si>
  <si>
    <t>10+</t>
  </si>
  <si>
    <t>TOTAL</t>
  </si>
  <si>
    <t>Sample 6</t>
  </si>
  <si>
    <t>Sample 7</t>
  </si>
  <si>
    <t>Sample 8</t>
  </si>
  <si>
    <t>3rd</t>
  </si>
  <si>
    <t>1st</t>
  </si>
  <si>
    <t>2nd</t>
  </si>
  <si>
    <t>4th</t>
  </si>
  <si>
    <t>5th</t>
  </si>
  <si>
    <t>6th</t>
  </si>
  <si>
    <t>7th</t>
  </si>
  <si>
    <t>Frequency of detected vulnerabilities through the repair rounds</t>
  </si>
  <si>
    <t>Frequency of detected vulnerabilities without repairs</t>
  </si>
  <si>
    <t>Frequency of detected vulnerabilities after 1st repair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</si>
</sst>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b/>
      <sz val="12"/>
      <color theme="6" tint="-0.249977111117893"/>
      <name val="Aptos Narrow"/>
      <family val="2"/>
      <scheme val="minor"/>
    </font>
    <font>
      <b/>
      <sz val="12"/>
      <color theme="7" tint="-0.249977111117893"/>
      <name val="Aptos Narrow"/>
      <family val="2"/>
      <scheme val="minor"/>
    </font>
    <font>
      <b/>
      <sz val="12"/>
      <color rgb="FF12501A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6" tint="0.79998168889431442"/>
        <bgColor theme="6" tint="0.79998168889431442"/>
      </patternFill>
    </fill>
  </fills>
  <borders count="2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  <xf numFmtId="49" fontId="2" fillId="5" borderId="0" xfId="0" applyNumberFormat="1" applyFont="1" applyFill="1" applyBorder="1" applyAlignment="1">
      <alignment horizontal="center"/>
    </xf>
    <xf numFmtId="49" fontId="2" fillId="6" borderId="7" xfId="0" applyNumberFormat="1" applyFont="1" applyFill="1" applyBorder="1" applyAlignment="1">
      <alignment horizontal="center"/>
    </xf>
    <xf numFmtId="49" fontId="2" fillId="6" borderId="0" xfId="0" applyNumberFormat="1" applyFont="1" applyFill="1" applyBorder="1" applyAlignment="1">
      <alignment horizontal="center"/>
    </xf>
    <xf numFmtId="49" fontId="2" fillId="7" borderId="8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/>
    </xf>
    <xf numFmtId="49" fontId="2" fillId="8" borderId="9" xfId="0" applyNumberFormat="1" applyFont="1" applyFill="1" applyBorder="1" applyAlignment="1">
      <alignment horizontal="center"/>
    </xf>
    <xf numFmtId="49" fontId="2" fillId="8" borderId="0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9" fontId="3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2" fillId="4" borderId="14" xfId="0" applyFont="1" applyFill="1" applyBorder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left"/>
    </xf>
    <xf numFmtId="0" fontId="2" fillId="4" borderId="13" xfId="0" applyFont="1" applyFill="1" applyBorder="1"/>
    <xf numFmtId="0" fontId="0" fillId="9" borderId="13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1" fontId="0" fillId="0" borderId="0" xfId="0" applyNumberFormat="1"/>
    <xf numFmtId="0" fontId="2" fillId="4" borderId="0" xfId="0" applyFont="1" applyFill="1" applyBorder="1"/>
    <xf numFmtId="0" fontId="2" fillId="4" borderId="17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/>
    <xf numFmtId="0" fontId="2" fillId="4" borderId="18" xfId="0" applyFont="1" applyFill="1" applyBorder="1"/>
    <xf numFmtId="0" fontId="2" fillId="4" borderId="20" xfId="0" applyFont="1" applyFill="1" applyBorder="1"/>
    <xf numFmtId="9" fontId="0" fillId="0" borderId="0" xfId="1" applyFont="1"/>
    <xf numFmtId="9" fontId="0" fillId="0" borderId="0" xfId="0" applyNumberFormat="1"/>
    <xf numFmtId="174" fontId="0" fillId="0" borderId="0" xfId="0" applyNumberFormat="1"/>
  </cellXfs>
  <cellStyles count="2">
    <cellStyle name="Normal" xfId="0" builtinId="0"/>
    <cellStyle name="Porcentagem" xfId="1" builtinId="5"/>
  </cellStyles>
  <dxfs count="1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numFmt numFmtId="0" formatCode="General"/>
    </dxf>
    <dxf>
      <border outline="0">
        <bottom style="thin">
          <color theme="6" tint="0.39997558519241921"/>
        </bottom>
      </border>
    </dxf>
    <dxf>
      <border outline="0">
        <top style="thin">
          <color theme="6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6" tint="0.39997558519241921"/>
        </left>
        <right style="thin">
          <color theme="6" tint="0.3999755851924192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vertical="bottom" textRotation="0" wrapText="0" indent="1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4"/>
        </top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Detected Vulnerabilities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'Samples analysis'!$O$2</c:f>
              <c:strCache>
                <c:ptCount val="1"/>
                <c:pt idx="0">
                  <c:v>Sample 1</c:v>
                </c:pt>
              </c:strCache>
            </c:strRef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analysis'!$N$3:$N$9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analysis'!$O$3:$O$9</c:f>
              <c:numCache>
                <c:formatCode>General</c:formatCode>
                <c:ptCount val="7"/>
                <c:pt idx="0">
                  <c:v>388</c:v>
                </c:pt>
                <c:pt idx="1">
                  <c:v>61</c:v>
                </c:pt>
                <c:pt idx="2">
                  <c:v>22</c:v>
                </c:pt>
                <c:pt idx="3">
                  <c:v>15</c:v>
                </c:pt>
                <c:pt idx="4">
                  <c:v>11</c:v>
                </c:pt>
                <c:pt idx="5">
                  <c:v>12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9-6041-BEFB-C0ABA0377FB2}"/>
            </c:ext>
          </c:extLst>
        </c:ser>
        <c:ser>
          <c:idx val="1"/>
          <c:order val="1"/>
          <c:tx>
            <c:strRef>
              <c:f>'Samples analysis'!$P$2</c:f>
              <c:strCache>
                <c:ptCount val="1"/>
                <c:pt idx="0">
                  <c:v>Sample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'Samples analysis'!$N$3:$N$9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analysis'!$P$3:$P$9</c:f>
              <c:numCache>
                <c:formatCode>General</c:formatCode>
                <c:ptCount val="7"/>
                <c:pt idx="0">
                  <c:v>396</c:v>
                </c:pt>
                <c:pt idx="1">
                  <c:v>57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9-6041-BEFB-C0ABA0377FB2}"/>
            </c:ext>
          </c:extLst>
        </c:ser>
        <c:ser>
          <c:idx val="2"/>
          <c:order val="2"/>
          <c:tx>
            <c:strRef>
              <c:f>'Samples analysis'!$Q$2</c:f>
              <c:strCache>
                <c:ptCount val="1"/>
                <c:pt idx="0">
                  <c:v>Sample 3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analysis'!$N$3:$N$9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analysis'!$Q$3:$Q$9</c:f>
              <c:numCache>
                <c:formatCode>General</c:formatCode>
                <c:ptCount val="7"/>
                <c:pt idx="0">
                  <c:v>376</c:v>
                </c:pt>
                <c:pt idx="1">
                  <c:v>60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9-6041-BEFB-C0ABA0377FB2}"/>
            </c:ext>
          </c:extLst>
        </c:ser>
        <c:ser>
          <c:idx val="3"/>
          <c:order val="3"/>
          <c:tx>
            <c:strRef>
              <c:f>'Samples analysis'!$R$2</c:f>
              <c:strCache>
                <c:ptCount val="1"/>
                <c:pt idx="0">
                  <c:v>Sample 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'Samples analysis'!$N$3:$N$9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analysis'!$R$3:$R$9</c:f>
              <c:numCache>
                <c:formatCode>General</c:formatCode>
                <c:ptCount val="7"/>
                <c:pt idx="0">
                  <c:v>383</c:v>
                </c:pt>
                <c:pt idx="1">
                  <c:v>72</c:v>
                </c:pt>
                <c:pt idx="2">
                  <c:v>19</c:v>
                </c:pt>
                <c:pt idx="3">
                  <c:v>13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9-6041-BEFB-C0ABA0377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550640"/>
        <c:axId val="593552352"/>
      </c:barChart>
      <c:catAx>
        <c:axId val="59355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Repair Round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552352"/>
        <c:crosses val="autoZero"/>
        <c:auto val="1"/>
        <c:lblAlgn val="ctr"/>
        <c:lblOffset val="100"/>
        <c:noMultiLvlLbl val="0"/>
      </c:catAx>
      <c:valAx>
        <c:axId val="5935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Vulnerabilities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55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Detected Vulnerabilities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'Samples analysis'!$O$34</c:f>
              <c:strCache>
                <c:ptCount val="1"/>
                <c:pt idx="0">
                  <c:v>Sample 1</c:v>
                </c:pt>
              </c:strCache>
            </c:strRef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analysis'!$N$35:$N$44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analysis'!$O$35:$O$44</c:f>
              <c:numCache>
                <c:formatCode>General</c:formatCode>
                <c:ptCount val="10"/>
                <c:pt idx="0">
                  <c:v>9</c:v>
                </c:pt>
                <c:pt idx="1">
                  <c:v>14</c:v>
                </c:pt>
                <c:pt idx="2">
                  <c:v>14</c:v>
                </c:pt>
                <c:pt idx="3">
                  <c:v>31</c:v>
                </c:pt>
                <c:pt idx="4">
                  <c:v>31</c:v>
                </c:pt>
                <c:pt idx="5">
                  <c:v>23</c:v>
                </c:pt>
                <c:pt idx="6">
                  <c:v>2</c:v>
                </c:pt>
                <c:pt idx="7">
                  <c:v>192</c:v>
                </c:pt>
                <c:pt idx="8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3945-84BA-128E337C4CB1}"/>
            </c:ext>
          </c:extLst>
        </c:ser>
        <c:ser>
          <c:idx val="1"/>
          <c:order val="1"/>
          <c:tx>
            <c:strRef>
              <c:f>'Samples analysis'!$P$34</c:f>
              <c:strCache>
                <c:ptCount val="1"/>
                <c:pt idx="0">
                  <c:v>Sample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'Samples analysis'!$N$35:$N$44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analysis'!$P$35:$P$44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8</c:v>
                </c:pt>
                <c:pt idx="3">
                  <c:v>18</c:v>
                </c:pt>
                <c:pt idx="4">
                  <c:v>34</c:v>
                </c:pt>
                <c:pt idx="5">
                  <c:v>21</c:v>
                </c:pt>
                <c:pt idx="6">
                  <c:v>2</c:v>
                </c:pt>
                <c:pt idx="7">
                  <c:v>216</c:v>
                </c:pt>
                <c:pt idx="8">
                  <c:v>86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7-3945-84BA-128E337C4CB1}"/>
            </c:ext>
          </c:extLst>
        </c:ser>
        <c:ser>
          <c:idx val="2"/>
          <c:order val="2"/>
          <c:tx>
            <c:strRef>
              <c:f>'Samples analysis'!$Q$34</c:f>
              <c:strCache>
                <c:ptCount val="1"/>
                <c:pt idx="0">
                  <c:v>Sample 3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analysis'!$N$35:$N$44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analysis'!$Q$35:$Q$44</c:f>
              <c:numCache>
                <c:formatCode>General</c:formatCode>
                <c:ptCount val="10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16</c:v>
                </c:pt>
                <c:pt idx="4">
                  <c:v>37</c:v>
                </c:pt>
                <c:pt idx="5">
                  <c:v>9</c:v>
                </c:pt>
                <c:pt idx="6">
                  <c:v>2</c:v>
                </c:pt>
                <c:pt idx="7">
                  <c:v>204</c:v>
                </c:pt>
                <c:pt idx="8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7-3945-84BA-128E337C4CB1}"/>
            </c:ext>
          </c:extLst>
        </c:ser>
        <c:ser>
          <c:idx val="3"/>
          <c:order val="3"/>
          <c:tx>
            <c:strRef>
              <c:f>'Samples analysis'!$R$34</c:f>
              <c:strCache>
                <c:ptCount val="1"/>
                <c:pt idx="0">
                  <c:v>Sample 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'Samples analysis'!$N$35:$N$44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analysis'!$R$35:$R$44</c:f>
              <c:numCache>
                <c:formatCode>General</c:formatCode>
                <c:ptCount val="10"/>
                <c:pt idx="1">
                  <c:v>6</c:v>
                </c:pt>
                <c:pt idx="2">
                  <c:v>6</c:v>
                </c:pt>
                <c:pt idx="3">
                  <c:v>22</c:v>
                </c:pt>
                <c:pt idx="4">
                  <c:v>32</c:v>
                </c:pt>
                <c:pt idx="5">
                  <c:v>26</c:v>
                </c:pt>
                <c:pt idx="6">
                  <c:v>1</c:v>
                </c:pt>
                <c:pt idx="7">
                  <c:v>216</c:v>
                </c:pt>
                <c:pt idx="8">
                  <c:v>73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07-3945-84BA-128E337C4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149120"/>
        <c:axId val="632590976"/>
      </c:barChart>
      <c:catAx>
        <c:axId val="5241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590976"/>
        <c:crosses val="autoZero"/>
        <c:auto val="1"/>
        <c:lblAlgn val="ctr"/>
        <c:lblOffset val="100"/>
        <c:noMultiLvlLbl val="0"/>
      </c:catAx>
      <c:valAx>
        <c:axId val="6325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Vulnerabilities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1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Detected Vulnerabilities, after 1st repair 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'Samples analysis'!$O$75</c:f>
              <c:strCache>
                <c:ptCount val="1"/>
                <c:pt idx="0">
                  <c:v>Sample 1</c:v>
                </c:pt>
              </c:strCache>
            </c:strRef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analysis'!$N$76:$N$85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analysis'!$O$76:$O$85</c:f>
              <c:numCache>
                <c:formatCode>General</c:formatCode>
                <c:ptCount val="10"/>
                <c:pt idx="0">
                  <c:v>0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2-7444-8537-2FCF2D5B4C39}"/>
            </c:ext>
          </c:extLst>
        </c:ser>
        <c:ser>
          <c:idx val="1"/>
          <c:order val="1"/>
          <c:tx>
            <c:strRef>
              <c:f>'Samples analysis'!$P$75</c:f>
              <c:strCache>
                <c:ptCount val="1"/>
                <c:pt idx="0">
                  <c:v>Sample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'Samples analysis'!$N$76:$N$85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analysis'!$P$76:$P$85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10</c:v>
                </c:pt>
                <c:pt idx="5">
                  <c:v>11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2-7444-8537-2FCF2D5B4C39}"/>
            </c:ext>
          </c:extLst>
        </c:ser>
        <c:ser>
          <c:idx val="2"/>
          <c:order val="2"/>
          <c:tx>
            <c:strRef>
              <c:f>'Samples analysis'!$Q$75</c:f>
              <c:strCache>
                <c:ptCount val="1"/>
                <c:pt idx="0">
                  <c:v>Sample 3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analysis'!$N$76:$N$85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analysis'!$Q$76:$Q$85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2-7444-8537-2FCF2D5B4C39}"/>
            </c:ext>
          </c:extLst>
        </c:ser>
        <c:ser>
          <c:idx val="3"/>
          <c:order val="3"/>
          <c:tx>
            <c:strRef>
              <c:f>'Samples analysis'!$R$75</c:f>
              <c:strCache>
                <c:ptCount val="1"/>
                <c:pt idx="0">
                  <c:v>Sample 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'Samples analysis'!$N$76:$N$85</c:f>
              <c:strCache>
                <c:ptCount val="10"/>
                <c:pt idx="0">
                  <c:v>CWE-123</c:v>
                </c:pt>
                <c:pt idx="1">
                  <c:v>CWE-126</c:v>
                </c:pt>
                <c:pt idx="2">
                  <c:v>CWE-127</c:v>
                </c:pt>
                <c:pt idx="3">
                  <c:v>CWE-401</c:v>
                </c:pt>
                <c:pt idx="4">
                  <c:v>CWE-457</c:v>
                </c:pt>
                <c:pt idx="5">
                  <c:v>CWE-476</c:v>
                </c:pt>
                <c:pt idx="6">
                  <c:v>CWE-562</c:v>
                </c:pt>
                <c:pt idx="7">
                  <c:v>CWE-690</c:v>
                </c:pt>
                <c:pt idx="8">
                  <c:v>CWE-758</c:v>
                </c:pt>
                <c:pt idx="9">
                  <c:v>CWE-843</c:v>
                </c:pt>
              </c:strCache>
            </c:strRef>
          </c:cat>
          <c:val>
            <c:numRef>
              <c:f>'Samples analysis'!$R$76:$R$85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14</c:v>
                </c:pt>
                <c:pt idx="4">
                  <c:v>11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2-7444-8537-2FCF2D5B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149120"/>
        <c:axId val="632590976"/>
      </c:barChart>
      <c:catAx>
        <c:axId val="5241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590976"/>
        <c:crosses val="autoZero"/>
        <c:auto val="1"/>
        <c:lblAlgn val="ctr"/>
        <c:lblOffset val="100"/>
        <c:noMultiLvlLbl val="0"/>
      </c:catAx>
      <c:valAx>
        <c:axId val="6325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1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Sources with vulnerabilities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'Samples analysis'!$O$116</c:f>
              <c:strCache>
                <c:ptCount val="1"/>
                <c:pt idx="0">
                  <c:v>Sample 1</c:v>
                </c:pt>
              </c:strCache>
            </c:strRef>
          </c:tx>
          <c:spPr>
            <a:pattFill prst="dkDn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'Samples analysis'!$N$117:$N$123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analysis'!$O$117:$O$123</c:f>
              <c:numCache>
                <c:formatCode>General</c:formatCode>
                <c:ptCount val="7"/>
                <c:pt idx="0">
                  <c:v>157</c:v>
                </c:pt>
                <c:pt idx="1">
                  <c:v>14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6-A84E-A87A-A9D4EFE00830}"/>
            </c:ext>
          </c:extLst>
        </c:ser>
        <c:ser>
          <c:idx val="1"/>
          <c:order val="1"/>
          <c:tx>
            <c:strRef>
              <c:f>'Samples analysis'!$P$116</c:f>
              <c:strCache>
                <c:ptCount val="1"/>
                <c:pt idx="0">
                  <c:v>Sample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'Samples analysis'!$N$117:$N$123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analysis'!$P$117:$P$123</c:f>
              <c:numCache>
                <c:formatCode>General</c:formatCode>
                <c:ptCount val="7"/>
                <c:pt idx="0">
                  <c:v>173</c:v>
                </c:pt>
                <c:pt idx="1">
                  <c:v>19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6-A84E-A87A-A9D4EFE00830}"/>
            </c:ext>
          </c:extLst>
        </c:ser>
        <c:ser>
          <c:idx val="2"/>
          <c:order val="2"/>
          <c:tx>
            <c:strRef>
              <c:f>'Samples analysis'!$Q$116</c:f>
              <c:strCache>
                <c:ptCount val="1"/>
                <c:pt idx="0">
                  <c:v>Sample 3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'Samples analysis'!$N$117:$N$123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analysis'!$Q$117:$Q$123</c:f>
              <c:numCache>
                <c:formatCode>General</c:formatCode>
                <c:ptCount val="7"/>
                <c:pt idx="0">
                  <c:v>166</c:v>
                </c:pt>
                <c:pt idx="1">
                  <c:v>18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6-A84E-A87A-A9D4EFE00830}"/>
            </c:ext>
          </c:extLst>
        </c:ser>
        <c:ser>
          <c:idx val="3"/>
          <c:order val="3"/>
          <c:tx>
            <c:strRef>
              <c:f>'Samples analysis'!$R$116</c:f>
              <c:strCache>
                <c:ptCount val="1"/>
                <c:pt idx="0">
                  <c:v>Sample 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'Samples analysis'!$N$117:$N$123</c:f>
              <c:strCache>
                <c:ptCount val="7"/>
                <c:pt idx="0">
                  <c:v>No repair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'Samples analysis'!$R$117:$R$123</c:f>
              <c:numCache>
                <c:formatCode>General</c:formatCode>
                <c:ptCount val="7"/>
                <c:pt idx="0">
                  <c:v>153</c:v>
                </c:pt>
                <c:pt idx="1">
                  <c:v>24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6-A84E-A87A-A9D4EFE008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8159327"/>
        <c:axId val="2104838591"/>
      </c:barChart>
      <c:catAx>
        <c:axId val="1638159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Repair rounds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4838591"/>
        <c:crosses val="autoZero"/>
        <c:auto val="1"/>
        <c:lblAlgn val="ctr"/>
        <c:lblOffset val="100"/>
        <c:noMultiLvlLbl val="0"/>
      </c:catAx>
      <c:valAx>
        <c:axId val="21048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chemeClr val="tx1"/>
                    </a:solidFill>
                  </a:rPr>
                  <a:t>Sources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15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Vulnerabilities detected, per problem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'Samples analysis'!$O$376</c:f>
              <c:strCache>
                <c:ptCount val="1"/>
                <c:pt idx="0">
                  <c:v>Sample 1</c:v>
                </c:pt>
              </c:strCache>
            </c:strRef>
          </c:tx>
          <c:spPr>
            <a:pattFill prst="dkDnDiag">
              <a:fgClr>
                <a:sysClr val="windowText" lastClr="0000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analysis'!$N$377:$N$386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10+</c:v>
                </c:pt>
              </c:strCache>
            </c:strRef>
          </c:cat>
          <c:val>
            <c:numRef>
              <c:f>'Samples analysis'!$O$377:$O$386</c:f>
              <c:numCache>
                <c:formatCode>General</c:formatCode>
                <c:ptCount val="10"/>
                <c:pt idx="0">
                  <c:v>66</c:v>
                </c:pt>
                <c:pt idx="1">
                  <c:v>43</c:v>
                </c:pt>
                <c:pt idx="2">
                  <c:v>22</c:v>
                </c:pt>
                <c:pt idx="3">
                  <c:v>10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8F4E-93E4-A471C30B15C6}"/>
            </c:ext>
          </c:extLst>
        </c:ser>
        <c:ser>
          <c:idx val="1"/>
          <c:order val="1"/>
          <c:tx>
            <c:strRef>
              <c:f>'Samples analysis'!$P$376</c:f>
              <c:strCache>
                <c:ptCount val="1"/>
                <c:pt idx="0">
                  <c:v>Sample 2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'Samples analysis'!$N$377:$N$386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10+</c:v>
                </c:pt>
              </c:strCache>
            </c:strRef>
          </c:cat>
          <c:val>
            <c:numRef>
              <c:f>'Samples analysis'!$P$377:$P$386</c:f>
              <c:numCache>
                <c:formatCode>General</c:formatCode>
                <c:ptCount val="10"/>
                <c:pt idx="0">
                  <c:v>75</c:v>
                </c:pt>
                <c:pt idx="1">
                  <c:v>50</c:v>
                </c:pt>
                <c:pt idx="2">
                  <c:v>20</c:v>
                </c:pt>
                <c:pt idx="3">
                  <c:v>11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8F4E-93E4-A471C30B15C6}"/>
            </c:ext>
          </c:extLst>
        </c:ser>
        <c:ser>
          <c:idx val="2"/>
          <c:order val="2"/>
          <c:tx>
            <c:strRef>
              <c:f>'Samples analysis'!$Q$376</c:f>
              <c:strCache>
                <c:ptCount val="1"/>
                <c:pt idx="0">
                  <c:v>Sample 3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'Samples analysis'!$N$377:$N$386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10+</c:v>
                </c:pt>
              </c:strCache>
            </c:strRef>
          </c:cat>
          <c:val>
            <c:numRef>
              <c:f>'Samples analysis'!$Q$377:$Q$386</c:f>
              <c:numCache>
                <c:formatCode>General</c:formatCode>
                <c:ptCount val="10"/>
                <c:pt idx="0">
                  <c:v>81</c:v>
                </c:pt>
                <c:pt idx="1">
                  <c:v>38</c:v>
                </c:pt>
                <c:pt idx="2">
                  <c:v>22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FF-8F4E-93E4-A471C30B15C6}"/>
            </c:ext>
          </c:extLst>
        </c:ser>
        <c:ser>
          <c:idx val="3"/>
          <c:order val="3"/>
          <c:tx>
            <c:strRef>
              <c:f>'Samples analysis'!$R$376</c:f>
              <c:strCache>
                <c:ptCount val="1"/>
                <c:pt idx="0">
                  <c:v>Sample 4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'Samples analysis'!$N$377:$N$386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10+</c:v>
                </c:pt>
              </c:strCache>
            </c:strRef>
          </c:cat>
          <c:val>
            <c:numRef>
              <c:f>'Samples analysis'!$R$377:$R$386</c:f>
              <c:numCache>
                <c:formatCode>General</c:formatCode>
                <c:ptCount val="10"/>
                <c:pt idx="0">
                  <c:v>65</c:v>
                </c:pt>
                <c:pt idx="1">
                  <c:v>35</c:v>
                </c:pt>
                <c:pt idx="2">
                  <c:v>20</c:v>
                </c:pt>
                <c:pt idx="3">
                  <c:v>14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FF-8F4E-93E4-A471C30B1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773471"/>
        <c:axId val="1611775183"/>
      </c:barChart>
      <c:catAx>
        <c:axId val="161177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Vulnerabilities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775183"/>
        <c:crosses val="autoZero"/>
        <c:auto val="1"/>
        <c:lblAlgn val="ctr"/>
        <c:lblOffset val="100"/>
        <c:noMultiLvlLbl val="0"/>
      </c:catAx>
      <c:valAx>
        <c:axId val="161177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Problems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77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62493</xdr:colOff>
      <xdr:row>10</xdr:row>
      <xdr:rowOff>103039</xdr:rowOff>
    </xdr:from>
    <xdr:to>
      <xdr:col>16</xdr:col>
      <xdr:colOff>531091</xdr:colOff>
      <xdr:row>30</xdr:row>
      <xdr:rowOff>85558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A118DF6-11A4-F08C-BAE6-04FF66E60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989507</xdr:colOff>
      <xdr:row>45</xdr:row>
      <xdr:rowOff>127631</xdr:rowOff>
    </xdr:from>
    <xdr:to>
      <xdr:col>17</xdr:col>
      <xdr:colOff>247410</xdr:colOff>
      <xdr:row>70</xdr:row>
      <xdr:rowOff>156064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29C511-2D0F-ED72-F795-491A55B27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739253</xdr:colOff>
      <xdr:row>85</xdr:row>
      <xdr:rowOff>142165</xdr:rowOff>
    </xdr:from>
    <xdr:to>
      <xdr:col>16</xdr:col>
      <xdr:colOff>935439</xdr:colOff>
      <xdr:row>112</xdr:row>
      <xdr:rowOff>104255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41CFEE2-1266-4147-8169-431B1DB19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860568</xdr:colOff>
      <xdr:row>124</xdr:row>
      <xdr:rowOff>2653</xdr:rowOff>
    </xdr:from>
    <xdr:to>
      <xdr:col>17</xdr:col>
      <xdr:colOff>246419</xdr:colOff>
      <xdr:row>146</xdr:row>
      <xdr:rowOff>113731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E76A098-C9F3-394F-2AB2-5720D657D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353181</xdr:colOff>
      <xdr:row>403</xdr:row>
      <xdr:rowOff>145627</xdr:rowOff>
    </xdr:from>
    <xdr:to>
      <xdr:col>17</xdr:col>
      <xdr:colOff>678301</xdr:colOff>
      <xdr:row>428</xdr:row>
      <xdr:rowOff>49107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5623E01-67FA-F72A-BA83-8A4E1FB2B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98.667214930552" createdVersion="8" refreshedVersion="8" minRefreshableVersion="3" recordCount="966" xr:uid="{FF61A5C1-743A-AD44-B7DC-48E6C6448278}">
  <cacheSource type="worksheet">
    <worksheetSource name="Tabela23"/>
  </cacheSource>
  <cacheFields count="6">
    <cacheField name="Sample" numFmtId="49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Round" numFmtId="49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problem" numFmtId="49">
      <sharedItems count="225">
        <s v="102"/>
        <s v="109"/>
        <s v="114"/>
        <s v="115"/>
        <s v="117"/>
        <s v="118"/>
        <s v="120"/>
        <s v="127"/>
        <s v="128"/>
        <s v="129"/>
        <s v="130"/>
        <s v="140"/>
        <s v="147"/>
        <s v="157"/>
        <s v="161"/>
        <s v="174"/>
        <s v="175"/>
        <s v="196"/>
        <s v="206"/>
        <s v="207"/>
        <s v="215"/>
        <s v="222"/>
        <s v="23"/>
        <s v="231"/>
        <s v="240"/>
        <s v="245"/>
        <s v="251"/>
        <s v="26"/>
        <s v="260"/>
        <s v="262"/>
        <s v="265"/>
        <s v="27"/>
        <s v="272"/>
        <s v="277"/>
        <s v="282"/>
        <s v="290"/>
        <s v="297"/>
        <s v="298"/>
        <s v="31"/>
        <s v="310"/>
        <s v="315"/>
        <s v="317"/>
        <s v="322"/>
        <s v="326"/>
        <s v="328"/>
        <s v="350"/>
        <s v="353"/>
        <s v="36"/>
        <s v="361"/>
        <s v="367"/>
        <s v="380"/>
        <s v="391"/>
        <s v="393"/>
        <s v="400"/>
        <s v="410"/>
        <s v="411"/>
        <s v="412"/>
        <s v="415"/>
        <s v="418"/>
        <s v="423"/>
        <s v="425"/>
        <s v="444"/>
        <s v="450"/>
        <s v="457"/>
        <s v="460"/>
        <s v="464"/>
        <s v="465"/>
        <s v="468"/>
        <s v="469"/>
        <s v="480"/>
        <s v="482"/>
        <s v="484"/>
        <s v="493"/>
        <s v="510"/>
        <s v="513"/>
        <s v="522"/>
        <s v="528"/>
        <s v="533"/>
        <s v="536"/>
        <s v="538"/>
        <s v="542"/>
        <s v="548"/>
        <s v="551"/>
        <s v="553"/>
        <s v="562"/>
        <s v="563"/>
        <s v="568"/>
        <s v="570"/>
        <s v="572"/>
        <s v="578"/>
        <s v="582"/>
        <s v="585"/>
        <s v="587"/>
        <s v="591"/>
        <s v="601"/>
        <s v="604"/>
        <s v="610"/>
        <s v="612"/>
        <s v="635"/>
        <s v="65"/>
        <s v="653"/>
        <s v="665"/>
        <s v="674"/>
        <s v="679"/>
        <s v="691"/>
        <s v="694"/>
        <s v="696"/>
        <s v="70"/>
        <s v="700"/>
        <s v="703"/>
        <s v="708"/>
        <s v="712"/>
        <s v="715"/>
        <s v="718"/>
        <s v="721"/>
        <s v="729"/>
        <s v="73"/>
        <s v="730"/>
        <s v="740"/>
        <s v="743"/>
        <s v="75"/>
        <s v="750"/>
        <s v="757"/>
        <s v="769"/>
        <s v="771"/>
        <s v="772"/>
        <s v="779"/>
        <s v="788"/>
        <s v="795"/>
        <s v="802"/>
        <s v="822"/>
        <s v="824"/>
        <s v="827"/>
        <s v="829"/>
        <s v="833"/>
        <s v="843"/>
        <s v="852"/>
        <s v="854"/>
        <s v="869"/>
        <s v="889"/>
        <s v="893"/>
        <s v="898"/>
        <s v="902"/>
        <s v="920"/>
        <s v="921"/>
        <s v="927"/>
        <s v="936"/>
        <s v="937"/>
        <s v="938"/>
        <s v="943"/>
        <s v="945"/>
        <s v="946"/>
        <s v="957"/>
        <s v="958"/>
        <s v="965"/>
        <s v="966"/>
        <s v="969"/>
        <s v="805"/>
        <s v="108"/>
        <s v="263"/>
        <s v="237"/>
        <s v="486"/>
        <s v="792"/>
        <s v="918"/>
        <s v="473"/>
        <s v="699"/>
        <s v="620"/>
        <s v="209"/>
        <s v="325"/>
        <s v="834"/>
        <s v="413"/>
        <s v="640"/>
        <s v="791"/>
        <s v="544"/>
        <s v="301"/>
        <s v="971"/>
        <s v="500"/>
        <s v="15"/>
        <s v="456"/>
        <s v="198"/>
        <s v="537"/>
        <s v="362"/>
        <s v="358"/>
        <s v="348"/>
        <s v="974"/>
        <s v="618"/>
        <s v="392"/>
        <s v="821"/>
        <s v="904"/>
        <s v="661"/>
        <s v="352"/>
        <s v="2"/>
        <s v="922"/>
        <s v="57"/>
        <s v="933"/>
        <s v="923"/>
        <s v="154"/>
        <s v="727"/>
        <s v="110"/>
        <s v="496"/>
        <s v="758"/>
        <s v="748"/>
        <s v="512"/>
        <s v="200"/>
        <s v="387"/>
        <s v="294"/>
        <s v="345"/>
        <s v="213"/>
        <s v="859"/>
        <s v="953"/>
        <s v="421"/>
        <s v="341"/>
        <s v="97"/>
        <s v="858"/>
        <s v="932"/>
        <s v="539"/>
        <s v="847"/>
        <s v="812"/>
        <s v="182"/>
        <s v="495"/>
        <s v="658"/>
        <s v="956"/>
        <s v="593"/>
        <s v="507"/>
        <s v="381"/>
      </sharedItems>
    </cacheField>
    <cacheField name="cwe" numFmtId="49">
      <sharedItems count="10">
        <s v="758"/>
        <s v="690"/>
        <s v="401"/>
        <s v="476"/>
        <s v="457"/>
        <s v="126"/>
        <s v="127"/>
        <s v="123"/>
        <s v="562"/>
        <s v="843"/>
      </sharedItems>
    </cacheField>
    <cacheField name="tool" numFmtId="49">
      <sharedItems/>
    </cacheField>
    <cacheField name="frequency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x v="0"/>
    <x v="0"/>
    <x v="0"/>
    <x v="0"/>
    <s v="gcc"/>
    <n v="4"/>
  </r>
  <r>
    <x v="0"/>
    <x v="0"/>
    <x v="0"/>
    <x v="1"/>
    <s v="gcc"/>
    <n v="3"/>
  </r>
  <r>
    <x v="0"/>
    <x v="0"/>
    <x v="1"/>
    <x v="1"/>
    <s v="gcc"/>
    <n v="1"/>
  </r>
  <r>
    <x v="0"/>
    <x v="0"/>
    <x v="2"/>
    <x v="2"/>
    <s v="gcc"/>
    <n v="2"/>
  </r>
  <r>
    <x v="0"/>
    <x v="0"/>
    <x v="2"/>
    <x v="3"/>
    <s v="gcc"/>
    <n v="1"/>
  </r>
  <r>
    <x v="0"/>
    <x v="0"/>
    <x v="3"/>
    <x v="1"/>
    <s v="gcc"/>
    <n v="2"/>
  </r>
  <r>
    <x v="0"/>
    <x v="0"/>
    <x v="4"/>
    <x v="1"/>
    <s v="gcc"/>
    <n v="1"/>
  </r>
  <r>
    <x v="0"/>
    <x v="0"/>
    <x v="5"/>
    <x v="1"/>
    <s v="gcc"/>
    <n v="1"/>
  </r>
  <r>
    <x v="0"/>
    <x v="0"/>
    <x v="6"/>
    <x v="0"/>
    <s v="gcc"/>
    <n v="2"/>
  </r>
  <r>
    <x v="0"/>
    <x v="0"/>
    <x v="7"/>
    <x v="0"/>
    <s v="gcc"/>
    <n v="1"/>
  </r>
  <r>
    <x v="0"/>
    <x v="0"/>
    <x v="8"/>
    <x v="1"/>
    <s v="gcc"/>
    <n v="1"/>
  </r>
  <r>
    <x v="0"/>
    <x v="0"/>
    <x v="9"/>
    <x v="4"/>
    <s v="gcc"/>
    <n v="3"/>
  </r>
  <r>
    <x v="0"/>
    <x v="0"/>
    <x v="10"/>
    <x v="1"/>
    <s v="gcc"/>
    <n v="1"/>
  </r>
  <r>
    <x v="0"/>
    <x v="0"/>
    <x v="10"/>
    <x v="4"/>
    <s v="gcc"/>
    <n v="1"/>
  </r>
  <r>
    <x v="0"/>
    <x v="0"/>
    <x v="11"/>
    <x v="2"/>
    <s v="gcc"/>
    <n v="3"/>
  </r>
  <r>
    <x v="0"/>
    <x v="0"/>
    <x v="11"/>
    <x v="1"/>
    <s v="gcc"/>
    <n v="1"/>
  </r>
  <r>
    <x v="0"/>
    <x v="0"/>
    <x v="12"/>
    <x v="1"/>
    <s v="gcc"/>
    <n v="2"/>
  </r>
  <r>
    <x v="0"/>
    <x v="0"/>
    <x v="12"/>
    <x v="4"/>
    <s v="gcc"/>
    <n v="1"/>
  </r>
  <r>
    <x v="0"/>
    <x v="0"/>
    <x v="13"/>
    <x v="1"/>
    <s v="gcc"/>
    <n v="2"/>
  </r>
  <r>
    <x v="0"/>
    <x v="0"/>
    <x v="14"/>
    <x v="1"/>
    <s v="gcc"/>
    <n v="1"/>
  </r>
  <r>
    <x v="0"/>
    <x v="0"/>
    <x v="15"/>
    <x v="2"/>
    <s v="gcc"/>
    <n v="4"/>
  </r>
  <r>
    <x v="0"/>
    <x v="0"/>
    <x v="15"/>
    <x v="1"/>
    <s v="gcc"/>
    <n v="2"/>
  </r>
  <r>
    <x v="0"/>
    <x v="0"/>
    <x v="16"/>
    <x v="2"/>
    <s v="gcc"/>
    <n v="5"/>
  </r>
  <r>
    <x v="0"/>
    <x v="0"/>
    <x v="16"/>
    <x v="1"/>
    <s v="gcc"/>
    <n v="2"/>
  </r>
  <r>
    <x v="0"/>
    <x v="0"/>
    <x v="17"/>
    <x v="1"/>
    <s v="gcc"/>
    <n v="3"/>
  </r>
  <r>
    <x v="0"/>
    <x v="0"/>
    <x v="18"/>
    <x v="1"/>
    <s v="gcc"/>
    <n v="2"/>
  </r>
  <r>
    <x v="0"/>
    <x v="0"/>
    <x v="19"/>
    <x v="0"/>
    <s v="gcc"/>
    <n v="1"/>
  </r>
  <r>
    <x v="0"/>
    <x v="0"/>
    <x v="20"/>
    <x v="1"/>
    <s v="gcc"/>
    <n v="3"/>
  </r>
  <r>
    <x v="0"/>
    <x v="0"/>
    <x v="21"/>
    <x v="0"/>
    <s v="gcc"/>
    <n v="1"/>
  </r>
  <r>
    <x v="0"/>
    <x v="0"/>
    <x v="22"/>
    <x v="1"/>
    <s v="gcc"/>
    <n v="4"/>
  </r>
  <r>
    <x v="0"/>
    <x v="0"/>
    <x v="23"/>
    <x v="5"/>
    <s v="gcc"/>
    <n v="2"/>
  </r>
  <r>
    <x v="0"/>
    <x v="0"/>
    <x v="23"/>
    <x v="6"/>
    <s v="gcc"/>
    <n v="2"/>
  </r>
  <r>
    <x v="0"/>
    <x v="0"/>
    <x v="23"/>
    <x v="4"/>
    <s v="gcc"/>
    <n v="1"/>
  </r>
  <r>
    <x v="0"/>
    <x v="0"/>
    <x v="24"/>
    <x v="1"/>
    <s v="gcc"/>
    <n v="1"/>
  </r>
  <r>
    <x v="0"/>
    <x v="0"/>
    <x v="25"/>
    <x v="1"/>
    <s v="gcc"/>
    <n v="2"/>
  </r>
  <r>
    <x v="0"/>
    <x v="0"/>
    <x v="26"/>
    <x v="1"/>
    <s v="gcc"/>
    <n v="1"/>
  </r>
  <r>
    <x v="0"/>
    <x v="0"/>
    <x v="27"/>
    <x v="1"/>
    <s v="gcc"/>
    <n v="1"/>
  </r>
  <r>
    <x v="0"/>
    <x v="0"/>
    <x v="28"/>
    <x v="4"/>
    <s v="gcc"/>
    <n v="2"/>
  </r>
  <r>
    <x v="0"/>
    <x v="0"/>
    <x v="29"/>
    <x v="1"/>
    <s v="gcc"/>
    <n v="1"/>
  </r>
  <r>
    <x v="0"/>
    <x v="0"/>
    <x v="30"/>
    <x v="1"/>
    <s v="gcc"/>
    <n v="1"/>
  </r>
  <r>
    <x v="0"/>
    <x v="0"/>
    <x v="31"/>
    <x v="7"/>
    <s v="gcc"/>
    <n v="9"/>
  </r>
  <r>
    <x v="0"/>
    <x v="0"/>
    <x v="32"/>
    <x v="1"/>
    <s v="gcc"/>
    <n v="2"/>
  </r>
  <r>
    <x v="0"/>
    <x v="0"/>
    <x v="33"/>
    <x v="1"/>
    <s v="gcc"/>
    <n v="1"/>
  </r>
  <r>
    <x v="0"/>
    <x v="0"/>
    <x v="34"/>
    <x v="1"/>
    <s v="gcc"/>
    <n v="1"/>
  </r>
  <r>
    <x v="0"/>
    <x v="0"/>
    <x v="35"/>
    <x v="1"/>
    <s v="gcc"/>
    <n v="4"/>
  </r>
  <r>
    <x v="0"/>
    <x v="0"/>
    <x v="36"/>
    <x v="1"/>
    <s v="gcc"/>
    <n v="1"/>
  </r>
  <r>
    <x v="0"/>
    <x v="0"/>
    <x v="37"/>
    <x v="1"/>
    <s v="gcc"/>
    <n v="1"/>
  </r>
  <r>
    <x v="0"/>
    <x v="0"/>
    <x v="38"/>
    <x v="1"/>
    <s v="gcc"/>
    <n v="2"/>
  </r>
  <r>
    <x v="0"/>
    <x v="0"/>
    <x v="39"/>
    <x v="1"/>
    <s v="gcc"/>
    <n v="1"/>
  </r>
  <r>
    <x v="0"/>
    <x v="0"/>
    <x v="40"/>
    <x v="0"/>
    <s v="gcc"/>
    <n v="1"/>
  </r>
  <r>
    <x v="0"/>
    <x v="0"/>
    <x v="41"/>
    <x v="3"/>
    <s v="gcc"/>
    <n v="6"/>
  </r>
  <r>
    <x v="0"/>
    <x v="0"/>
    <x v="41"/>
    <x v="2"/>
    <s v="gcc"/>
    <n v="3"/>
  </r>
  <r>
    <x v="0"/>
    <x v="0"/>
    <x v="42"/>
    <x v="4"/>
    <s v="gcc"/>
    <n v="1"/>
  </r>
  <r>
    <x v="0"/>
    <x v="0"/>
    <x v="42"/>
    <x v="1"/>
    <s v="gcc"/>
    <n v="1"/>
  </r>
  <r>
    <x v="0"/>
    <x v="0"/>
    <x v="43"/>
    <x v="8"/>
    <s v="gcc"/>
    <n v="1"/>
  </r>
  <r>
    <x v="0"/>
    <x v="0"/>
    <x v="44"/>
    <x v="1"/>
    <s v="gcc"/>
    <n v="1"/>
  </r>
  <r>
    <x v="0"/>
    <x v="0"/>
    <x v="45"/>
    <x v="0"/>
    <s v="gcc"/>
    <n v="4"/>
  </r>
  <r>
    <x v="0"/>
    <x v="0"/>
    <x v="45"/>
    <x v="1"/>
    <s v="gcc"/>
    <n v="2"/>
  </r>
  <r>
    <x v="0"/>
    <x v="0"/>
    <x v="46"/>
    <x v="1"/>
    <s v="gcc"/>
    <n v="2"/>
  </r>
  <r>
    <x v="0"/>
    <x v="0"/>
    <x v="47"/>
    <x v="4"/>
    <s v="gcc"/>
    <n v="2"/>
  </r>
  <r>
    <x v="0"/>
    <x v="0"/>
    <x v="48"/>
    <x v="1"/>
    <s v="gcc"/>
    <n v="2"/>
  </r>
  <r>
    <x v="0"/>
    <x v="0"/>
    <x v="49"/>
    <x v="1"/>
    <s v="gcc"/>
    <n v="1"/>
  </r>
  <r>
    <x v="0"/>
    <x v="0"/>
    <x v="50"/>
    <x v="1"/>
    <s v="gcc"/>
    <n v="2"/>
  </r>
  <r>
    <x v="0"/>
    <x v="0"/>
    <x v="51"/>
    <x v="1"/>
    <s v="gcc"/>
    <n v="1"/>
  </r>
  <r>
    <x v="0"/>
    <x v="0"/>
    <x v="52"/>
    <x v="0"/>
    <s v="gcc"/>
    <n v="2"/>
  </r>
  <r>
    <x v="0"/>
    <x v="0"/>
    <x v="52"/>
    <x v="1"/>
    <s v="gcc"/>
    <n v="1"/>
  </r>
  <r>
    <x v="0"/>
    <x v="0"/>
    <x v="53"/>
    <x v="1"/>
    <s v="gcc"/>
    <n v="1"/>
  </r>
  <r>
    <x v="0"/>
    <x v="0"/>
    <x v="54"/>
    <x v="1"/>
    <s v="gcc"/>
    <n v="1"/>
  </r>
  <r>
    <x v="0"/>
    <x v="0"/>
    <x v="55"/>
    <x v="0"/>
    <s v="gcc"/>
    <n v="4"/>
  </r>
  <r>
    <x v="0"/>
    <x v="0"/>
    <x v="55"/>
    <x v="1"/>
    <s v="gcc"/>
    <n v="3"/>
  </r>
  <r>
    <x v="0"/>
    <x v="0"/>
    <x v="56"/>
    <x v="1"/>
    <s v="gcc"/>
    <n v="1"/>
  </r>
  <r>
    <x v="0"/>
    <x v="0"/>
    <x v="57"/>
    <x v="0"/>
    <s v="gcc"/>
    <n v="1"/>
  </r>
  <r>
    <x v="0"/>
    <x v="0"/>
    <x v="58"/>
    <x v="1"/>
    <s v="gcc"/>
    <n v="1"/>
  </r>
  <r>
    <x v="0"/>
    <x v="0"/>
    <x v="59"/>
    <x v="0"/>
    <s v="gcc"/>
    <n v="2"/>
  </r>
  <r>
    <x v="0"/>
    <x v="0"/>
    <x v="60"/>
    <x v="0"/>
    <s v="gcc"/>
    <n v="2"/>
  </r>
  <r>
    <x v="0"/>
    <x v="0"/>
    <x v="60"/>
    <x v="1"/>
    <s v="gcc"/>
    <n v="1"/>
  </r>
  <r>
    <x v="0"/>
    <x v="0"/>
    <x v="61"/>
    <x v="1"/>
    <s v="gcc"/>
    <n v="3"/>
  </r>
  <r>
    <x v="0"/>
    <x v="0"/>
    <x v="62"/>
    <x v="5"/>
    <s v="gcc"/>
    <n v="4"/>
  </r>
  <r>
    <x v="0"/>
    <x v="0"/>
    <x v="62"/>
    <x v="6"/>
    <s v="gcc"/>
    <n v="4"/>
  </r>
  <r>
    <x v="0"/>
    <x v="0"/>
    <x v="62"/>
    <x v="2"/>
    <s v="gcc"/>
    <n v="3"/>
  </r>
  <r>
    <x v="0"/>
    <x v="0"/>
    <x v="62"/>
    <x v="1"/>
    <s v="gcc"/>
    <n v="1"/>
  </r>
  <r>
    <x v="0"/>
    <x v="0"/>
    <x v="62"/>
    <x v="3"/>
    <s v="gcc"/>
    <n v="1"/>
  </r>
  <r>
    <x v="0"/>
    <x v="0"/>
    <x v="63"/>
    <x v="1"/>
    <s v="gcc"/>
    <n v="1"/>
  </r>
  <r>
    <x v="0"/>
    <x v="0"/>
    <x v="64"/>
    <x v="0"/>
    <s v="gcc"/>
    <n v="2"/>
  </r>
  <r>
    <x v="0"/>
    <x v="0"/>
    <x v="64"/>
    <x v="1"/>
    <s v="gcc"/>
    <n v="1"/>
  </r>
  <r>
    <x v="0"/>
    <x v="0"/>
    <x v="65"/>
    <x v="1"/>
    <s v="gcc"/>
    <n v="1"/>
  </r>
  <r>
    <x v="0"/>
    <x v="0"/>
    <x v="66"/>
    <x v="4"/>
    <s v="gcc"/>
    <n v="1"/>
  </r>
  <r>
    <x v="0"/>
    <x v="0"/>
    <x v="67"/>
    <x v="1"/>
    <s v="gcc"/>
    <n v="1"/>
  </r>
  <r>
    <x v="0"/>
    <x v="0"/>
    <x v="68"/>
    <x v="1"/>
    <s v="gcc"/>
    <n v="3"/>
  </r>
  <r>
    <x v="0"/>
    <x v="0"/>
    <x v="68"/>
    <x v="4"/>
    <s v="gcc"/>
    <n v="3"/>
  </r>
  <r>
    <x v="0"/>
    <x v="0"/>
    <x v="69"/>
    <x v="4"/>
    <s v="gcc"/>
    <n v="2"/>
  </r>
  <r>
    <x v="0"/>
    <x v="0"/>
    <x v="70"/>
    <x v="0"/>
    <s v="gcc"/>
    <n v="2"/>
  </r>
  <r>
    <x v="0"/>
    <x v="0"/>
    <x v="71"/>
    <x v="1"/>
    <s v="gcc"/>
    <n v="1"/>
  </r>
  <r>
    <x v="0"/>
    <x v="0"/>
    <x v="72"/>
    <x v="0"/>
    <s v="gcc"/>
    <n v="4"/>
  </r>
  <r>
    <x v="0"/>
    <x v="0"/>
    <x v="73"/>
    <x v="0"/>
    <s v="gcc"/>
    <n v="2"/>
  </r>
  <r>
    <x v="0"/>
    <x v="0"/>
    <x v="74"/>
    <x v="1"/>
    <s v="gcc"/>
    <n v="1"/>
  </r>
  <r>
    <x v="0"/>
    <x v="0"/>
    <x v="75"/>
    <x v="1"/>
    <s v="gcc"/>
    <n v="2"/>
  </r>
  <r>
    <x v="0"/>
    <x v="0"/>
    <x v="76"/>
    <x v="1"/>
    <s v="gcc"/>
    <n v="4"/>
  </r>
  <r>
    <x v="0"/>
    <x v="0"/>
    <x v="77"/>
    <x v="1"/>
    <s v="gcc"/>
    <n v="3"/>
  </r>
  <r>
    <x v="0"/>
    <x v="0"/>
    <x v="78"/>
    <x v="0"/>
    <s v="gcc"/>
    <n v="4"/>
  </r>
  <r>
    <x v="0"/>
    <x v="0"/>
    <x v="78"/>
    <x v="1"/>
    <s v="gcc"/>
    <n v="3"/>
  </r>
  <r>
    <x v="0"/>
    <x v="0"/>
    <x v="79"/>
    <x v="1"/>
    <s v="gcc"/>
    <n v="2"/>
  </r>
  <r>
    <x v="0"/>
    <x v="0"/>
    <x v="80"/>
    <x v="0"/>
    <s v="gcc"/>
    <n v="2"/>
  </r>
  <r>
    <x v="0"/>
    <x v="0"/>
    <x v="81"/>
    <x v="1"/>
    <s v="gcc"/>
    <n v="1"/>
  </r>
  <r>
    <x v="0"/>
    <x v="0"/>
    <x v="82"/>
    <x v="1"/>
    <s v="gcc"/>
    <n v="2"/>
  </r>
  <r>
    <x v="0"/>
    <x v="0"/>
    <x v="83"/>
    <x v="0"/>
    <s v="gcc"/>
    <n v="2"/>
  </r>
  <r>
    <x v="0"/>
    <x v="0"/>
    <x v="83"/>
    <x v="5"/>
    <s v="gcc"/>
    <n v="2"/>
  </r>
  <r>
    <x v="0"/>
    <x v="0"/>
    <x v="83"/>
    <x v="6"/>
    <s v="gcc"/>
    <n v="2"/>
  </r>
  <r>
    <x v="0"/>
    <x v="0"/>
    <x v="83"/>
    <x v="4"/>
    <s v="gcc"/>
    <n v="1"/>
  </r>
  <r>
    <x v="0"/>
    <x v="0"/>
    <x v="84"/>
    <x v="0"/>
    <s v="gcc"/>
    <n v="2"/>
  </r>
  <r>
    <x v="0"/>
    <x v="0"/>
    <x v="84"/>
    <x v="1"/>
    <s v="gcc"/>
    <n v="1"/>
  </r>
  <r>
    <x v="0"/>
    <x v="0"/>
    <x v="85"/>
    <x v="1"/>
    <s v="gcc"/>
    <n v="2"/>
  </r>
  <r>
    <x v="0"/>
    <x v="0"/>
    <x v="86"/>
    <x v="1"/>
    <s v="gcc"/>
    <n v="3"/>
  </r>
  <r>
    <x v="0"/>
    <x v="0"/>
    <x v="87"/>
    <x v="5"/>
    <s v="gcc"/>
    <n v="6"/>
  </r>
  <r>
    <x v="0"/>
    <x v="0"/>
    <x v="87"/>
    <x v="6"/>
    <s v="gcc"/>
    <n v="6"/>
  </r>
  <r>
    <x v="0"/>
    <x v="0"/>
    <x v="87"/>
    <x v="2"/>
    <s v="gcc"/>
    <n v="4"/>
  </r>
  <r>
    <x v="0"/>
    <x v="0"/>
    <x v="87"/>
    <x v="4"/>
    <s v="gcc"/>
    <n v="3"/>
  </r>
  <r>
    <x v="0"/>
    <x v="0"/>
    <x v="87"/>
    <x v="1"/>
    <s v="gcc"/>
    <n v="2"/>
  </r>
  <r>
    <x v="0"/>
    <x v="0"/>
    <x v="87"/>
    <x v="3"/>
    <s v="gcc"/>
    <n v="1"/>
  </r>
  <r>
    <x v="0"/>
    <x v="0"/>
    <x v="88"/>
    <x v="3"/>
    <s v="gcc"/>
    <n v="5"/>
  </r>
  <r>
    <x v="0"/>
    <x v="0"/>
    <x v="89"/>
    <x v="1"/>
    <s v="gcc"/>
    <n v="1"/>
  </r>
  <r>
    <x v="0"/>
    <x v="0"/>
    <x v="90"/>
    <x v="1"/>
    <s v="gcc"/>
    <n v="1"/>
  </r>
  <r>
    <x v="0"/>
    <x v="0"/>
    <x v="91"/>
    <x v="1"/>
    <s v="gcc"/>
    <n v="2"/>
  </r>
  <r>
    <x v="0"/>
    <x v="0"/>
    <x v="92"/>
    <x v="1"/>
    <s v="gcc"/>
    <n v="2"/>
  </r>
  <r>
    <x v="0"/>
    <x v="0"/>
    <x v="93"/>
    <x v="0"/>
    <s v="gcc"/>
    <n v="2"/>
  </r>
  <r>
    <x v="0"/>
    <x v="0"/>
    <x v="93"/>
    <x v="1"/>
    <s v="gcc"/>
    <n v="1"/>
  </r>
  <r>
    <x v="0"/>
    <x v="0"/>
    <x v="94"/>
    <x v="1"/>
    <s v="gcc"/>
    <n v="1"/>
  </r>
  <r>
    <x v="0"/>
    <x v="0"/>
    <x v="95"/>
    <x v="0"/>
    <s v="gcc"/>
    <n v="1"/>
  </r>
  <r>
    <x v="0"/>
    <x v="0"/>
    <x v="96"/>
    <x v="1"/>
    <s v="gcc"/>
    <n v="1"/>
  </r>
  <r>
    <x v="0"/>
    <x v="0"/>
    <x v="97"/>
    <x v="3"/>
    <s v="gcc"/>
    <n v="1"/>
  </r>
  <r>
    <x v="0"/>
    <x v="0"/>
    <x v="98"/>
    <x v="1"/>
    <s v="gcc"/>
    <n v="2"/>
  </r>
  <r>
    <x v="0"/>
    <x v="0"/>
    <x v="99"/>
    <x v="0"/>
    <s v="gcc"/>
    <n v="2"/>
  </r>
  <r>
    <x v="0"/>
    <x v="0"/>
    <x v="99"/>
    <x v="1"/>
    <s v="gcc"/>
    <n v="1"/>
  </r>
  <r>
    <x v="0"/>
    <x v="0"/>
    <x v="100"/>
    <x v="1"/>
    <s v="gcc"/>
    <n v="2"/>
  </r>
  <r>
    <x v="0"/>
    <x v="0"/>
    <x v="101"/>
    <x v="1"/>
    <s v="gcc"/>
    <n v="1"/>
  </r>
  <r>
    <x v="0"/>
    <x v="0"/>
    <x v="102"/>
    <x v="2"/>
    <s v="gcc"/>
    <n v="1"/>
  </r>
  <r>
    <x v="0"/>
    <x v="0"/>
    <x v="102"/>
    <x v="4"/>
    <s v="gcc"/>
    <n v="1"/>
  </r>
  <r>
    <x v="0"/>
    <x v="0"/>
    <x v="103"/>
    <x v="1"/>
    <s v="gcc"/>
    <n v="1"/>
  </r>
  <r>
    <x v="0"/>
    <x v="0"/>
    <x v="104"/>
    <x v="1"/>
    <s v="gcc"/>
    <n v="2"/>
  </r>
  <r>
    <x v="0"/>
    <x v="0"/>
    <x v="105"/>
    <x v="1"/>
    <s v="gcc"/>
    <n v="1"/>
  </r>
  <r>
    <x v="0"/>
    <x v="0"/>
    <x v="106"/>
    <x v="1"/>
    <s v="gcc"/>
    <n v="1"/>
  </r>
  <r>
    <x v="0"/>
    <x v="0"/>
    <x v="106"/>
    <x v="2"/>
    <s v="gcc"/>
    <n v="1"/>
  </r>
  <r>
    <x v="0"/>
    <x v="0"/>
    <x v="107"/>
    <x v="1"/>
    <s v="gcc"/>
    <n v="1"/>
  </r>
  <r>
    <x v="0"/>
    <x v="0"/>
    <x v="108"/>
    <x v="0"/>
    <s v="gcc"/>
    <n v="2"/>
  </r>
  <r>
    <x v="0"/>
    <x v="0"/>
    <x v="108"/>
    <x v="1"/>
    <s v="gcc"/>
    <n v="1"/>
  </r>
  <r>
    <x v="0"/>
    <x v="0"/>
    <x v="109"/>
    <x v="1"/>
    <s v="gcc"/>
    <n v="1"/>
  </r>
  <r>
    <x v="0"/>
    <x v="0"/>
    <x v="110"/>
    <x v="1"/>
    <s v="gcc"/>
    <n v="1"/>
  </r>
  <r>
    <x v="0"/>
    <x v="0"/>
    <x v="111"/>
    <x v="1"/>
    <s v="gcc"/>
    <n v="1"/>
  </r>
  <r>
    <x v="0"/>
    <x v="0"/>
    <x v="112"/>
    <x v="1"/>
    <s v="gcc"/>
    <n v="2"/>
  </r>
  <r>
    <x v="0"/>
    <x v="0"/>
    <x v="112"/>
    <x v="4"/>
    <s v="gcc"/>
    <n v="1"/>
  </r>
  <r>
    <x v="0"/>
    <x v="0"/>
    <x v="113"/>
    <x v="3"/>
    <s v="gcc"/>
    <n v="5"/>
  </r>
  <r>
    <x v="0"/>
    <x v="0"/>
    <x v="114"/>
    <x v="0"/>
    <s v="gcc"/>
    <n v="1"/>
  </r>
  <r>
    <x v="0"/>
    <x v="0"/>
    <x v="115"/>
    <x v="1"/>
    <s v="gcc"/>
    <n v="1"/>
  </r>
  <r>
    <x v="0"/>
    <x v="0"/>
    <x v="116"/>
    <x v="2"/>
    <s v="gcc"/>
    <n v="3"/>
  </r>
  <r>
    <x v="0"/>
    <x v="0"/>
    <x v="116"/>
    <x v="3"/>
    <s v="gcc"/>
    <n v="1"/>
  </r>
  <r>
    <x v="0"/>
    <x v="0"/>
    <x v="117"/>
    <x v="1"/>
    <s v="gcc"/>
    <n v="1"/>
  </r>
  <r>
    <x v="0"/>
    <x v="0"/>
    <x v="118"/>
    <x v="1"/>
    <s v="gcc"/>
    <n v="1"/>
  </r>
  <r>
    <x v="0"/>
    <x v="0"/>
    <x v="119"/>
    <x v="1"/>
    <s v="gcc"/>
    <n v="1"/>
  </r>
  <r>
    <x v="0"/>
    <x v="0"/>
    <x v="120"/>
    <x v="1"/>
    <s v="gcc"/>
    <n v="2"/>
  </r>
  <r>
    <x v="0"/>
    <x v="0"/>
    <x v="121"/>
    <x v="1"/>
    <s v="gcc"/>
    <n v="1"/>
  </r>
  <r>
    <x v="0"/>
    <x v="0"/>
    <x v="122"/>
    <x v="0"/>
    <s v="gcc"/>
    <n v="2"/>
  </r>
  <r>
    <x v="0"/>
    <x v="0"/>
    <x v="123"/>
    <x v="1"/>
    <s v="gcc"/>
    <n v="1"/>
  </r>
  <r>
    <x v="0"/>
    <x v="0"/>
    <x v="124"/>
    <x v="1"/>
    <s v="gcc"/>
    <n v="2"/>
  </r>
  <r>
    <x v="0"/>
    <x v="0"/>
    <x v="124"/>
    <x v="2"/>
    <s v="gcc"/>
    <n v="2"/>
  </r>
  <r>
    <x v="0"/>
    <x v="0"/>
    <x v="125"/>
    <x v="1"/>
    <s v="gcc"/>
    <n v="3"/>
  </r>
  <r>
    <x v="0"/>
    <x v="0"/>
    <x v="126"/>
    <x v="1"/>
    <s v="gcc"/>
    <n v="1"/>
  </r>
  <r>
    <x v="0"/>
    <x v="0"/>
    <x v="127"/>
    <x v="1"/>
    <s v="gcc"/>
    <n v="1"/>
  </r>
  <r>
    <x v="0"/>
    <x v="0"/>
    <x v="128"/>
    <x v="1"/>
    <s v="gcc"/>
    <n v="2"/>
  </r>
  <r>
    <x v="0"/>
    <x v="0"/>
    <x v="129"/>
    <x v="4"/>
    <s v="gcc"/>
    <n v="2"/>
  </r>
  <r>
    <x v="0"/>
    <x v="0"/>
    <x v="130"/>
    <x v="0"/>
    <s v="gcc"/>
    <n v="4"/>
  </r>
  <r>
    <x v="0"/>
    <x v="0"/>
    <x v="131"/>
    <x v="1"/>
    <s v="gcc"/>
    <n v="1"/>
  </r>
  <r>
    <x v="0"/>
    <x v="0"/>
    <x v="132"/>
    <x v="0"/>
    <s v="gcc"/>
    <n v="5"/>
  </r>
  <r>
    <x v="0"/>
    <x v="0"/>
    <x v="132"/>
    <x v="1"/>
    <s v="gcc"/>
    <n v="4"/>
  </r>
  <r>
    <x v="0"/>
    <x v="0"/>
    <x v="133"/>
    <x v="8"/>
    <s v="gcc"/>
    <n v="1"/>
  </r>
  <r>
    <x v="0"/>
    <x v="0"/>
    <x v="133"/>
    <x v="3"/>
    <s v="gcc"/>
    <n v="1"/>
  </r>
  <r>
    <x v="0"/>
    <x v="0"/>
    <x v="134"/>
    <x v="1"/>
    <s v="gcc"/>
    <n v="2"/>
  </r>
  <r>
    <x v="0"/>
    <x v="0"/>
    <x v="135"/>
    <x v="1"/>
    <s v="gcc"/>
    <n v="3"/>
  </r>
  <r>
    <x v="0"/>
    <x v="0"/>
    <x v="136"/>
    <x v="1"/>
    <s v="gcc"/>
    <n v="1"/>
  </r>
  <r>
    <x v="0"/>
    <x v="0"/>
    <x v="137"/>
    <x v="1"/>
    <s v="gcc"/>
    <n v="2"/>
  </r>
  <r>
    <x v="0"/>
    <x v="0"/>
    <x v="138"/>
    <x v="1"/>
    <s v="gcc"/>
    <n v="1"/>
  </r>
  <r>
    <x v="0"/>
    <x v="0"/>
    <x v="139"/>
    <x v="3"/>
    <s v="gcc"/>
    <n v="1"/>
  </r>
  <r>
    <x v="0"/>
    <x v="0"/>
    <x v="140"/>
    <x v="0"/>
    <s v="gcc"/>
    <n v="2"/>
  </r>
  <r>
    <x v="0"/>
    <x v="0"/>
    <x v="140"/>
    <x v="1"/>
    <s v="gcc"/>
    <n v="1"/>
  </r>
  <r>
    <x v="0"/>
    <x v="0"/>
    <x v="141"/>
    <x v="1"/>
    <s v="gcc"/>
    <n v="1"/>
  </r>
  <r>
    <x v="0"/>
    <x v="0"/>
    <x v="142"/>
    <x v="1"/>
    <s v="gcc"/>
    <n v="4"/>
  </r>
  <r>
    <x v="0"/>
    <x v="0"/>
    <x v="143"/>
    <x v="1"/>
    <s v="gcc"/>
    <n v="1"/>
  </r>
  <r>
    <x v="0"/>
    <x v="0"/>
    <x v="144"/>
    <x v="1"/>
    <s v="gcc"/>
    <n v="4"/>
  </r>
  <r>
    <x v="0"/>
    <x v="0"/>
    <x v="145"/>
    <x v="1"/>
    <s v="gcc"/>
    <n v="1"/>
  </r>
  <r>
    <x v="0"/>
    <x v="0"/>
    <x v="146"/>
    <x v="1"/>
    <s v="gcc"/>
    <n v="1"/>
  </r>
  <r>
    <x v="0"/>
    <x v="0"/>
    <x v="147"/>
    <x v="4"/>
    <s v="gcc"/>
    <n v="2"/>
  </r>
  <r>
    <x v="0"/>
    <x v="0"/>
    <x v="148"/>
    <x v="0"/>
    <s v="gcc"/>
    <n v="2"/>
  </r>
  <r>
    <x v="0"/>
    <x v="0"/>
    <x v="149"/>
    <x v="1"/>
    <s v="gcc"/>
    <n v="1"/>
  </r>
  <r>
    <x v="0"/>
    <x v="0"/>
    <x v="150"/>
    <x v="1"/>
    <s v="gcc"/>
    <n v="2"/>
  </r>
  <r>
    <x v="0"/>
    <x v="0"/>
    <x v="151"/>
    <x v="4"/>
    <s v="gcc"/>
    <n v="2"/>
  </r>
  <r>
    <x v="0"/>
    <x v="0"/>
    <x v="152"/>
    <x v="0"/>
    <s v="gcc"/>
    <n v="2"/>
  </r>
  <r>
    <x v="0"/>
    <x v="0"/>
    <x v="153"/>
    <x v="0"/>
    <s v="gcc"/>
    <n v="2"/>
  </r>
  <r>
    <x v="0"/>
    <x v="0"/>
    <x v="154"/>
    <x v="1"/>
    <s v="gcc"/>
    <n v="3"/>
  </r>
  <r>
    <x v="0"/>
    <x v="0"/>
    <x v="155"/>
    <x v="1"/>
    <s v="gcc"/>
    <n v="2"/>
  </r>
  <r>
    <x v="0"/>
    <x v="0"/>
    <x v="155"/>
    <x v="4"/>
    <s v="gcc"/>
    <n v="1"/>
  </r>
  <r>
    <x v="0"/>
    <x v="0"/>
    <x v="156"/>
    <x v="1"/>
    <s v="gcc"/>
    <n v="2"/>
  </r>
  <r>
    <x v="0"/>
    <x v="0"/>
    <x v="156"/>
    <x v="4"/>
    <s v="gcc"/>
    <n v="1"/>
  </r>
  <r>
    <x v="0"/>
    <x v="1"/>
    <x v="91"/>
    <x v="4"/>
    <s v="gcc"/>
    <n v="1"/>
  </r>
  <r>
    <x v="0"/>
    <x v="1"/>
    <x v="25"/>
    <x v="2"/>
    <s v="gcc"/>
    <n v="2"/>
  </r>
  <r>
    <x v="0"/>
    <x v="1"/>
    <x v="48"/>
    <x v="2"/>
    <s v="gcc"/>
    <n v="2"/>
  </r>
  <r>
    <x v="0"/>
    <x v="1"/>
    <x v="48"/>
    <x v="3"/>
    <s v="gcc"/>
    <n v="1"/>
  </r>
  <r>
    <x v="0"/>
    <x v="1"/>
    <x v="87"/>
    <x v="2"/>
    <s v="gcc"/>
    <n v="2"/>
  </r>
  <r>
    <x v="0"/>
    <x v="1"/>
    <x v="87"/>
    <x v="5"/>
    <s v="gcc"/>
    <n v="6"/>
  </r>
  <r>
    <x v="0"/>
    <x v="1"/>
    <x v="87"/>
    <x v="6"/>
    <s v="gcc"/>
    <n v="6"/>
  </r>
  <r>
    <x v="0"/>
    <x v="1"/>
    <x v="87"/>
    <x v="4"/>
    <s v="gcc"/>
    <n v="1"/>
  </r>
  <r>
    <x v="0"/>
    <x v="1"/>
    <x v="2"/>
    <x v="2"/>
    <s v="gcc"/>
    <n v="2"/>
  </r>
  <r>
    <x v="0"/>
    <x v="1"/>
    <x v="15"/>
    <x v="3"/>
    <s v="gcc"/>
    <n v="1"/>
  </r>
  <r>
    <x v="0"/>
    <x v="1"/>
    <x v="15"/>
    <x v="2"/>
    <s v="gcc"/>
    <n v="3"/>
  </r>
  <r>
    <x v="0"/>
    <x v="1"/>
    <x v="68"/>
    <x v="4"/>
    <s v="gcc"/>
    <n v="3"/>
  </r>
  <r>
    <x v="0"/>
    <x v="1"/>
    <x v="39"/>
    <x v="4"/>
    <s v="gcc"/>
    <n v="1"/>
  </r>
  <r>
    <x v="0"/>
    <x v="1"/>
    <x v="75"/>
    <x v="2"/>
    <s v="gcc"/>
    <n v="2"/>
  </r>
  <r>
    <x v="0"/>
    <x v="1"/>
    <x v="66"/>
    <x v="4"/>
    <s v="gcc"/>
    <n v="1"/>
  </r>
  <r>
    <x v="0"/>
    <x v="1"/>
    <x v="116"/>
    <x v="2"/>
    <s v="gcc"/>
    <n v="1"/>
  </r>
  <r>
    <x v="0"/>
    <x v="1"/>
    <x v="157"/>
    <x v="3"/>
    <s v="gcc"/>
    <n v="1"/>
  </r>
  <r>
    <x v="0"/>
    <x v="1"/>
    <x v="62"/>
    <x v="5"/>
    <s v="gcc"/>
    <n v="10"/>
  </r>
  <r>
    <x v="0"/>
    <x v="1"/>
    <x v="62"/>
    <x v="6"/>
    <s v="gcc"/>
    <n v="10"/>
  </r>
  <r>
    <x v="0"/>
    <x v="1"/>
    <x v="62"/>
    <x v="2"/>
    <s v="gcc"/>
    <n v="1"/>
  </r>
  <r>
    <x v="0"/>
    <x v="1"/>
    <x v="62"/>
    <x v="4"/>
    <s v="gcc"/>
    <n v="1"/>
  </r>
  <r>
    <x v="0"/>
    <x v="1"/>
    <x v="158"/>
    <x v="4"/>
    <s v="gcc"/>
    <n v="1"/>
  </r>
  <r>
    <x v="0"/>
    <x v="1"/>
    <x v="158"/>
    <x v="1"/>
    <s v="gcc"/>
    <n v="2"/>
  </r>
  <r>
    <x v="0"/>
    <x v="2"/>
    <x v="136"/>
    <x v="3"/>
    <s v="gcc"/>
    <n v="3"/>
  </r>
  <r>
    <x v="0"/>
    <x v="2"/>
    <x v="48"/>
    <x v="3"/>
    <s v="gcc"/>
    <n v="1"/>
  </r>
  <r>
    <x v="0"/>
    <x v="2"/>
    <x v="87"/>
    <x v="3"/>
    <s v="gcc"/>
    <n v="1"/>
  </r>
  <r>
    <x v="0"/>
    <x v="2"/>
    <x v="87"/>
    <x v="2"/>
    <s v="gcc"/>
    <n v="1"/>
  </r>
  <r>
    <x v="0"/>
    <x v="2"/>
    <x v="2"/>
    <x v="2"/>
    <s v="gcc"/>
    <n v="1"/>
  </r>
  <r>
    <x v="0"/>
    <x v="2"/>
    <x v="15"/>
    <x v="2"/>
    <s v="gcc"/>
    <n v="3"/>
  </r>
  <r>
    <x v="0"/>
    <x v="2"/>
    <x v="68"/>
    <x v="4"/>
    <s v="gcc"/>
    <n v="1"/>
  </r>
  <r>
    <x v="0"/>
    <x v="2"/>
    <x v="66"/>
    <x v="4"/>
    <s v="gcc"/>
    <n v="1"/>
  </r>
  <r>
    <x v="0"/>
    <x v="2"/>
    <x v="116"/>
    <x v="2"/>
    <s v="gcc"/>
    <n v="1"/>
  </r>
  <r>
    <x v="0"/>
    <x v="2"/>
    <x v="62"/>
    <x v="5"/>
    <s v="gcc"/>
    <n v="4"/>
  </r>
  <r>
    <x v="0"/>
    <x v="2"/>
    <x v="62"/>
    <x v="6"/>
    <s v="gcc"/>
    <n v="4"/>
  </r>
  <r>
    <x v="0"/>
    <x v="2"/>
    <x v="158"/>
    <x v="4"/>
    <s v="gcc"/>
    <n v="1"/>
  </r>
  <r>
    <x v="0"/>
    <x v="3"/>
    <x v="2"/>
    <x v="2"/>
    <s v="gcc"/>
    <n v="3"/>
  </r>
  <r>
    <x v="0"/>
    <x v="3"/>
    <x v="15"/>
    <x v="3"/>
    <s v="gcc"/>
    <n v="1"/>
  </r>
  <r>
    <x v="0"/>
    <x v="3"/>
    <x v="66"/>
    <x v="4"/>
    <s v="gcc"/>
    <n v="1"/>
  </r>
  <r>
    <x v="0"/>
    <x v="3"/>
    <x v="116"/>
    <x v="2"/>
    <s v="gcc"/>
    <n v="1"/>
  </r>
  <r>
    <x v="0"/>
    <x v="3"/>
    <x v="62"/>
    <x v="5"/>
    <s v="gcc"/>
    <n v="4"/>
  </r>
  <r>
    <x v="0"/>
    <x v="3"/>
    <x v="62"/>
    <x v="6"/>
    <s v="gcc"/>
    <n v="4"/>
  </r>
  <r>
    <x v="0"/>
    <x v="3"/>
    <x v="158"/>
    <x v="4"/>
    <s v="gcc"/>
    <n v="1"/>
  </r>
  <r>
    <x v="0"/>
    <x v="4"/>
    <x v="2"/>
    <x v="2"/>
    <s v="gcc"/>
    <n v="1"/>
  </r>
  <r>
    <x v="0"/>
    <x v="4"/>
    <x v="66"/>
    <x v="4"/>
    <s v="gcc"/>
    <n v="1"/>
  </r>
  <r>
    <x v="0"/>
    <x v="4"/>
    <x v="62"/>
    <x v="5"/>
    <s v="gcc"/>
    <n v="4"/>
  </r>
  <r>
    <x v="0"/>
    <x v="4"/>
    <x v="62"/>
    <x v="6"/>
    <s v="gcc"/>
    <n v="4"/>
  </r>
  <r>
    <x v="0"/>
    <x v="4"/>
    <x v="158"/>
    <x v="4"/>
    <s v="gcc"/>
    <n v="1"/>
  </r>
  <r>
    <x v="0"/>
    <x v="5"/>
    <x v="2"/>
    <x v="3"/>
    <s v="gcc"/>
    <n v="1"/>
  </r>
  <r>
    <x v="0"/>
    <x v="5"/>
    <x v="2"/>
    <x v="2"/>
    <s v="gcc"/>
    <n v="2"/>
  </r>
  <r>
    <x v="0"/>
    <x v="5"/>
    <x v="62"/>
    <x v="5"/>
    <s v="gcc"/>
    <n v="4"/>
  </r>
  <r>
    <x v="0"/>
    <x v="5"/>
    <x v="62"/>
    <x v="6"/>
    <s v="gcc"/>
    <n v="4"/>
  </r>
  <r>
    <x v="0"/>
    <x v="5"/>
    <x v="158"/>
    <x v="4"/>
    <s v="gcc"/>
    <n v="1"/>
  </r>
  <r>
    <x v="0"/>
    <x v="6"/>
    <x v="2"/>
    <x v="2"/>
    <s v="gcc"/>
    <n v="1"/>
  </r>
  <r>
    <x v="0"/>
    <x v="6"/>
    <x v="158"/>
    <x v="4"/>
    <s v="gcc"/>
    <n v="1"/>
  </r>
  <r>
    <x v="1"/>
    <x v="0"/>
    <x v="74"/>
    <x v="1"/>
    <s v="gcc"/>
    <n v="1"/>
  </r>
  <r>
    <x v="1"/>
    <x v="0"/>
    <x v="101"/>
    <x v="1"/>
    <s v="gcc"/>
    <n v="1"/>
  </r>
  <r>
    <x v="1"/>
    <x v="0"/>
    <x v="36"/>
    <x v="1"/>
    <s v="gcc"/>
    <n v="1"/>
  </r>
  <r>
    <x v="1"/>
    <x v="0"/>
    <x v="91"/>
    <x v="1"/>
    <s v="gcc"/>
    <n v="2"/>
  </r>
  <r>
    <x v="1"/>
    <x v="0"/>
    <x v="61"/>
    <x v="1"/>
    <s v="gcc"/>
    <n v="2"/>
  </r>
  <r>
    <x v="1"/>
    <x v="0"/>
    <x v="99"/>
    <x v="0"/>
    <s v="gcc"/>
    <n v="2"/>
  </r>
  <r>
    <x v="1"/>
    <x v="0"/>
    <x v="99"/>
    <x v="1"/>
    <s v="gcc"/>
    <n v="1"/>
  </r>
  <r>
    <x v="1"/>
    <x v="0"/>
    <x v="159"/>
    <x v="1"/>
    <s v="gcc"/>
    <n v="2"/>
  </r>
  <r>
    <x v="1"/>
    <x v="0"/>
    <x v="3"/>
    <x v="1"/>
    <s v="gcc"/>
    <n v="2"/>
  </r>
  <r>
    <x v="1"/>
    <x v="0"/>
    <x v="121"/>
    <x v="1"/>
    <s v="gcc"/>
    <n v="1"/>
  </r>
  <r>
    <x v="1"/>
    <x v="0"/>
    <x v="118"/>
    <x v="1"/>
    <s v="gcc"/>
    <n v="1"/>
  </r>
  <r>
    <x v="1"/>
    <x v="0"/>
    <x v="104"/>
    <x v="1"/>
    <s v="gcc"/>
    <n v="2"/>
  </r>
  <r>
    <x v="1"/>
    <x v="0"/>
    <x v="89"/>
    <x v="1"/>
    <s v="gcc"/>
    <n v="1"/>
  </r>
  <r>
    <x v="1"/>
    <x v="0"/>
    <x v="53"/>
    <x v="1"/>
    <s v="gcc"/>
    <n v="1"/>
  </r>
  <r>
    <x v="1"/>
    <x v="0"/>
    <x v="25"/>
    <x v="0"/>
    <s v="gcc"/>
    <n v="1"/>
  </r>
  <r>
    <x v="1"/>
    <x v="0"/>
    <x v="25"/>
    <x v="1"/>
    <s v="gcc"/>
    <n v="2"/>
  </r>
  <r>
    <x v="1"/>
    <x v="0"/>
    <x v="25"/>
    <x v="4"/>
    <s v="gcc"/>
    <n v="1"/>
  </r>
  <r>
    <x v="1"/>
    <x v="0"/>
    <x v="160"/>
    <x v="1"/>
    <s v="gcc"/>
    <n v="1"/>
  </r>
  <r>
    <x v="1"/>
    <x v="0"/>
    <x v="38"/>
    <x v="1"/>
    <s v="gcc"/>
    <n v="2"/>
  </r>
  <r>
    <x v="1"/>
    <x v="0"/>
    <x v="161"/>
    <x v="0"/>
    <s v="gcc"/>
    <n v="2"/>
  </r>
  <r>
    <x v="1"/>
    <x v="0"/>
    <x v="162"/>
    <x v="0"/>
    <s v="gcc"/>
    <n v="2"/>
  </r>
  <r>
    <x v="1"/>
    <x v="0"/>
    <x v="146"/>
    <x v="1"/>
    <s v="gcc"/>
    <n v="1"/>
  </r>
  <r>
    <x v="1"/>
    <x v="0"/>
    <x v="100"/>
    <x v="1"/>
    <s v="gcc"/>
    <n v="3"/>
  </r>
  <r>
    <x v="1"/>
    <x v="0"/>
    <x v="55"/>
    <x v="0"/>
    <s v="gcc"/>
    <n v="4"/>
  </r>
  <r>
    <x v="1"/>
    <x v="0"/>
    <x v="55"/>
    <x v="1"/>
    <s v="gcc"/>
    <n v="3"/>
  </r>
  <r>
    <x v="1"/>
    <x v="0"/>
    <x v="129"/>
    <x v="4"/>
    <s v="gcc"/>
    <n v="2"/>
  </r>
  <r>
    <x v="1"/>
    <x v="0"/>
    <x v="163"/>
    <x v="0"/>
    <s v="gcc"/>
    <n v="2"/>
  </r>
  <r>
    <x v="1"/>
    <x v="0"/>
    <x v="164"/>
    <x v="1"/>
    <s v="gcc"/>
    <n v="1"/>
  </r>
  <r>
    <x v="1"/>
    <x v="0"/>
    <x v="11"/>
    <x v="1"/>
    <s v="gcc"/>
    <n v="1"/>
  </r>
  <r>
    <x v="1"/>
    <x v="0"/>
    <x v="165"/>
    <x v="0"/>
    <s v="gcc"/>
    <n v="1"/>
  </r>
  <r>
    <x v="1"/>
    <x v="0"/>
    <x v="150"/>
    <x v="1"/>
    <s v="gcc"/>
    <n v="2"/>
  </r>
  <r>
    <x v="1"/>
    <x v="0"/>
    <x v="166"/>
    <x v="1"/>
    <s v="gcc"/>
    <n v="2"/>
  </r>
  <r>
    <x v="1"/>
    <x v="0"/>
    <x v="166"/>
    <x v="2"/>
    <s v="gcc"/>
    <n v="4"/>
  </r>
  <r>
    <x v="1"/>
    <x v="0"/>
    <x v="167"/>
    <x v="1"/>
    <s v="gcc"/>
    <n v="1"/>
  </r>
  <r>
    <x v="1"/>
    <x v="0"/>
    <x v="48"/>
    <x v="1"/>
    <s v="gcc"/>
    <n v="2"/>
  </r>
  <r>
    <x v="1"/>
    <x v="0"/>
    <x v="147"/>
    <x v="4"/>
    <s v="gcc"/>
    <n v="2"/>
  </r>
  <r>
    <x v="1"/>
    <x v="0"/>
    <x v="145"/>
    <x v="1"/>
    <s v="gcc"/>
    <n v="1"/>
  </r>
  <r>
    <x v="1"/>
    <x v="0"/>
    <x v="138"/>
    <x v="3"/>
    <s v="gcc"/>
    <n v="4"/>
  </r>
  <r>
    <x v="1"/>
    <x v="0"/>
    <x v="168"/>
    <x v="0"/>
    <s v="gcc"/>
    <n v="1"/>
  </r>
  <r>
    <x v="1"/>
    <x v="0"/>
    <x v="58"/>
    <x v="1"/>
    <s v="gcc"/>
    <n v="1"/>
  </r>
  <r>
    <x v="1"/>
    <x v="0"/>
    <x v="87"/>
    <x v="1"/>
    <s v="gcc"/>
    <n v="1"/>
  </r>
  <r>
    <x v="1"/>
    <x v="0"/>
    <x v="169"/>
    <x v="1"/>
    <s v="gcc"/>
    <n v="4"/>
  </r>
  <r>
    <x v="1"/>
    <x v="0"/>
    <x v="169"/>
    <x v="4"/>
    <s v="gcc"/>
    <n v="2"/>
  </r>
  <r>
    <x v="1"/>
    <x v="0"/>
    <x v="131"/>
    <x v="1"/>
    <s v="gcc"/>
    <n v="1"/>
  </r>
  <r>
    <x v="1"/>
    <x v="0"/>
    <x v="32"/>
    <x v="1"/>
    <s v="gcc"/>
    <n v="1"/>
  </r>
  <r>
    <x v="1"/>
    <x v="0"/>
    <x v="32"/>
    <x v="4"/>
    <s v="gcc"/>
    <n v="1"/>
  </r>
  <r>
    <x v="1"/>
    <x v="0"/>
    <x v="29"/>
    <x v="1"/>
    <s v="gcc"/>
    <n v="1"/>
  </r>
  <r>
    <x v="1"/>
    <x v="0"/>
    <x v="2"/>
    <x v="2"/>
    <s v="gcc"/>
    <n v="1"/>
  </r>
  <r>
    <x v="1"/>
    <x v="0"/>
    <x v="170"/>
    <x v="1"/>
    <s v="gcc"/>
    <n v="1"/>
  </r>
  <r>
    <x v="1"/>
    <x v="0"/>
    <x v="170"/>
    <x v="4"/>
    <s v="gcc"/>
    <n v="1"/>
  </r>
  <r>
    <x v="1"/>
    <x v="0"/>
    <x v="6"/>
    <x v="0"/>
    <s v="gcc"/>
    <n v="2"/>
  </r>
  <r>
    <x v="1"/>
    <x v="0"/>
    <x v="10"/>
    <x v="1"/>
    <s v="gcc"/>
    <n v="1"/>
  </r>
  <r>
    <x v="1"/>
    <x v="0"/>
    <x v="78"/>
    <x v="0"/>
    <s v="gcc"/>
    <n v="4"/>
  </r>
  <r>
    <x v="1"/>
    <x v="0"/>
    <x v="78"/>
    <x v="1"/>
    <s v="gcc"/>
    <n v="3"/>
  </r>
  <r>
    <x v="1"/>
    <x v="0"/>
    <x v="171"/>
    <x v="0"/>
    <s v="gcc"/>
    <n v="4"/>
  </r>
  <r>
    <x v="1"/>
    <x v="0"/>
    <x v="171"/>
    <x v="1"/>
    <s v="gcc"/>
    <n v="2"/>
  </r>
  <r>
    <x v="1"/>
    <x v="0"/>
    <x v="172"/>
    <x v="1"/>
    <s v="gcc"/>
    <n v="1"/>
  </r>
  <r>
    <x v="1"/>
    <x v="0"/>
    <x v="152"/>
    <x v="0"/>
    <s v="gcc"/>
    <n v="2"/>
  </r>
  <r>
    <x v="1"/>
    <x v="0"/>
    <x v="173"/>
    <x v="1"/>
    <s v="gcc"/>
    <n v="3"/>
  </r>
  <r>
    <x v="1"/>
    <x v="0"/>
    <x v="174"/>
    <x v="1"/>
    <s v="gcc"/>
    <n v="3"/>
  </r>
  <r>
    <x v="1"/>
    <x v="0"/>
    <x v="88"/>
    <x v="1"/>
    <s v="gcc"/>
    <n v="1"/>
  </r>
  <r>
    <x v="1"/>
    <x v="0"/>
    <x v="84"/>
    <x v="0"/>
    <s v="gcc"/>
    <n v="2"/>
  </r>
  <r>
    <x v="1"/>
    <x v="0"/>
    <x v="84"/>
    <x v="1"/>
    <s v="gcc"/>
    <n v="1"/>
  </r>
  <r>
    <x v="1"/>
    <x v="0"/>
    <x v="9"/>
    <x v="4"/>
    <s v="gcc"/>
    <n v="3"/>
  </r>
  <r>
    <x v="1"/>
    <x v="0"/>
    <x v="95"/>
    <x v="0"/>
    <s v="gcc"/>
    <n v="1"/>
  </r>
  <r>
    <x v="1"/>
    <x v="0"/>
    <x v="175"/>
    <x v="0"/>
    <s v="gcc"/>
    <n v="1"/>
  </r>
  <r>
    <x v="1"/>
    <x v="0"/>
    <x v="176"/>
    <x v="1"/>
    <s v="gcc"/>
    <n v="1"/>
  </r>
  <r>
    <x v="1"/>
    <x v="0"/>
    <x v="119"/>
    <x v="1"/>
    <s v="gcc"/>
    <n v="1"/>
  </r>
  <r>
    <x v="1"/>
    <x v="0"/>
    <x v="60"/>
    <x v="0"/>
    <s v="gcc"/>
    <n v="2"/>
  </r>
  <r>
    <x v="1"/>
    <x v="0"/>
    <x v="60"/>
    <x v="1"/>
    <s v="gcc"/>
    <n v="1"/>
  </r>
  <r>
    <x v="1"/>
    <x v="0"/>
    <x v="28"/>
    <x v="4"/>
    <s v="gcc"/>
    <n v="2"/>
  </r>
  <r>
    <x v="1"/>
    <x v="0"/>
    <x v="63"/>
    <x v="1"/>
    <s v="gcc"/>
    <n v="1"/>
  </r>
  <r>
    <x v="1"/>
    <x v="0"/>
    <x v="114"/>
    <x v="0"/>
    <s v="gcc"/>
    <n v="1"/>
  </r>
  <r>
    <x v="1"/>
    <x v="0"/>
    <x v="15"/>
    <x v="1"/>
    <s v="gcc"/>
    <n v="2"/>
  </r>
  <r>
    <x v="1"/>
    <x v="0"/>
    <x v="127"/>
    <x v="1"/>
    <s v="gcc"/>
    <n v="1"/>
  </r>
  <r>
    <x v="1"/>
    <x v="0"/>
    <x v="137"/>
    <x v="1"/>
    <s v="gcc"/>
    <n v="2"/>
  </r>
  <r>
    <x v="1"/>
    <x v="0"/>
    <x v="43"/>
    <x v="8"/>
    <s v="gcc"/>
    <n v="1"/>
  </r>
  <r>
    <x v="1"/>
    <x v="0"/>
    <x v="43"/>
    <x v="1"/>
    <s v="gcc"/>
    <n v="1"/>
  </r>
  <r>
    <x v="1"/>
    <x v="0"/>
    <x v="8"/>
    <x v="1"/>
    <s v="gcc"/>
    <n v="1"/>
  </r>
  <r>
    <x v="1"/>
    <x v="0"/>
    <x v="68"/>
    <x v="1"/>
    <s v="gcc"/>
    <n v="2"/>
  </r>
  <r>
    <x v="1"/>
    <x v="0"/>
    <x v="68"/>
    <x v="4"/>
    <s v="gcc"/>
    <n v="2"/>
  </r>
  <r>
    <x v="1"/>
    <x v="0"/>
    <x v="68"/>
    <x v="2"/>
    <s v="gcc"/>
    <n v="2"/>
  </r>
  <r>
    <x v="1"/>
    <x v="0"/>
    <x v="142"/>
    <x v="1"/>
    <s v="gcc"/>
    <n v="1"/>
  </r>
  <r>
    <x v="1"/>
    <x v="0"/>
    <x v="4"/>
    <x v="1"/>
    <s v="gcc"/>
    <n v="3"/>
  </r>
  <r>
    <x v="1"/>
    <x v="0"/>
    <x v="132"/>
    <x v="0"/>
    <s v="gcc"/>
    <n v="5"/>
  </r>
  <r>
    <x v="1"/>
    <x v="0"/>
    <x v="132"/>
    <x v="1"/>
    <s v="gcc"/>
    <n v="2"/>
  </r>
  <r>
    <x v="1"/>
    <x v="0"/>
    <x v="177"/>
    <x v="1"/>
    <s v="gcc"/>
    <n v="2"/>
  </r>
  <r>
    <x v="1"/>
    <x v="0"/>
    <x v="178"/>
    <x v="7"/>
    <s v="gcc"/>
    <n v="2"/>
  </r>
  <r>
    <x v="1"/>
    <x v="0"/>
    <x v="16"/>
    <x v="1"/>
    <s v="gcc"/>
    <n v="2"/>
  </r>
  <r>
    <x v="1"/>
    <x v="0"/>
    <x v="16"/>
    <x v="2"/>
    <s v="gcc"/>
    <n v="3"/>
  </r>
  <r>
    <x v="1"/>
    <x v="0"/>
    <x v="117"/>
    <x v="1"/>
    <s v="gcc"/>
    <n v="1"/>
  </r>
  <r>
    <x v="1"/>
    <x v="0"/>
    <x v="22"/>
    <x v="1"/>
    <s v="gcc"/>
    <n v="1"/>
  </r>
  <r>
    <x v="1"/>
    <x v="0"/>
    <x v="156"/>
    <x v="1"/>
    <s v="gcc"/>
    <n v="1"/>
  </r>
  <r>
    <x v="1"/>
    <x v="0"/>
    <x v="179"/>
    <x v="4"/>
    <s v="gcc"/>
    <n v="2"/>
  </r>
  <r>
    <x v="1"/>
    <x v="0"/>
    <x v="56"/>
    <x v="1"/>
    <s v="gcc"/>
    <n v="1"/>
  </r>
  <r>
    <x v="1"/>
    <x v="0"/>
    <x v="180"/>
    <x v="2"/>
    <s v="gcc"/>
    <n v="1"/>
  </r>
  <r>
    <x v="1"/>
    <x v="0"/>
    <x v="180"/>
    <x v="1"/>
    <s v="gcc"/>
    <n v="2"/>
  </r>
  <r>
    <x v="1"/>
    <x v="0"/>
    <x v="181"/>
    <x v="4"/>
    <s v="gcc"/>
    <n v="1"/>
  </r>
  <r>
    <x v="1"/>
    <x v="0"/>
    <x v="181"/>
    <x v="1"/>
    <s v="gcc"/>
    <n v="1"/>
  </r>
  <r>
    <x v="1"/>
    <x v="0"/>
    <x v="115"/>
    <x v="1"/>
    <s v="gcc"/>
    <n v="1"/>
  </r>
  <r>
    <x v="1"/>
    <x v="0"/>
    <x v="39"/>
    <x v="1"/>
    <s v="gcc"/>
    <n v="1"/>
  </r>
  <r>
    <x v="1"/>
    <x v="0"/>
    <x v="71"/>
    <x v="1"/>
    <s v="gcc"/>
    <n v="1"/>
  </r>
  <r>
    <x v="1"/>
    <x v="0"/>
    <x v="151"/>
    <x v="4"/>
    <s v="gcc"/>
    <n v="2"/>
  </r>
  <r>
    <x v="1"/>
    <x v="0"/>
    <x v="144"/>
    <x v="1"/>
    <s v="gcc"/>
    <n v="2"/>
  </r>
  <r>
    <x v="1"/>
    <x v="0"/>
    <x v="128"/>
    <x v="1"/>
    <s v="gcc"/>
    <n v="3"/>
  </r>
  <r>
    <x v="1"/>
    <x v="0"/>
    <x v="128"/>
    <x v="2"/>
    <s v="gcc"/>
    <n v="1"/>
  </r>
  <r>
    <x v="1"/>
    <x v="0"/>
    <x v="75"/>
    <x v="1"/>
    <s v="gcc"/>
    <n v="2"/>
  </r>
  <r>
    <x v="1"/>
    <x v="0"/>
    <x v="49"/>
    <x v="1"/>
    <s v="gcc"/>
    <n v="1"/>
  </r>
  <r>
    <x v="1"/>
    <x v="0"/>
    <x v="149"/>
    <x v="1"/>
    <s v="gcc"/>
    <n v="1"/>
  </r>
  <r>
    <x v="1"/>
    <x v="0"/>
    <x v="47"/>
    <x v="4"/>
    <s v="gcc"/>
    <n v="2"/>
  </r>
  <r>
    <x v="1"/>
    <x v="0"/>
    <x v="27"/>
    <x v="1"/>
    <s v="gcc"/>
    <n v="1"/>
  </r>
  <r>
    <x v="1"/>
    <x v="0"/>
    <x v="66"/>
    <x v="1"/>
    <s v="gcc"/>
    <n v="1"/>
  </r>
  <r>
    <x v="1"/>
    <x v="0"/>
    <x v="182"/>
    <x v="2"/>
    <s v="gcc"/>
    <n v="1"/>
  </r>
  <r>
    <x v="1"/>
    <x v="0"/>
    <x v="183"/>
    <x v="9"/>
    <s v="gcc"/>
    <n v="1"/>
  </r>
  <r>
    <x v="1"/>
    <x v="0"/>
    <x v="52"/>
    <x v="0"/>
    <s v="gcc"/>
    <n v="2"/>
  </r>
  <r>
    <x v="1"/>
    <x v="0"/>
    <x v="52"/>
    <x v="1"/>
    <s v="gcc"/>
    <n v="1"/>
  </r>
  <r>
    <x v="1"/>
    <x v="0"/>
    <x v="124"/>
    <x v="1"/>
    <s v="gcc"/>
    <n v="1"/>
  </r>
  <r>
    <x v="1"/>
    <x v="0"/>
    <x v="124"/>
    <x v="2"/>
    <s v="gcc"/>
    <n v="1"/>
  </r>
  <r>
    <x v="1"/>
    <x v="0"/>
    <x v="122"/>
    <x v="0"/>
    <s v="gcc"/>
    <n v="1"/>
  </r>
  <r>
    <x v="1"/>
    <x v="0"/>
    <x v="0"/>
    <x v="0"/>
    <s v="gcc"/>
    <n v="4"/>
  </r>
  <r>
    <x v="1"/>
    <x v="0"/>
    <x v="0"/>
    <x v="1"/>
    <s v="gcc"/>
    <n v="3"/>
  </r>
  <r>
    <x v="1"/>
    <x v="0"/>
    <x v="106"/>
    <x v="1"/>
    <s v="gcc"/>
    <n v="1"/>
  </r>
  <r>
    <x v="1"/>
    <x v="0"/>
    <x v="106"/>
    <x v="2"/>
    <s v="gcc"/>
    <n v="1"/>
  </r>
  <r>
    <x v="1"/>
    <x v="0"/>
    <x v="130"/>
    <x v="0"/>
    <s v="gcc"/>
    <n v="4"/>
  </r>
  <r>
    <x v="1"/>
    <x v="0"/>
    <x v="90"/>
    <x v="1"/>
    <s v="gcc"/>
    <n v="1"/>
  </r>
  <r>
    <x v="1"/>
    <x v="0"/>
    <x v="148"/>
    <x v="0"/>
    <s v="gcc"/>
    <n v="2"/>
  </r>
  <r>
    <x v="1"/>
    <x v="0"/>
    <x v="18"/>
    <x v="1"/>
    <s v="gcc"/>
    <n v="2"/>
  </r>
  <r>
    <x v="1"/>
    <x v="0"/>
    <x v="154"/>
    <x v="1"/>
    <s v="gcc"/>
    <n v="3"/>
  </r>
  <r>
    <x v="1"/>
    <x v="0"/>
    <x v="96"/>
    <x v="1"/>
    <s v="gcc"/>
    <n v="1"/>
  </r>
  <r>
    <x v="1"/>
    <x v="0"/>
    <x v="35"/>
    <x v="1"/>
    <s v="gcc"/>
    <n v="4"/>
  </r>
  <r>
    <x v="1"/>
    <x v="0"/>
    <x v="134"/>
    <x v="1"/>
    <s v="gcc"/>
    <n v="2"/>
  </r>
  <r>
    <x v="1"/>
    <x v="0"/>
    <x v="81"/>
    <x v="1"/>
    <s v="gcc"/>
    <n v="1"/>
  </r>
  <r>
    <x v="1"/>
    <x v="0"/>
    <x v="30"/>
    <x v="1"/>
    <s v="gcc"/>
    <n v="1"/>
  </r>
  <r>
    <x v="1"/>
    <x v="0"/>
    <x v="14"/>
    <x v="1"/>
    <s v="gcc"/>
    <n v="1"/>
  </r>
  <r>
    <x v="1"/>
    <x v="0"/>
    <x v="14"/>
    <x v="3"/>
    <s v="gcc"/>
    <n v="1"/>
  </r>
  <r>
    <x v="1"/>
    <x v="0"/>
    <x v="19"/>
    <x v="0"/>
    <s v="gcc"/>
    <n v="1"/>
  </r>
  <r>
    <x v="1"/>
    <x v="0"/>
    <x v="126"/>
    <x v="1"/>
    <s v="gcc"/>
    <n v="2"/>
  </r>
  <r>
    <x v="1"/>
    <x v="0"/>
    <x v="123"/>
    <x v="1"/>
    <s v="gcc"/>
    <n v="1"/>
  </r>
  <r>
    <x v="1"/>
    <x v="0"/>
    <x v="42"/>
    <x v="1"/>
    <s v="gcc"/>
    <n v="1"/>
  </r>
  <r>
    <x v="1"/>
    <x v="0"/>
    <x v="184"/>
    <x v="1"/>
    <s v="gcc"/>
    <n v="5"/>
  </r>
  <r>
    <x v="1"/>
    <x v="0"/>
    <x v="45"/>
    <x v="0"/>
    <s v="gcc"/>
    <n v="1"/>
  </r>
  <r>
    <x v="1"/>
    <x v="0"/>
    <x v="77"/>
    <x v="1"/>
    <s v="gcc"/>
    <n v="1"/>
  </r>
  <r>
    <x v="1"/>
    <x v="0"/>
    <x v="143"/>
    <x v="1"/>
    <s v="gcc"/>
    <n v="2"/>
  </r>
  <r>
    <x v="1"/>
    <x v="0"/>
    <x v="143"/>
    <x v="4"/>
    <s v="gcc"/>
    <n v="1"/>
  </r>
  <r>
    <x v="1"/>
    <x v="0"/>
    <x v="69"/>
    <x v="4"/>
    <s v="gcc"/>
    <n v="2"/>
  </r>
  <r>
    <x v="1"/>
    <x v="0"/>
    <x v="140"/>
    <x v="0"/>
    <s v="gcc"/>
    <n v="2"/>
  </r>
  <r>
    <x v="1"/>
    <x v="0"/>
    <x v="140"/>
    <x v="1"/>
    <s v="gcc"/>
    <n v="3"/>
  </r>
  <r>
    <x v="1"/>
    <x v="0"/>
    <x v="23"/>
    <x v="5"/>
    <s v="gcc"/>
    <n v="2"/>
  </r>
  <r>
    <x v="1"/>
    <x v="0"/>
    <x v="23"/>
    <x v="6"/>
    <s v="gcc"/>
    <n v="2"/>
  </r>
  <r>
    <x v="1"/>
    <x v="0"/>
    <x v="23"/>
    <x v="4"/>
    <s v="gcc"/>
    <n v="1"/>
  </r>
  <r>
    <x v="1"/>
    <x v="0"/>
    <x v="65"/>
    <x v="1"/>
    <s v="gcc"/>
    <n v="4"/>
  </r>
  <r>
    <x v="1"/>
    <x v="0"/>
    <x v="31"/>
    <x v="1"/>
    <s v="gcc"/>
    <n v="4"/>
  </r>
  <r>
    <x v="1"/>
    <x v="0"/>
    <x v="111"/>
    <x v="3"/>
    <s v="gcc"/>
    <n v="6"/>
  </r>
  <r>
    <x v="1"/>
    <x v="0"/>
    <x v="13"/>
    <x v="1"/>
    <s v="gcc"/>
    <n v="2"/>
  </r>
  <r>
    <x v="1"/>
    <x v="0"/>
    <x v="185"/>
    <x v="0"/>
    <s v="gcc"/>
    <n v="4"/>
  </r>
  <r>
    <x v="1"/>
    <x v="0"/>
    <x v="185"/>
    <x v="1"/>
    <s v="gcc"/>
    <n v="2"/>
  </r>
  <r>
    <x v="1"/>
    <x v="0"/>
    <x v="186"/>
    <x v="0"/>
    <s v="gcc"/>
    <n v="1"/>
  </r>
  <r>
    <x v="1"/>
    <x v="0"/>
    <x v="62"/>
    <x v="1"/>
    <s v="gcc"/>
    <n v="1"/>
  </r>
  <r>
    <x v="1"/>
    <x v="0"/>
    <x v="62"/>
    <x v="5"/>
    <s v="gcc"/>
    <n v="6"/>
  </r>
  <r>
    <x v="1"/>
    <x v="0"/>
    <x v="62"/>
    <x v="6"/>
    <s v="gcc"/>
    <n v="6"/>
  </r>
  <r>
    <x v="1"/>
    <x v="0"/>
    <x v="62"/>
    <x v="2"/>
    <s v="gcc"/>
    <n v="2"/>
  </r>
  <r>
    <x v="1"/>
    <x v="0"/>
    <x v="62"/>
    <x v="3"/>
    <s v="gcc"/>
    <n v="1"/>
  </r>
  <r>
    <x v="1"/>
    <x v="0"/>
    <x v="62"/>
    <x v="4"/>
    <s v="gcc"/>
    <n v="2"/>
  </r>
  <r>
    <x v="1"/>
    <x v="0"/>
    <x v="76"/>
    <x v="1"/>
    <s v="gcc"/>
    <n v="3"/>
  </r>
  <r>
    <x v="1"/>
    <x v="0"/>
    <x v="79"/>
    <x v="1"/>
    <s v="gcc"/>
    <n v="2"/>
  </r>
  <r>
    <x v="1"/>
    <x v="0"/>
    <x v="20"/>
    <x v="1"/>
    <s v="gcc"/>
    <n v="2"/>
  </r>
  <r>
    <x v="1"/>
    <x v="0"/>
    <x v="135"/>
    <x v="1"/>
    <s v="gcc"/>
    <n v="1"/>
  </r>
  <r>
    <x v="1"/>
    <x v="0"/>
    <x v="135"/>
    <x v="4"/>
    <s v="gcc"/>
    <n v="1"/>
  </r>
  <r>
    <x v="1"/>
    <x v="0"/>
    <x v="135"/>
    <x v="2"/>
    <s v="gcc"/>
    <n v="1"/>
  </r>
  <r>
    <x v="1"/>
    <x v="0"/>
    <x v="93"/>
    <x v="0"/>
    <s v="gcc"/>
    <n v="2"/>
  </r>
  <r>
    <x v="1"/>
    <x v="0"/>
    <x v="93"/>
    <x v="1"/>
    <s v="gcc"/>
    <n v="1"/>
  </r>
  <r>
    <x v="1"/>
    <x v="0"/>
    <x v="187"/>
    <x v="4"/>
    <s v="gcc"/>
    <n v="1"/>
  </r>
  <r>
    <x v="1"/>
    <x v="0"/>
    <x v="141"/>
    <x v="1"/>
    <s v="gcc"/>
    <n v="1"/>
  </r>
  <r>
    <x v="1"/>
    <x v="0"/>
    <x v="188"/>
    <x v="0"/>
    <s v="gcc"/>
    <n v="4"/>
  </r>
  <r>
    <x v="1"/>
    <x v="0"/>
    <x v="189"/>
    <x v="0"/>
    <s v="gcc"/>
    <n v="1"/>
  </r>
  <r>
    <x v="1"/>
    <x v="0"/>
    <x v="190"/>
    <x v="0"/>
    <s v="gcc"/>
    <n v="3"/>
  </r>
  <r>
    <x v="1"/>
    <x v="0"/>
    <x v="155"/>
    <x v="1"/>
    <s v="gcc"/>
    <n v="6"/>
  </r>
  <r>
    <x v="1"/>
    <x v="0"/>
    <x v="70"/>
    <x v="0"/>
    <s v="gcc"/>
    <n v="2"/>
  </r>
  <r>
    <x v="1"/>
    <x v="0"/>
    <x v="191"/>
    <x v="1"/>
    <s v="gcc"/>
    <n v="1"/>
  </r>
  <r>
    <x v="1"/>
    <x v="0"/>
    <x v="98"/>
    <x v="1"/>
    <s v="gcc"/>
    <n v="2"/>
  </r>
  <r>
    <x v="1"/>
    <x v="0"/>
    <x v="5"/>
    <x v="1"/>
    <s v="gcc"/>
    <n v="1"/>
  </r>
  <r>
    <x v="1"/>
    <x v="0"/>
    <x v="158"/>
    <x v="1"/>
    <s v="gcc"/>
    <n v="4"/>
  </r>
  <r>
    <x v="1"/>
    <x v="0"/>
    <x v="192"/>
    <x v="0"/>
    <s v="gcc"/>
    <n v="1"/>
  </r>
  <r>
    <x v="1"/>
    <x v="0"/>
    <x v="26"/>
    <x v="1"/>
    <s v="gcc"/>
    <n v="1"/>
  </r>
  <r>
    <x v="1"/>
    <x v="0"/>
    <x v="193"/>
    <x v="0"/>
    <s v="gcc"/>
    <n v="2"/>
  </r>
  <r>
    <x v="1"/>
    <x v="0"/>
    <x v="125"/>
    <x v="1"/>
    <s v="gcc"/>
    <n v="3"/>
  </r>
  <r>
    <x v="1"/>
    <x v="0"/>
    <x v="50"/>
    <x v="1"/>
    <s v="gcc"/>
    <n v="2"/>
  </r>
  <r>
    <x v="1"/>
    <x v="0"/>
    <x v="108"/>
    <x v="0"/>
    <s v="gcc"/>
    <n v="2"/>
  </r>
  <r>
    <x v="1"/>
    <x v="0"/>
    <x v="108"/>
    <x v="1"/>
    <s v="gcc"/>
    <n v="1"/>
  </r>
  <r>
    <x v="1"/>
    <x v="0"/>
    <x v="80"/>
    <x v="0"/>
    <s v="gcc"/>
    <n v="2"/>
  </r>
  <r>
    <x v="1"/>
    <x v="0"/>
    <x v="41"/>
    <x v="1"/>
    <s v="gcc"/>
    <n v="1"/>
  </r>
  <r>
    <x v="1"/>
    <x v="0"/>
    <x v="133"/>
    <x v="8"/>
    <s v="gcc"/>
    <n v="1"/>
  </r>
  <r>
    <x v="1"/>
    <x v="0"/>
    <x v="133"/>
    <x v="3"/>
    <s v="gcc"/>
    <n v="1"/>
  </r>
  <r>
    <x v="1"/>
    <x v="0"/>
    <x v="194"/>
    <x v="1"/>
    <s v="gcc"/>
    <n v="3"/>
  </r>
  <r>
    <x v="1"/>
    <x v="0"/>
    <x v="195"/>
    <x v="0"/>
    <s v="gcc"/>
    <n v="1"/>
  </r>
  <r>
    <x v="1"/>
    <x v="0"/>
    <x v="51"/>
    <x v="1"/>
    <s v="gcc"/>
    <n v="1"/>
  </r>
  <r>
    <x v="1"/>
    <x v="0"/>
    <x v="57"/>
    <x v="0"/>
    <s v="gcc"/>
    <n v="1"/>
  </r>
  <r>
    <x v="1"/>
    <x v="0"/>
    <x v="44"/>
    <x v="1"/>
    <s v="gcc"/>
    <n v="1"/>
  </r>
  <r>
    <x v="1"/>
    <x v="0"/>
    <x v="24"/>
    <x v="1"/>
    <s v="gcc"/>
    <n v="1"/>
  </r>
  <r>
    <x v="1"/>
    <x v="0"/>
    <x v="103"/>
    <x v="1"/>
    <s v="gcc"/>
    <n v="2"/>
  </r>
  <r>
    <x v="1"/>
    <x v="0"/>
    <x v="196"/>
    <x v="1"/>
    <s v="gcc"/>
    <n v="3"/>
  </r>
  <r>
    <x v="1"/>
    <x v="0"/>
    <x v="136"/>
    <x v="1"/>
    <s v="gcc"/>
    <n v="1"/>
  </r>
  <r>
    <x v="1"/>
    <x v="0"/>
    <x v="197"/>
    <x v="1"/>
    <s v="gcc"/>
    <n v="2"/>
  </r>
  <r>
    <x v="1"/>
    <x v="0"/>
    <x v="198"/>
    <x v="1"/>
    <s v="gcc"/>
    <n v="6"/>
  </r>
  <r>
    <x v="1"/>
    <x v="0"/>
    <x v="198"/>
    <x v="4"/>
    <s v="gcc"/>
    <n v="3"/>
  </r>
  <r>
    <x v="1"/>
    <x v="0"/>
    <x v="139"/>
    <x v="3"/>
    <s v="gcc"/>
    <n v="4"/>
  </r>
  <r>
    <x v="1"/>
    <x v="0"/>
    <x v="59"/>
    <x v="0"/>
    <s v="gcc"/>
    <n v="2"/>
  </r>
  <r>
    <x v="1"/>
    <x v="0"/>
    <x v="107"/>
    <x v="1"/>
    <s v="gcc"/>
    <n v="1"/>
  </r>
  <r>
    <x v="1"/>
    <x v="0"/>
    <x v="153"/>
    <x v="0"/>
    <s v="gcc"/>
    <n v="2"/>
  </r>
  <r>
    <x v="1"/>
    <x v="0"/>
    <x v="105"/>
    <x v="1"/>
    <s v="gcc"/>
    <n v="1"/>
  </r>
  <r>
    <x v="1"/>
    <x v="0"/>
    <x v="113"/>
    <x v="1"/>
    <s v="gcc"/>
    <n v="1"/>
  </r>
  <r>
    <x v="1"/>
    <x v="0"/>
    <x v="110"/>
    <x v="1"/>
    <s v="gcc"/>
    <n v="1"/>
  </r>
  <r>
    <x v="1"/>
    <x v="0"/>
    <x v="34"/>
    <x v="3"/>
    <s v="gcc"/>
    <n v="4"/>
  </r>
  <r>
    <x v="1"/>
    <x v="0"/>
    <x v="17"/>
    <x v="1"/>
    <s v="gcc"/>
    <n v="1"/>
  </r>
  <r>
    <x v="1"/>
    <x v="1"/>
    <x v="91"/>
    <x v="4"/>
    <s v="gcc"/>
    <n v="1"/>
  </r>
  <r>
    <x v="1"/>
    <x v="1"/>
    <x v="89"/>
    <x v="2"/>
    <s v="gcc"/>
    <n v="1"/>
  </r>
  <r>
    <x v="1"/>
    <x v="1"/>
    <x v="89"/>
    <x v="3"/>
    <s v="gcc"/>
    <n v="2"/>
  </r>
  <r>
    <x v="1"/>
    <x v="1"/>
    <x v="25"/>
    <x v="2"/>
    <s v="gcc"/>
    <n v="2"/>
  </r>
  <r>
    <x v="1"/>
    <x v="1"/>
    <x v="38"/>
    <x v="4"/>
    <s v="gcc"/>
    <n v="1"/>
  </r>
  <r>
    <x v="1"/>
    <x v="1"/>
    <x v="100"/>
    <x v="2"/>
    <s v="gcc"/>
    <n v="1"/>
  </r>
  <r>
    <x v="1"/>
    <x v="1"/>
    <x v="166"/>
    <x v="2"/>
    <s v="gcc"/>
    <n v="2"/>
  </r>
  <r>
    <x v="1"/>
    <x v="1"/>
    <x v="169"/>
    <x v="4"/>
    <s v="gcc"/>
    <n v="2"/>
  </r>
  <r>
    <x v="1"/>
    <x v="1"/>
    <x v="60"/>
    <x v="3"/>
    <s v="gcc"/>
    <n v="2"/>
  </r>
  <r>
    <x v="1"/>
    <x v="1"/>
    <x v="60"/>
    <x v="4"/>
    <s v="gcc"/>
    <n v="2"/>
  </r>
  <r>
    <x v="1"/>
    <x v="1"/>
    <x v="68"/>
    <x v="2"/>
    <s v="gcc"/>
    <n v="2"/>
  </r>
  <r>
    <x v="1"/>
    <x v="1"/>
    <x v="68"/>
    <x v="4"/>
    <s v="gcc"/>
    <n v="2"/>
  </r>
  <r>
    <x v="1"/>
    <x v="1"/>
    <x v="178"/>
    <x v="9"/>
    <s v="gcc"/>
    <n v="1"/>
  </r>
  <r>
    <x v="1"/>
    <x v="1"/>
    <x v="180"/>
    <x v="2"/>
    <s v="gcc"/>
    <n v="2"/>
  </r>
  <r>
    <x v="1"/>
    <x v="1"/>
    <x v="115"/>
    <x v="3"/>
    <s v="gcc"/>
    <n v="3"/>
  </r>
  <r>
    <x v="1"/>
    <x v="1"/>
    <x v="75"/>
    <x v="2"/>
    <s v="gcc"/>
    <n v="2"/>
  </r>
  <r>
    <x v="1"/>
    <x v="1"/>
    <x v="49"/>
    <x v="3"/>
    <s v="gcc"/>
    <n v="2"/>
  </r>
  <r>
    <x v="1"/>
    <x v="1"/>
    <x v="62"/>
    <x v="5"/>
    <s v="gcc"/>
    <n v="8"/>
  </r>
  <r>
    <x v="1"/>
    <x v="1"/>
    <x v="62"/>
    <x v="6"/>
    <s v="gcc"/>
    <n v="8"/>
  </r>
  <r>
    <x v="1"/>
    <x v="1"/>
    <x v="62"/>
    <x v="2"/>
    <s v="gcc"/>
    <n v="2"/>
  </r>
  <r>
    <x v="1"/>
    <x v="1"/>
    <x v="62"/>
    <x v="4"/>
    <s v="gcc"/>
    <n v="1"/>
  </r>
  <r>
    <x v="1"/>
    <x v="1"/>
    <x v="76"/>
    <x v="2"/>
    <s v="gcc"/>
    <n v="2"/>
  </r>
  <r>
    <x v="1"/>
    <x v="1"/>
    <x v="135"/>
    <x v="4"/>
    <s v="gcc"/>
    <n v="1"/>
  </r>
  <r>
    <x v="1"/>
    <x v="1"/>
    <x v="158"/>
    <x v="3"/>
    <s v="gcc"/>
    <n v="2"/>
  </r>
  <r>
    <x v="1"/>
    <x v="1"/>
    <x v="198"/>
    <x v="1"/>
    <s v="gcc"/>
    <n v="3"/>
  </r>
  <r>
    <x v="1"/>
    <x v="2"/>
    <x v="38"/>
    <x v="4"/>
    <s v="gcc"/>
    <n v="1"/>
  </r>
  <r>
    <x v="1"/>
    <x v="2"/>
    <x v="178"/>
    <x v="7"/>
    <s v="gcc"/>
    <n v="4"/>
  </r>
  <r>
    <x v="1"/>
    <x v="2"/>
    <x v="62"/>
    <x v="2"/>
    <s v="gcc"/>
    <n v="1"/>
  </r>
  <r>
    <x v="1"/>
    <x v="2"/>
    <x v="76"/>
    <x v="2"/>
    <s v="gcc"/>
    <n v="2"/>
  </r>
  <r>
    <x v="1"/>
    <x v="2"/>
    <x v="158"/>
    <x v="2"/>
    <s v="gcc"/>
    <n v="1"/>
  </r>
  <r>
    <x v="1"/>
    <x v="2"/>
    <x v="158"/>
    <x v="3"/>
    <s v="gcc"/>
    <n v="2"/>
  </r>
  <r>
    <x v="1"/>
    <x v="3"/>
    <x v="38"/>
    <x v="4"/>
    <s v="gcc"/>
    <n v="1"/>
  </r>
  <r>
    <x v="2"/>
    <x v="0"/>
    <x v="74"/>
    <x v="1"/>
    <s v="gcc"/>
    <n v="3"/>
  </r>
  <r>
    <x v="2"/>
    <x v="0"/>
    <x v="101"/>
    <x v="1"/>
    <s v="gcc"/>
    <n v="1"/>
  </r>
  <r>
    <x v="2"/>
    <x v="0"/>
    <x v="36"/>
    <x v="1"/>
    <s v="gcc"/>
    <n v="1"/>
  </r>
  <r>
    <x v="2"/>
    <x v="0"/>
    <x v="91"/>
    <x v="3"/>
    <s v="gcc"/>
    <n v="1"/>
  </r>
  <r>
    <x v="2"/>
    <x v="0"/>
    <x v="61"/>
    <x v="1"/>
    <s v="gcc"/>
    <n v="2"/>
  </r>
  <r>
    <x v="2"/>
    <x v="0"/>
    <x v="99"/>
    <x v="0"/>
    <s v="gcc"/>
    <n v="2"/>
  </r>
  <r>
    <x v="2"/>
    <x v="0"/>
    <x v="99"/>
    <x v="1"/>
    <s v="gcc"/>
    <n v="1"/>
  </r>
  <r>
    <x v="2"/>
    <x v="0"/>
    <x v="159"/>
    <x v="1"/>
    <s v="gcc"/>
    <n v="2"/>
  </r>
  <r>
    <x v="2"/>
    <x v="0"/>
    <x v="3"/>
    <x v="1"/>
    <s v="gcc"/>
    <n v="2"/>
  </r>
  <r>
    <x v="2"/>
    <x v="0"/>
    <x v="121"/>
    <x v="1"/>
    <s v="gcc"/>
    <n v="1"/>
  </r>
  <r>
    <x v="2"/>
    <x v="0"/>
    <x v="118"/>
    <x v="1"/>
    <s v="gcc"/>
    <n v="1"/>
  </r>
  <r>
    <x v="2"/>
    <x v="0"/>
    <x v="104"/>
    <x v="1"/>
    <s v="gcc"/>
    <n v="2"/>
  </r>
  <r>
    <x v="2"/>
    <x v="0"/>
    <x v="86"/>
    <x v="1"/>
    <s v="gcc"/>
    <n v="2"/>
  </r>
  <r>
    <x v="2"/>
    <x v="0"/>
    <x v="89"/>
    <x v="1"/>
    <s v="gcc"/>
    <n v="1"/>
  </r>
  <r>
    <x v="2"/>
    <x v="0"/>
    <x v="53"/>
    <x v="1"/>
    <s v="gcc"/>
    <n v="1"/>
  </r>
  <r>
    <x v="2"/>
    <x v="0"/>
    <x v="25"/>
    <x v="1"/>
    <s v="gcc"/>
    <n v="2"/>
  </r>
  <r>
    <x v="2"/>
    <x v="0"/>
    <x v="38"/>
    <x v="1"/>
    <s v="gcc"/>
    <n v="4"/>
  </r>
  <r>
    <x v="2"/>
    <x v="0"/>
    <x v="38"/>
    <x v="4"/>
    <s v="gcc"/>
    <n v="1"/>
  </r>
  <r>
    <x v="2"/>
    <x v="0"/>
    <x v="38"/>
    <x v="2"/>
    <s v="gcc"/>
    <n v="4"/>
  </r>
  <r>
    <x v="2"/>
    <x v="0"/>
    <x v="199"/>
    <x v="1"/>
    <s v="gcc"/>
    <n v="1"/>
  </r>
  <r>
    <x v="2"/>
    <x v="0"/>
    <x v="162"/>
    <x v="0"/>
    <s v="gcc"/>
    <n v="2"/>
  </r>
  <r>
    <x v="2"/>
    <x v="0"/>
    <x v="146"/>
    <x v="1"/>
    <s v="gcc"/>
    <n v="1"/>
  </r>
  <r>
    <x v="2"/>
    <x v="0"/>
    <x v="100"/>
    <x v="1"/>
    <s v="gcc"/>
    <n v="2"/>
  </r>
  <r>
    <x v="2"/>
    <x v="0"/>
    <x v="129"/>
    <x v="4"/>
    <s v="gcc"/>
    <n v="2"/>
  </r>
  <r>
    <x v="2"/>
    <x v="0"/>
    <x v="164"/>
    <x v="1"/>
    <s v="gcc"/>
    <n v="1"/>
  </r>
  <r>
    <x v="2"/>
    <x v="0"/>
    <x v="11"/>
    <x v="1"/>
    <s v="gcc"/>
    <n v="1"/>
  </r>
  <r>
    <x v="2"/>
    <x v="0"/>
    <x v="112"/>
    <x v="1"/>
    <s v="gcc"/>
    <n v="2"/>
  </r>
  <r>
    <x v="2"/>
    <x v="0"/>
    <x v="112"/>
    <x v="4"/>
    <s v="gcc"/>
    <n v="1"/>
  </r>
  <r>
    <x v="2"/>
    <x v="0"/>
    <x v="150"/>
    <x v="1"/>
    <s v="gcc"/>
    <n v="1"/>
  </r>
  <r>
    <x v="2"/>
    <x v="0"/>
    <x v="200"/>
    <x v="1"/>
    <s v="gcc"/>
    <n v="1"/>
  </r>
  <r>
    <x v="2"/>
    <x v="0"/>
    <x v="201"/>
    <x v="0"/>
    <s v="gcc"/>
    <n v="4"/>
  </r>
  <r>
    <x v="2"/>
    <x v="0"/>
    <x v="201"/>
    <x v="1"/>
    <s v="gcc"/>
    <n v="2"/>
  </r>
  <r>
    <x v="2"/>
    <x v="0"/>
    <x v="48"/>
    <x v="1"/>
    <s v="gcc"/>
    <n v="2"/>
  </r>
  <r>
    <x v="2"/>
    <x v="0"/>
    <x v="147"/>
    <x v="4"/>
    <s v="gcc"/>
    <n v="2"/>
  </r>
  <r>
    <x v="2"/>
    <x v="0"/>
    <x v="145"/>
    <x v="1"/>
    <s v="gcc"/>
    <n v="1"/>
  </r>
  <r>
    <x v="2"/>
    <x v="0"/>
    <x v="138"/>
    <x v="1"/>
    <s v="gcc"/>
    <n v="1"/>
  </r>
  <r>
    <x v="2"/>
    <x v="0"/>
    <x v="202"/>
    <x v="1"/>
    <s v="gcc"/>
    <n v="1"/>
  </r>
  <r>
    <x v="2"/>
    <x v="0"/>
    <x v="102"/>
    <x v="1"/>
    <s v="gcc"/>
    <n v="1"/>
  </r>
  <r>
    <x v="2"/>
    <x v="0"/>
    <x v="102"/>
    <x v="2"/>
    <s v="gcc"/>
    <n v="1"/>
  </r>
  <r>
    <x v="2"/>
    <x v="0"/>
    <x v="168"/>
    <x v="0"/>
    <s v="gcc"/>
    <n v="1"/>
  </r>
  <r>
    <x v="2"/>
    <x v="0"/>
    <x v="58"/>
    <x v="1"/>
    <s v="gcc"/>
    <n v="1"/>
  </r>
  <r>
    <x v="2"/>
    <x v="0"/>
    <x v="203"/>
    <x v="1"/>
    <s v="gcc"/>
    <n v="1"/>
  </r>
  <r>
    <x v="2"/>
    <x v="0"/>
    <x v="169"/>
    <x v="1"/>
    <s v="gcc"/>
    <n v="4"/>
  </r>
  <r>
    <x v="2"/>
    <x v="0"/>
    <x v="169"/>
    <x v="4"/>
    <s v="gcc"/>
    <n v="2"/>
  </r>
  <r>
    <x v="2"/>
    <x v="0"/>
    <x v="131"/>
    <x v="1"/>
    <s v="gcc"/>
    <n v="1"/>
  </r>
  <r>
    <x v="2"/>
    <x v="0"/>
    <x v="32"/>
    <x v="1"/>
    <s v="gcc"/>
    <n v="2"/>
  </r>
  <r>
    <x v="2"/>
    <x v="0"/>
    <x v="29"/>
    <x v="1"/>
    <s v="gcc"/>
    <n v="1"/>
  </r>
  <r>
    <x v="2"/>
    <x v="0"/>
    <x v="2"/>
    <x v="1"/>
    <s v="gcc"/>
    <n v="1"/>
  </r>
  <r>
    <x v="2"/>
    <x v="0"/>
    <x v="6"/>
    <x v="0"/>
    <s v="gcc"/>
    <n v="2"/>
  </r>
  <r>
    <x v="2"/>
    <x v="0"/>
    <x v="10"/>
    <x v="1"/>
    <s v="gcc"/>
    <n v="1"/>
  </r>
  <r>
    <x v="2"/>
    <x v="0"/>
    <x v="10"/>
    <x v="4"/>
    <s v="gcc"/>
    <n v="1"/>
  </r>
  <r>
    <x v="2"/>
    <x v="0"/>
    <x v="204"/>
    <x v="0"/>
    <s v="gcc"/>
    <n v="2"/>
  </r>
  <r>
    <x v="2"/>
    <x v="0"/>
    <x v="78"/>
    <x v="0"/>
    <s v="gcc"/>
    <n v="4"/>
  </r>
  <r>
    <x v="2"/>
    <x v="0"/>
    <x v="78"/>
    <x v="1"/>
    <s v="gcc"/>
    <n v="3"/>
  </r>
  <r>
    <x v="2"/>
    <x v="0"/>
    <x v="171"/>
    <x v="0"/>
    <s v="gcc"/>
    <n v="4"/>
  </r>
  <r>
    <x v="2"/>
    <x v="0"/>
    <x v="171"/>
    <x v="1"/>
    <s v="gcc"/>
    <n v="1"/>
  </r>
  <r>
    <x v="2"/>
    <x v="0"/>
    <x v="152"/>
    <x v="0"/>
    <s v="gcc"/>
    <n v="2"/>
  </r>
  <r>
    <x v="2"/>
    <x v="0"/>
    <x v="173"/>
    <x v="1"/>
    <s v="gcc"/>
    <n v="3"/>
  </r>
  <r>
    <x v="2"/>
    <x v="0"/>
    <x v="174"/>
    <x v="1"/>
    <s v="gcc"/>
    <n v="1"/>
  </r>
  <r>
    <x v="2"/>
    <x v="0"/>
    <x v="84"/>
    <x v="0"/>
    <s v="gcc"/>
    <n v="2"/>
  </r>
  <r>
    <x v="2"/>
    <x v="0"/>
    <x v="84"/>
    <x v="1"/>
    <s v="gcc"/>
    <n v="1"/>
  </r>
  <r>
    <x v="2"/>
    <x v="0"/>
    <x v="9"/>
    <x v="4"/>
    <s v="gcc"/>
    <n v="3"/>
  </r>
  <r>
    <x v="2"/>
    <x v="0"/>
    <x v="95"/>
    <x v="0"/>
    <s v="gcc"/>
    <n v="1"/>
  </r>
  <r>
    <x v="2"/>
    <x v="0"/>
    <x v="175"/>
    <x v="0"/>
    <s v="gcc"/>
    <n v="1"/>
  </r>
  <r>
    <x v="2"/>
    <x v="0"/>
    <x v="205"/>
    <x v="1"/>
    <s v="gcc"/>
    <n v="1"/>
  </r>
  <r>
    <x v="2"/>
    <x v="0"/>
    <x v="206"/>
    <x v="1"/>
    <s v="gcc"/>
    <n v="1"/>
  </r>
  <r>
    <x v="2"/>
    <x v="0"/>
    <x v="67"/>
    <x v="1"/>
    <s v="gcc"/>
    <n v="1"/>
  </r>
  <r>
    <x v="2"/>
    <x v="0"/>
    <x v="73"/>
    <x v="0"/>
    <s v="gcc"/>
    <n v="2"/>
  </r>
  <r>
    <x v="2"/>
    <x v="0"/>
    <x v="176"/>
    <x v="1"/>
    <s v="gcc"/>
    <n v="1"/>
  </r>
  <r>
    <x v="2"/>
    <x v="0"/>
    <x v="119"/>
    <x v="1"/>
    <s v="gcc"/>
    <n v="1"/>
  </r>
  <r>
    <x v="2"/>
    <x v="0"/>
    <x v="28"/>
    <x v="4"/>
    <s v="gcc"/>
    <n v="2"/>
  </r>
  <r>
    <x v="2"/>
    <x v="0"/>
    <x v="63"/>
    <x v="1"/>
    <s v="gcc"/>
    <n v="1"/>
  </r>
  <r>
    <x v="2"/>
    <x v="0"/>
    <x v="114"/>
    <x v="0"/>
    <s v="gcc"/>
    <n v="1"/>
  </r>
  <r>
    <x v="2"/>
    <x v="0"/>
    <x v="15"/>
    <x v="1"/>
    <s v="gcc"/>
    <n v="2"/>
  </r>
  <r>
    <x v="2"/>
    <x v="0"/>
    <x v="15"/>
    <x v="2"/>
    <s v="gcc"/>
    <n v="1"/>
  </r>
  <r>
    <x v="2"/>
    <x v="0"/>
    <x v="127"/>
    <x v="1"/>
    <s v="gcc"/>
    <n v="1"/>
  </r>
  <r>
    <x v="2"/>
    <x v="0"/>
    <x v="43"/>
    <x v="8"/>
    <s v="gcc"/>
    <n v="1"/>
  </r>
  <r>
    <x v="2"/>
    <x v="0"/>
    <x v="8"/>
    <x v="1"/>
    <s v="gcc"/>
    <n v="1"/>
  </r>
  <r>
    <x v="2"/>
    <x v="0"/>
    <x v="142"/>
    <x v="1"/>
    <s v="gcc"/>
    <n v="2"/>
  </r>
  <r>
    <x v="2"/>
    <x v="0"/>
    <x v="4"/>
    <x v="1"/>
    <s v="gcc"/>
    <n v="1"/>
  </r>
  <r>
    <x v="2"/>
    <x v="0"/>
    <x v="132"/>
    <x v="0"/>
    <s v="gcc"/>
    <n v="5"/>
  </r>
  <r>
    <x v="2"/>
    <x v="0"/>
    <x v="132"/>
    <x v="1"/>
    <s v="gcc"/>
    <n v="2"/>
  </r>
  <r>
    <x v="2"/>
    <x v="0"/>
    <x v="177"/>
    <x v="1"/>
    <s v="gcc"/>
    <n v="7"/>
  </r>
  <r>
    <x v="2"/>
    <x v="0"/>
    <x v="177"/>
    <x v="4"/>
    <s v="gcc"/>
    <n v="4"/>
  </r>
  <r>
    <x v="2"/>
    <x v="0"/>
    <x v="178"/>
    <x v="7"/>
    <s v="gcc"/>
    <n v="4"/>
  </r>
  <r>
    <x v="2"/>
    <x v="0"/>
    <x v="207"/>
    <x v="1"/>
    <s v="gcc"/>
    <n v="1"/>
  </r>
  <r>
    <x v="2"/>
    <x v="0"/>
    <x v="16"/>
    <x v="1"/>
    <s v="gcc"/>
    <n v="2"/>
  </r>
  <r>
    <x v="2"/>
    <x v="0"/>
    <x v="16"/>
    <x v="2"/>
    <s v="gcc"/>
    <n v="3"/>
  </r>
  <r>
    <x v="2"/>
    <x v="0"/>
    <x v="117"/>
    <x v="1"/>
    <s v="gcc"/>
    <n v="1"/>
  </r>
  <r>
    <x v="2"/>
    <x v="0"/>
    <x v="22"/>
    <x v="1"/>
    <s v="gcc"/>
    <n v="1"/>
  </r>
  <r>
    <x v="2"/>
    <x v="0"/>
    <x v="64"/>
    <x v="0"/>
    <s v="gcc"/>
    <n v="2"/>
  </r>
  <r>
    <x v="2"/>
    <x v="0"/>
    <x v="64"/>
    <x v="1"/>
    <s v="gcc"/>
    <n v="1"/>
  </r>
  <r>
    <x v="2"/>
    <x v="0"/>
    <x v="156"/>
    <x v="1"/>
    <s v="gcc"/>
    <n v="1"/>
  </r>
  <r>
    <x v="2"/>
    <x v="0"/>
    <x v="56"/>
    <x v="3"/>
    <s v="gcc"/>
    <n v="1"/>
  </r>
  <r>
    <x v="2"/>
    <x v="0"/>
    <x v="115"/>
    <x v="1"/>
    <s v="gcc"/>
    <n v="1"/>
  </r>
  <r>
    <x v="2"/>
    <x v="0"/>
    <x v="71"/>
    <x v="1"/>
    <s v="gcc"/>
    <n v="1"/>
  </r>
  <r>
    <x v="2"/>
    <x v="0"/>
    <x v="151"/>
    <x v="4"/>
    <s v="gcc"/>
    <n v="2"/>
  </r>
  <r>
    <x v="2"/>
    <x v="0"/>
    <x v="144"/>
    <x v="1"/>
    <s v="gcc"/>
    <n v="4"/>
  </r>
  <r>
    <x v="2"/>
    <x v="0"/>
    <x v="208"/>
    <x v="1"/>
    <s v="gcc"/>
    <n v="1"/>
  </r>
  <r>
    <x v="2"/>
    <x v="0"/>
    <x v="128"/>
    <x v="1"/>
    <s v="gcc"/>
    <n v="4"/>
  </r>
  <r>
    <x v="2"/>
    <x v="0"/>
    <x v="128"/>
    <x v="4"/>
    <s v="gcc"/>
    <n v="1"/>
  </r>
  <r>
    <x v="2"/>
    <x v="0"/>
    <x v="75"/>
    <x v="1"/>
    <s v="gcc"/>
    <n v="2"/>
  </r>
  <r>
    <x v="2"/>
    <x v="0"/>
    <x v="75"/>
    <x v="4"/>
    <s v="gcc"/>
    <n v="1"/>
  </r>
  <r>
    <x v="2"/>
    <x v="0"/>
    <x v="49"/>
    <x v="1"/>
    <s v="gcc"/>
    <n v="1"/>
  </r>
  <r>
    <x v="2"/>
    <x v="0"/>
    <x v="149"/>
    <x v="1"/>
    <s v="gcc"/>
    <n v="1"/>
  </r>
  <r>
    <x v="2"/>
    <x v="0"/>
    <x v="209"/>
    <x v="1"/>
    <s v="gcc"/>
    <n v="1"/>
  </r>
  <r>
    <x v="2"/>
    <x v="0"/>
    <x v="47"/>
    <x v="4"/>
    <s v="gcc"/>
    <n v="2"/>
  </r>
  <r>
    <x v="2"/>
    <x v="0"/>
    <x v="27"/>
    <x v="1"/>
    <s v="gcc"/>
    <n v="1"/>
  </r>
  <r>
    <x v="2"/>
    <x v="0"/>
    <x v="182"/>
    <x v="3"/>
    <s v="gcc"/>
    <n v="1"/>
  </r>
  <r>
    <x v="2"/>
    <x v="0"/>
    <x v="183"/>
    <x v="0"/>
    <s v="gcc"/>
    <n v="2"/>
  </r>
  <r>
    <x v="2"/>
    <x v="0"/>
    <x v="109"/>
    <x v="1"/>
    <s v="gcc"/>
    <n v="1"/>
  </r>
  <r>
    <x v="2"/>
    <x v="0"/>
    <x v="52"/>
    <x v="0"/>
    <s v="gcc"/>
    <n v="2"/>
  </r>
  <r>
    <x v="2"/>
    <x v="0"/>
    <x v="52"/>
    <x v="1"/>
    <s v="gcc"/>
    <n v="1"/>
  </r>
  <r>
    <x v="2"/>
    <x v="0"/>
    <x v="124"/>
    <x v="0"/>
    <s v="gcc"/>
    <n v="2"/>
  </r>
  <r>
    <x v="2"/>
    <x v="0"/>
    <x v="124"/>
    <x v="2"/>
    <s v="gcc"/>
    <n v="4"/>
  </r>
  <r>
    <x v="2"/>
    <x v="0"/>
    <x v="210"/>
    <x v="0"/>
    <s v="gcc"/>
    <n v="4"/>
  </r>
  <r>
    <x v="2"/>
    <x v="0"/>
    <x v="122"/>
    <x v="0"/>
    <s v="gcc"/>
    <n v="1"/>
  </r>
  <r>
    <x v="2"/>
    <x v="0"/>
    <x v="106"/>
    <x v="1"/>
    <s v="gcc"/>
    <n v="1"/>
  </r>
  <r>
    <x v="2"/>
    <x v="0"/>
    <x v="106"/>
    <x v="2"/>
    <s v="gcc"/>
    <n v="1"/>
  </r>
  <r>
    <x v="2"/>
    <x v="0"/>
    <x v="130"/>
    <x v="0"/>
    <s v="gcc"/>
    <n v="4"/>
  </r>
  <r>
    <x v="2"/>
    <x v="0"/>
    <x v="90"/>
    <x v="1"/>
    <s v="gcc"/>
    <n v="1"/>
  </r>
  <r>
    <x v="2"/>
    <x v="0"/>
    <x v="148"/>
    <x v="0"/>
    <s v="gcc"/>
    <n v="2"/>
  </r>
  <r>
    <x v="2"/>
    <x v="0"/>
    <x v="18"/>
    <x v="1"/>
    <s v="gcc"/>
    <n v="2"/>
  </r>
  <r>
    <x v="2"/>
    <x v="0"/>
    <x v="154"/>
    <x v="1"/>
    <s v="gcc"/>
    <n v="3"/>
  </r>
  <r>
    <x v="2"/>
    <x v="0"/>
    <x v="96"/>
    <x v="1"/>
    <s v="gcc"/>
    <n v="1"/>
  </r>
  <r>
    <x v="2"/>
    <x v="0"/>
    <x v="211"/>
    <x v="1"/>
    <s v="gcc"/>
    <n v="1"/>
  </r>
  <r>
    <x v="2"/>
    <x v="0"/>
    <x v="35"/>
    <x v="1"/>
    <s v="gcc"/>
    <n v="2"/>
  </r>
  <r>
    <x v="2"/>
    <x v="0"/>
    <x v="134"/>
    <x v="1"/>
    <s v="gcc"/>
    <n v="3"/>
  </r>
  <r>
    <x v="2"/>
    <x v="0"/>
    <x v="81"/>
    <x v="1"/>
    <s v="gcc"/>
    <n v="1"/>
  </r>
  <r>
    <x v="2"/>
    <x v="0"/>
    <x v="30"/>
    <x v="1"/>
    <s v="gcc"/>
    <n v="1"/>
  </r>
  <r>
    <x v="2"/>
    <x v="0"/>
    <x v="14"/>
    <x v="1"/>
    <s v="gcc"/>
    <n v="1"/>
  </r>
  <r>
    <x v="2"/>
    <x v="0"/>
    <x v="19"/>
    <x v="0"/>
    <s v="gcc"/>
    <n v="1"/>
  </r>
  <r>
    <x v="2"/>
    <x v="0"/>
    <x v="126"/>
    <x v="1"/>
    <s v="gcc"/>
    <n v="1"/>
  </r>
  <r>
    <x v="2"/>
    <x v="0"/>
    <x v="123"/>
    <x v="1"/>
    <s v="gcc"/>
    <n v="1"/>
  </r>
  <r>
    <x v="2"/>
    <x v="0"/>
    <x v="212"/>
    <x v="4"/>
    <s v="gcc"/>
    <n v="1"/>
  </r>
  <r>
    <x v="2"/>
    <x v="0"/>
    <x v="212"/>
    <x v="1"/>
    <s v="gcc"/>
    <n v="2"/>
  </r>
  <r>
    <x v="2"/>
    <x v="0"/>
    <x v="45"/>
    <x v="4"/>
    <s v="gcc"/>
    <n v="3"/>
  </r>
  <r>
    <x v="2"/>
    <x v="0"/>
    <x v="77"/>
    <x v="1"/>
    <s v="gcc"/>
    <n v="3"/>
  </r>
  <r>
    <x v="2"/>
    <x v="0"/>
    <x v="213"/>
    <x v="0"/>
    <s v="gcc"/>
    <n v="4"/>
  </r>
  <r>
    <x v="2"/>
    <x v="0"/>
    <x v="213"/>
    <x v="1"/>
    <s v="gcc"/>
    <n v="3"/>
  </r>
  <r>
    <x v="2"/>
    <x v="0"/>
    <x v="143"/>
    <x v="1"/>
    <s v="gcc"/>
    <n v="2"/>
  </r>
  <r>
    <x v="2"/>
    <x v="0"/>
    <x v="143"/>
    <x v="4"/>
    <s v="gcc"/>
    <n v="1"/>
  </r>
  <r>
    <x v="2"/>
    <x v="0"/>
    <x v="69"/>
    <x v="4"/>
    <s v="gcc"/>
    <n v="2"/>
  </r>
  <r>
    <x v="2"/>
    <x v="0"/>
    <x v="82"/>
    <x v="1"/>
    <s v="gcc"/>
    <n v="4"/>
  </r>
  <r>
    <x v="2"/>
    <x v="0"/>
    <x v="140"/>
    <x v="0"/>
    <s v="gcc"/>
    <n v="2"/>
  </r>
  <r>
    <x v="2"/>
    <x v="0"/>
    <x v="140"/>
    <x v="1"/>
    <s v="gcc"/>
    <n v="3"/>
  </r>
  <r>
    <x v="2"/>
    <x v="0"/>
    <x v="37"/>
    <x v="1"/>
    <s v="gcc"/>
    <n v="1"/>
  </r>
  <r>
    <x v="2"/>
    <x v="0"/>
    <x v="23"/>
    <x v="5"/>
    <s v="gcc"/>
    <n v="2"/>
  </r>
  <r>
    <x v="2"/>
    <x v="0"/>
    <x v="23"/>
    <x v="6"/>
    <s v="gcc"/>
    <n v="2"/>
  </r>
  <r>
    <x v="2"/>
    <x v="0"/>
    <x v="23"/>
    <x v="4"/>
    <s v="gcc"/>
    <n v="1"/>
  </r>
  <r>
    <x v="2"/>
    <x v="0"/>
    <x v="65"/>
    <x v="1"/>
    <s v="gcc"/>
    <n v="1"/>
  </r>
  <r>
    <x v="2"/>
    <x v="0"/>
    <x v="111"/>
    <x v="1"/>
    <s v="gcc"/>
    <n v="1"/>
  </r>
  <r>
    <x v="2"/>
    <x v="0"/>
    <x v="13"/>
    <x v="1"/>
    <s v="gcc"/>
    <n v="2"/>
  </r>
  <r>
    <x v="2"/>
    <x v="0"/>
    <x v="186"/>
    <x v="0"/>
    <s v="gcc"/>
    <n v="1"/>
  </r>
  <r>
    <x v="2"/>
    <x v="0"/>
    <x v="62"/>
    <x v="1"/>
    <s v="gcc"/>
    <n v="1"/>
  </r>
  <r>
    <x v="2"/>
    <x v="0"/>
    <x v="62"/>
    <x v="5"/>
    <s v="gcc"/>
    <n v="8"/>
  </r>
  <r>
    <x v="2"/>
    <x v="0"/>
    <x v="62"/>
    <x v="6"/>
    <s v="gcc"/>
    <n v="8"/>
  </r>
  <r>
    <x v="2"/>
    <x v="0"/>
    <x v="76"/>
    <x v="1"/>
    <s v="gcc"/>
    <n v="4"/>
  </r>
  <r>
    <x v="2"/>
    <x v="0"/>
    <x v="79"/>
    <x v="1"/>
    <s v="gcc"/>
    <n v="2"/>
  </r>
  <r>
    <x v="2"/>
    <x v="0"/>
    <x v="20"/>
    <x v="1"/>
    <s v="gcc"/>
    <n v="2"/>
  </r>
  <r>
    <x v="2"/>
    <x v="0"/>
    <x v="135"/>
    <x v="1"/>
    <s v="gcc"/>
    <n v="3"/>
  </r>
  <r>
    <x v="2"/>
    <x v="0"/>
    <x v="93"/>
    <x v="0"/>
    <s v="gcc"/>
    <n v="2"/>
  </r>
  <r>
    <x v="2"/>
    <x v="0"/>
    <x v="93"/>
    <x v="1"/>
    <s v="gcc"/>
    <n v="1"/>
  </r>
  <r>
    <x v="2"/>
    <x v="0"/>
    <x v="141"/>
    <x v="1"/>
    <s v="gcc"/>
    <n v="1"/>
  </r>
  <r>
    <x v="2"/>
    <x v="0"/>
    <x v="33"/>
    <x v="1"/>
    <s v="gcc"/>
    <n v="1"/>
  </r>
  <r>
    <x v="2"/>
    <x v="0"/>
    <x v="189"/>
    <x v="0"/>
    <s v="gcc"/>
    <n v="1"/>
  </r>
  <r>
    <x v="2"/>
    <x v="0"/>
    <x v="155"/>
    <x v="1"/>
    <s v="gcc"/>
    <n v="6"/>
  </r>
  <r>
    <x v="2"/>
    <x v="0"/>
    <x v="70"/>
    <x v="0"/>
    <s v="gcc"/>
    <n v="3"/>
  </r>
  <r>
    <x v="2"/>
    <x v="0"/>
    <x v="5"/>
    <x v="1"/>
    <s v="gcc"/>
    <n v="1"/>
  </r>
  <r>
    <x v="2"/>
    <x v="0"/>
    <x v="158"/>
    <x v="4"/>
    <s v="gcc"/>
    <n v="5"/>
  </r>
  <r>
    <x v="2"/>
    <x v="0"/>
    <x v="158"/>
    <x v="1"/>
    <s v="gcc"/>
    <n v="5"/>
  </r>
  <r>
    <x v="2"/>
    <x v="0"/>
    <x v="83"/>
    <x v="0"/>
    <s v="gcc"/>
    <n v="2"/>
  </r>
  <r>
    <x v="2"/>
    <x v="0"/>
    <x v="214"/>
    <x v="1"/>
    <s v="gcc"/>
    <n v="2"/>
  </r>
  <r>
    <x v="2"/>
    <x v="0"/>
    <x v="214"/>
    <x v="2"/>
    <s v="gcc"/>
    <n v="2"/>
  </r>
  <r>
    <x v="2"/>
    <x v="0"/>
    <x v="26"/>
    <x v="1"/>
    <s v="gcc"/>
    <n v="1"/>
  </r>
  <r>
    <x v="2"/>
    <x v="0"/>
    <x v="7"/>
    <x v="0"/>
    <s v="gcc"/>
    <n v="1"/>
  </r>
  <r>
    <x v="2"/>
    <x v="0"/>
    <x v="50"/>
    <x v="1"/>
    <s v="gcc"/>
    <n v="2"/>
  </r>
  <r>
    <x v="2"/>
    <x v="0"/>
    <x v="108"/>
    <x v="0"/>
    <s v="gcc"/>
    <n v="2"/>
  </r>
  <r>
    <x v="2"/>
    <x v="0"/>
    <x v="108"/>
    <x v="1"/>
    <s v="gcc"/>
    <n v="1"/>
  </r>
  <r>
    <x v="2"/>
    <x v="0"/>
    <x v="80"/>
    <x v="0"/>
    <s v="gcc"/>
    <n v="3"/>
  </r>
  <r>
    <x v="2"/>
    <x v="0"/>
    <x v="41"/>
    <x v="1"/>
    <s v="gcc"/>
    <n v="1"/>
  </r>
  <r>
    <x v="2"/>
    <x v="0"/>
    <x v="72"/>
    <x v="0"/>
    <s v="gcc"/>
    <n v="4"/>
  </r>
  <r>
    <x v="2"/>
    <x v="0"/>
    <x v="133"/>
    <x v="8"/>
    <s v="gcc"/>
    <n v="1"/>
  </r>
  <r>
    <x v="2"/>
    <x v="0"/>
    <x v="51"/>
    <x v="1"/>
    <s v="gcc"/>
    <n v="1"/>
  </r>
  <r>
    <x v="2"/>
    <x v="0"/>
    <x v="51"/>
    <x v="3"/>
    <s v="gcc"/>
    <n v="1"/>
  </r>
  <r>
    <x v="2"/>
    <x v="0"/>
    <x v="44"/>
    <x v="1"/>
    <s v="gcc"/>
    <n v="1"/>
  </r>
  <r>
    <x v="2"/>
    <x v="0"/>
    <x v="24"/>
    <x v="1"/>
    <s v="gcc"/>
    <n v="1"/>
  </r>
  <r>
    <x v="2"/>
    <x v="0"/>
    <x v="103"/>
    <x v="1"/>
    <s v="gcc"/>
    <n v="1"/>
  </r>
  <r>
    <x v="2"/>
    <x v="0"/>
    <x v="196"/>
    <x v="1"/>
    <s v="gcc"/>
    <n v="2"/>
  </r>
  <r>
    <x v="2"/>
    <x v="0"/>
    <x v="136"/>
    <x v="1"/>
    <s v="gcc"/>
    <n v="1"/>
  </r>
  <r>
    <x v="2"/>
    <x v="0"/>
    <x v="215"/>
    <x v="3"/>
    <s v="gcc"/>
    <n v="1"/>
  </r>
  <r>
    <x v="2"/>
    <x v="0"/>
    <x v="139"/>
    <x v="3"/>
    <s v="gcc"/>
    <n v="4"/>
  </r>
  <r>
    <x v="2"/>
    <x v="0"/>
    <x v="59"/>
    <x v="0"/>
    <s v="gcc"/>
    <n v="2"/>
  </r>
  <r>
    <x v="2"/>
    <x v="0"/>
    <x v="107"/>
    <x v="1"/>
    <s v="gcc"/>
    <n v="1"/>
  </r>
  <r>
    <x v="2"/>
    <x v="0"/>
    <x v="153"/>
    <x v="0"/>
    <s v="gcc"/>
    <n v="2"/>
  </r>
  <r>
    <x v="2"/>
    <x v="0"/>
    <x v="105"/>
    <x v="1"/>
    <s v="gcc"/>
    <n v="1"/>
  </r>
  <r>
    <x v="2"/>
    <x v="0"/>
    <x v="110"/>
    <x v="1"/>
    <s v="gcc"/>
    <n v="1"/>
  </r>
  <r>
    <x v="2"/>
    <x v="0"/>
    <x v="46"/>
    <x v="1"/>
    <s v="gcc"/>
    <n v="2"/>
  </r>
  <r>
    <x v="2"/>
    <x v="0"/>
    <x v="34"/>
    <x v="1"/>
    <s v="gcc"/>
    <n v="1"/>
  </r>
  <r>
    <x v="2"/>
    <x v="0"/>
    <x v="17"/>
    <x v="1"/>
    <s v="gcc"/>
    <n v="3"/>
  </r>
  <r>
    <x v="2"/>
    <x v="1"/>
    <x v="91"/>
    <x v="3"/>
    <s v="gcc"/>
    <n v="1"/>
  </r>
  <r>
    <x v="2"/>
    <x v="1"/>
    <x v="61"/>
    <x v="2"/>
    <s v="gcc"/>
    <n v="1"/>
  </r>
  <r>
    <x v="2"/>
    <x v="1"/>
    <x v="150"/>
    <x v="2"/>
    <s v="gcc"/>
    <n v="1"/>
  </r>
  <r>
    <x v="2"/>
    <x v="1"/>
    <x v="169"/>
    <x v="2"/>
    <s v="gcc"/>
    <n v="2"/>
  </r>
  <r>
    <x v="2"/>
    <x v="1"/>
    <x v="169"/>
    <x v="4"/>
    <s v="gcc"/>
    <n v="2"/>
  </r>
  <r>
    <x v="2"/>
    <x v="1"/>
    <x v="84"/>
    <x v="3"/>
    <s v="gcc"/>
    <n v="7"/>
  </r>
  <r>
    <x v="2"/>
    <x v="1"/>
    <x v="68"/>
    <x v="1"/>
    <s v="gcc"/>
    <n v="2"/>
  </r>
  <r>
    <x v="2"/>
    <x v="1"/>
    <x v="68"/>
    <x v="4"/>
    <s v="gcc"/>
    <n v="2"/>
  </r>
  <r>
    <x v="2"/>
    <x v="1"/>
    <x v="177"/>
    <x v="2"/>
    <s v="gcc"/>
    <n v="1"/>
  </r>
  <r>
    <x v="2"/>
    <x v="1"/>
    <x v="177"/>
    <x v="4"/>
    <s v="gcc"/>
    <n v="4"/>
  </r>
  <r>
    <x v="2"/>
    <x v="1"/>
    <x v="128"/>
    <x v="4"/>
    <s v="gcc"/>
    <n v="2"/>
  </r>
  <r>
    <x v="2"/>
    <x v="1"/>
    <x v="75"/>
    <x v="2"/>
    <s v="gcc"/>
    <n v="2"/>
  </r>
  <r>
    <x v="2"/>
    <x v="1"/>
    <x v="124"/>
    <x v="2"/>
    <s v="gcc"/>
    <n v="4"/>
  </r>
  <r>
    <x v="2"/>
    <x v="1"/>
    <x v="106"/>
    <x v="3"/>
    <s v="gcc"/>
    <n v="4"/>
  </r>
  <r>
    <x v="2"/>
    <x v="1"/>
    <x v="82"/>
    <x v="4"/>
    <s v="gcc"/>
    <n v="1"/>
  </r>
  <r>
    <x v="2"/>
    <x v="1"/>
    <x v="157"/>
    <x v="4"/>
    <s v="gcc"/>
    <n v="1"/>
  </r>
  <r>
    <x v="2"/>
    <x v="1"/>
    <x v="62"/>
    <x v="5"/>
    <s v="gcc"/>
    <n v="8"/>
  </r>
  <r>
    <x v="2"/>
    <x v="1"/>
    <x v="62"/>
    <x v="6"/>
    <s v="gcc"/>
    <n v="8"/>
  </r>
  <r>
    <x v="2"/>
    <x v="1"/>
    <x v="135"/>
    <x v="4"/>
    <s v="gcc"/>
    <n v="1"/>
  </r>
  <r>
    <x v="2"/>
    <x v="1"/>
    <x v="98"/>
    <x v="1"/>
    <s v="gcc"/>
    <n v="2"/>
  </r>
  <r>
    <x v="2"/>
    <x v="1"/>
    <x v="158"/>
    <x v="1"/>
    <s v="gcc"/>
    <n v="3"/>
  </r>
  <r>
    <x v="2"/>
    <x v="1"/>
    <x v="215"/>
    <x v="2"/>
    <s v="gcc"/>
    <n v="1"/>
  </r>
  <r>
    <x v="2"/>
    <x v="2"/>
    <x v="169"/>
    <x v="4"/>
    <s v="gcc"/>
    <n v="2"/>
  </r>
  <r>
    <x v="2"/>
    <x v="2"/>
    <x v="177"/>
    <x v="2"/>
    <s v="gcc"/>
    <n v="1"/>
  </r>
  <r>
    <x v="2"/>
    <x v="2"/>
    <x v="82"/>
    <x v="2"/>
    <s v="gcc"/>
    <n v="1"/>
  </r>
  <r>
    <x v="2"/>
    <x v="2"/>
    <x v="215"/>
    <x v="2"/>
    <s v="gcc"/>
    <n v="1"/>
  </r>
  <r>
    <x v="2"/>
    <x v="3"/>
    <x v="169"/>
    <x v="1"/>
    <s v="gcc"/>
    <n v="2"/>
  </r>
  <r>
    <x v="2"/>
    <x v="3"/>
    <x v="82"/>
    <x v="4"/>
    <s v="gcc"/>
    <n v="1"/>
  </r>
  <r>
    <x v="2"/>
    <x v="3"/>
    <x v="215"/>
    <x v="0"/>
    <s v="gcc"/>
    <n v="1"/>
  </r>
  <r>
    <x v="2"/>
    <x v="3"/>
    <x v="215"/>
    <x v="2"/>
    <s v="gcc"/>
    <n v="1"/>
  </r>
  <r>
    <x v="2"/>
    <x v="4"/>
    <x v="82"/>
    <x v="4"/>
    <s v="gcc"/>
    <n v="1"/>
  </r>
  <r>
    <x v="3"/>
    <x v="0"/>
    <x v="74"/>
    <x v="1"/>
    <s v="gcc"/>
    <n v="3"/>
  </r>
  <r>
    <x v="3"/>
    <x v="0"/>
    <x v="101"/>
    <x v="1"/>
    <s v="gcc"/>
    <n v="1"/>
  </r>
  <r>
    <x v="3"/>
    <x v="0"/>
    <x v="36"/>
    <x v="1"/>
    <s v="gcc"/>
    <n v="1"/>
  </r>
  <r>
    <x v="3"/>
    <x v="0"/>
    <x v="216"/>
    <x v="1"/>
    <s v="gcc"/>
    <n v="2"/>
  </r>
  <r>
    <x v="3"/>
    <x v="0"/>
    <x v="61"/>
    <x v="1"/>
    <s v="gcc"/>
    <n v="3"/>
  </r>
  <r>
    <x v="3"/>
    <x v="0"/>
    <x v="99"/>
    <x v="0"/>
    <s v="gcc"/>
    <n v="2"/>
  </r>
  <r>
    <x v="3"/>
    <x v="0"/>
    <x v="99"/>
    <x v="1"/>
    <s v="gcc"/>
    <n v="1"/>
  </r>
  <r>
    <x v="3"/>
    <x v="0"/>
    <x v="121"/>
    <x v="1"/>
    <s v="gcc"/>
    <n v="1"/>
  </r>
  <r>
    <x v="3"/>
    <x v="0"/>
    <x v="118"/>
    <x v="1"/>
    <s v="gcc"/>
    <n v="1"/>
  </r>
  <r>
    <x v="3"/>
    <x v="0"/>
    <x v="104"/>
    <x v="1"/>
    <s v="gcc"/>
    <n v="3"/>
  </r>
  <r>
    <x v="3"/>
    <x v="0"/>
    <x v="86"/>
    <x v="1"/>
    <s v="gcc"/>
    <n v="1"/>
  </r>
  <r>
    <x v="3"/>
    <x v="0"/>
    <x v="54"/>
    <x v="1"/>
    <s v="gcc"/>
    <n v="1"/>
  </r>
  <r>
    <x v="3"/>
    <x v="0"/>
    <x v="89"/>
    <x v="1"/>
    <s v="gcc"/>
    <n v="3"/>
  </r>
  <r>
    <x v="3"/>
    <x v="0"/>
    <x v="53"/>
    <x v="1"/>
    <s v="gcc"/>
    <n v="1"/>
  </r>
  <r>
    <x v="3"/>
    <x v="0"/>
    <x v="25"/>
    <x v="1"/>
    <s v="gcc"/>
    <n v="2"/>
  </r>
  <r>
    <x v="3"/>
    <x v="0"/>
    <x v="38"/>
    <x v="1"/>
    <s v="gcc"/>
    <n v="3"/>
  </r>
  <r>
    <x v="3"/>
    <x v="0"/>
    <x v="38"/>
    <x v="4"/>
    <s v="gcc"/>
    <n v="1"/>
  </r>
  <r>
    <x v="3"/>
    <x v="0"/>
    <x v="146"/>
    <x v="1"/>
    <s v="gcc"/>
    <n v="1"/>
  </r>
  <r>
    <x v="3"/>
    <x v="0"/>
    <x v="100"/>
    <x v="1"/>
    <s v="gcc"/>
    <n v="2"/>
  </r>
  <r>
    <x v="3"/>
    <x v="0"/>
    <x v="217"/>
    <x v="0"/>
    <s v="gcc"/>
    <n v="4"/>
  </r>
  <r>
    <x v="3"/>
    <x v="0"/>
    <x v="129"/>
    <x v="4"/>
    <s v="gcc"/>
    <n v="2"/>
  </r>
  <r>
    <x v="3"/>
    <x v="0"/>
    <x v="164"/>
    <x v="1"/>
    <s v="gcc"/>
    <n v="1"/>
  </r>
  <r>
    <x v="3"/>
    <x v="0"/>
    <x v="11"/>
    <x v="1"/>
    <s v="gcc"/>
    <n v="1"/>
  </r>
  <r>
    <x v="3"/>
    <x v="0"/>
    <x v="112"/>
    <x v="4"/>
    <s v="gcc"/>
    <n v="3"/>
  </r>
  <r>
    <x v="3"/>
    <x v="0"/>
    <x v="165"/>
    <x v="0"/>
    <s v="gcc"/>
    <n v="1"/>
  </r>
  <r>
    <x v="3"/>
    <x v="0"/>
    <x v="150"/>
    <x v="1"/>
    <s v="gcc"/>
    <n v="2"/>
  </r>
  <r>
    <x v="3"/>
    <x v="0"/>
    <x v="166"/>
    <x v="1"/>
    <s v="gcc"/>
    <n v="2"/>
  </r>
  <r>
    <x v="3"/>
    <x v="0"/>
    <x v="166"/>
    <x v="2"/>
    <s v="gcc"/>
    <n v="4"/>
  </r>
  <r>
    <x v="3"/>
    <x v="0"/>
    <x v="48"/>
    <x v="1"/>
    <s v="gcc"/>
    <n v="2"/>
  </r>
  <r>
    <x v="3"/>
    <x v="0"/>
    <x v="147"/>
    <x v="4"/>
    <s v="gcc"/>
    <n v="2"/>
  </r>
  <r>
    <x v="3"/>
    <x v="0"/>
    <x v="145"/>
    <x v="1"/>
    <s v="gcc"/>
    <n v="1"/>
  </r>
  <r>
    <x v="3"/>
    <x v="0"/>
    <x v="138"/>
    <x v="1"/>
    <s v="gcc"/>
    <n v="2"/>
  </r>
  <r>
    <x v="3"/>
    <x v="0"/>
    <x v="58"/>
    <x v="1"/>
    <s v="gcc"/>
    <n v="1"/>
  </r>
  <r>
    <x v="3"/>
    <x v="0"/>
    <x v="87"/>
    <x v="1"/>
    <s v="gcc"/>
    <n v="1"/>
  </r>
  <r>
    <x v="3"/>
    <x v="0"/>
    <x v="218"/>
    <x v="0"/>
    <s v="gcc"/>
    <n v="2"/>
  </r>
  <r>
    <x v="3"/>
    <x v="0"/>
    <x v="203"/>
    <x v="1"/>
    <s v="gcc"/>
    <n v="1"/>
  </r>
  <r>
    <x v="3"/>
    <x v="0"/>
    <x v="169"/>
    <x v="1"/>
    <s v="gcc"/>
    <n v="4"/>
  </r>
  <r>
    <x v="3"/>
    <x v="0"/>
    <x v="169"/>
    <x v="4"/>
    <s v="gcc"/>
    <n v="2"/>
  </r>
  <r>
    <x v="3"/>
    <x v="0"/>
    <x v="131"/>
    <x v="1"/>
    <s v="gcc"/>
    <n v="1"/>
  </r>
  <r>
    <x v="3"/>
    <x v="0"/>
    <x v="32"/>
    <x v="1"/>
    <s v="gcc"/>
    <n v="1"/>
  </r>
  <r>
    <x v="3"/>
    <x v="0"/>
    <x v="29"/>
    <x v="1"/>
    <s v="gcc"/>
    <n v="1"/>
  </r>
  <r>
    <x v="3"/>
    <x v="0"/>
    <x v="2"/>
    <x v="1"/>
    <s v="gcc"/>
    <n v="1"/>
  </r>
  <r>
    <x v="3"/>
    <x v="0"/>
    <x v="170"/>
    <x v="1"/>
    <s v="gcc"/>
    <n v="1"/>
  </r>
  <r>
    <x v="3"/>
    <x v="0"/>
    <x v="170"/>
    <x v="4"/>
    <s v="gcc"/>
    <n v="1"/>
  </r>
  <r>
    <x v="3"/>
    <x v="0"/>
    <x v="6"/>
    <x v="0"/>
    <s v="gcc"/>
    <n v="2"/>
  </r>
  <r>
    <x v="3"/>
    <x v="0"/>
    <x v="10"/>
    <x v="1"/>
    <s v="gcc"/>
    <n v="1"/>
  </r>
  <r>
    <x v="3"/>
    <x v="0"/>
    <x v="10"/>
    <x v="4"/>
    <s v="gcc"/>
    <n v="1"/>
  </r>
  <r>
    <x v="3"/>
    <x v="0"/>
    <x v="204"/>
    <x v="0"/>
    <s v="gcc"/>
    <n v="2"/>
  </r>
  <r>
    <x v="3"/>
    <x v="0"/>
    <x v="78"/>
    <x v="0"/>
    <s v="gcc"/>
    <n v="3"/>
  </r>
  <r>
    <x v="3"/>
    <x v="0"/>
    <x v="78"/>
    <x v="1"/>
    <s v="gcc"/>
    <n v="1"/>
  </r>
  <r>
    <x v="3"/>
    <x v="0"/>
    <x v="171"/>
    <x v="0"/>
    <s v="gcc"/>
    <n v="4"/>
  </r>
  <r>
    <x v="3"/>
    <x v="0"/>
    <x v="171"/>
    <x v="1"/>
    <s v="gcc"/>
    <n v="1"/>
  </r>
  <r>
    <x v="3"/>
    <x v="0"/>
    <x v="219"/>
    <x v="0"/>
    <s v="gcc"/>
    <n v="4"/>
  </r>
  <r>
    <x v="3"/>
    <x v="0"/>
    <x v="152"/>
    <x v="0"/>
    <s v="gcc"/>
    <n v="2"/>
  </r>
  <r>
    <x v="3"/>
    <x v="0"/>
    <x v="88"/>
    <x v="1"/>
    <s v="gcc"/>
    <n v="1"/>
  </r>
  <r>
    <x v="3"/>
    <x v="0"/>
    <x v="84"/>
    <x v="0"/>
    <s v="gcc"/>
    <n v="2"/>
  </r>
  <r>
    <x v="3"/>
    <x v="0"/>
    <x v="84"/>
    <x v="1"/>
    <s v="gcc"/>
    <n v="1"/>
  </r>
  <r>
    <x v="3"/>
    <x v="0"/>
    <x v="9"/>
    <x v="4"/>
    <s v="gcc"/>
    <n v="3"/>
  </r>
  <r>
    <x v="3"/>
    <x v="0"/>
    <x v="95"/>
    <x v="0"/>
    <s v="gcc"/>
    <n v="1"/>
  </r>
  <r>
    <x v="3"/>
    <x v="0"/>
    <x v="205"/>
    <x v="1"/>
    <s v="gcc"/>
    <n v="1"/>
  </r>
  <r>
    <x v="3"/>
    <x v="0"/>
    <x v="73"/>
    <x v="0"/>
    <s v="gcc"/>
    <n v="2"/>
  </r>
  <r>
    <x v="3"/>
    <x v="0"/>
    <x v="176"/>
    <x v="1"/>
    <s v="gcc"/>
    <n v="1"/>
  </r>
  <r>
    <x v="3"/>
    <x v="0"/>
    <x v="119"/>
    <x v="1"/>
    <s v="gcc"/>
    <n v="1"/>
  </r>
  <r>
    <x v="3"/>
    <x v="0"/>
    <x v="60"/>
    <x v="1"/>
    <s v="gcc"/>
    <n v="1"/>
  </r>
  <r>
    <x v="3"/>
    <x v="0"/>
    <x v="28"/>
    <x v="4"/>
    <s v="gcc"/>
    <n v="2"/>
  </r>
  <r>
    <x v="3"/>
    <x v="0"/>
    <x v="63"/>
    <x v="1"/>
    <s v="gcc"/>
    <n v="1"/>
  </r>
  <r>
    <x v="3"/>
    <x v="0"/>
    <x v="114"/>
    <x v="0"/>
    <s v="gcc"/>
    <n v="1"/>
  </r>
  <r>
    <x v="3"/>
    <x v="0"/>
    <x v="15"/>
    <x v="1"/>
    <s v="gcc"/>
    <n v="2"/>
  </r>
  <r>
    <x v="3"/>
    <x v="0"/>
    <x v="127"/>
    <x v="1"/>
    <s v="gcc"/>
    <n v="1"/>
  </r>
  <r>
    <x v="3"/>
    <x v="0"/>
    <x v="8"/>
    <x v="1"/>
    <s v="gcc"/>
    <n v="1"/>
  </r>
  <r>
    <x v="3"/>
    <x v="0"/>
    <x v="68"/>
    <x v="1"/>
    <s v="gcc"/>
    <n v="3"/>
  </r>
  <r>
    <x v="3"/>
    <x v="0"/>
    <x v="68"/>
    <x v="4"/>
    <s v="gcc"/>
    <n v="3"/>
  </r>
  <r>
    <x v="3"/>
    <x v="0"/>
    <x v="142"/>
    <x v="1"/>
    <s v="gcc"/>
    <n v="1"/>
  </r>
  <r>
    <x v="3"/>
    <x v="0"/>
    <x v="142"/>
    <x v="2"/>
    <s v="gcc"/>
    <n v="1"/>
  </r>
  <r>
    <x v="3"/>
    <x v="0"/>
    <x v="4"/>
    <x v="1"/>
    <s v="gcc"/>
    <n v="1"/>
  </r>
  <r>
    <x v="3"/>
    <x v="0"/>
    <x v="132"/>
    <x v="0"/>
    <s v="gcc"/>
    <n v="5"/>
  </r>
  <r>
    <x v="3"/>
    <x v="0"/>
    <x v="132"/>
    <x v="1"/>
    <s v="gcc"/>
    <n v="4"/>
  </r>
  <r>
    <x v="3"/>
    <x v="0"/>
    <x v="177"/>
    <x v="1"/>
    <s v="gcc"/>
    <n v="3"/>
  </r>
  <r>
    <x v="3"/>
    <x v="0"/>
    <x v="16"/>
    <x v="1"/>
    <s v="gcc"/>
    <n v="2"/>
  </r>
  <r>
    <x v="3"/>
    <x v="0"/>
    <x v="16"/>
    <x v="2"/>
    <s v="gcc"/>
    <n v="4"/>
  </r>
  <r>
    <x v="3"/>
    <x v="0"/>
    <x v="220"/>
    <x v="1"/>
    <s v="gcc"/>
    <n v="1"/>
  </r>
  <r>
    <x v="3"/>
    <x v="0"/>
    <x v="220"/>
    <x v="4"/>
    <s v="gcc"/>
    <n v="1"/>
  </r>
  <r>
    <x v="3"/>
    <x v="0"/>
    <x v="117"/>
    <x v="1"/>
    <s v="gcc"/>
    <n v="1"/>
  </r>
  <r>
    <x v="3"/>
    <x v="0"/>
    <x v="22"/>
    <x v="1"/>
    <s v="gcc"/>
    <n v="1"/>
  </r>
  <r>
    <x v="3"/>
    <x v="0"/>
    <x v="64"/>
    <x v="0"/>
    <s v="gcc"/>
    <n v="2"/>
  </r>
  <r>
    <x v="3"/>
    <x v="0"/>
    <x v="64"/>
    <x v="1"/>
    <s v="gcc"/>
    <n v="1"/>
  </r>
  <r>
    <x v="3"/>
    <x v="0"/>
    <x v="156"/>
    <x v="1"/>
    <s v="gcc"/>
    <n v="2"/>
  </r>
  <r>
    <x v="3"/>
    <x v="0"/>
    <x v="156"/>
    <x v="4"/>
    <s v="gcc"/>
    <n v="1"/>
  </r>
  <r>
    <x v="3"/>
    <x v="0"/>
    <x v="56"/>
    <x v="1"/>
    <s v="gcc"/>
    <n v="1"/>
  </r>
  <r>
    <x v="3"/>
    <x v="0"/>
    <x v="115"/>
    <x v="1"/>
    <s v="gcc"/>
    <n v="1"/>
  </r>
  <r>
    <x v="3"/>
    <x v="0"/>
    <x v="39"/>
    <x v="1"/>
    <s v="gcc"/>
    <n v="1"/>
  </r>
  <r>
    <x v="3"/>
    <x v="0"/>
    <x v="221"/>
    <x v="1"/>
    <s v="gcc"/>
    <n v="3"/>
  </r>
  <r>
    <x v="3"/>
    <x v="0"/>
    <x v="144"/>
    <x v="1"/>
    <s v="gcc"/>
    <n v="4"/>
  </r>
  <r>
    <x v="3"/>
    <x v="0"/>
    <x v="128"/>
    <x v="1"/>
    <s v="gcc"/>
    <n v="3"/>
  </r>
  <r>
    <x v="3"/>
    <x v="0"/>
    <x v="128"/>
    <x v="4"/>
    <s v="gcc"/>
    <n v="1"/>
  </r>
  <r>
    <x v="3"/>
    <x v="0"/>
    <x v="75"/>
    <x v="1"/>
    <s v="gcc"/>
    <n v="2"/>
  </r>
  <r>
    <x v="3"/>
    <x v="0"/>
    <x v="75"/>
    <x v="4"/>
    <s v="gcc"/>
    <n v="1"/>
  </r>
  <r>
    <x v="3"/>
    <x v="0"/>
    <x v="49"/>
    <x v="1"/>
    <s v="gcc"/>
    <n v="1"/>
  </r>
  <r>
    <x v="3"/>
    <x v="0"/>
    <x v="149"/>
    <x v="1"/>
    <s v="gcc"/>
    <n v="1"/>
  </r>
  <r>
    <x v="3"/>
    <x v="0"/>
    <x v="47"/>
    <x v="4"/>
    <s v="gcc"/>
    <n v="2"/>
  </r>
  <r>
    <x v="3"/>
    <x v="0"/>
    <x v="27"/>
    <x v="1"/>
    <s v="gcc"/>
    <n v="1"/>
  </r>
  <r>
    <x v="3"/>
    <x v="0"/>
    <x v="66"/>
    <x v="1"/>
    <s v="gcc"/>
    <n v="3"/>
  </r>
  <r>
    <x v="3"/>
    <x v="0"/>
    <x v="66"/>
    <x v="2"/>
    <s v="gcc"/>
    <n v="4"/>
  </r>
  <r>
    <x v="3"/>
    <x v="0"/>
    <x v="182"/>
    <x v="2"/>
    <s v="gcc"/>
    <n v="1"/>
  </r>
  <r>
    <x v="3"/>
    <x v="0"/>
    <x v="124"/>
    <x v="0"/>
    <s v="gcc"/>
    <n v="2"/>
  </r>
  <r>
    <x v="3"/>
    <x v="0"/>
    <x v="124"/>
    <x v="2"/>
    <s v="gcc"/>
    <n v="4"/>
  </r>
  <r>
    <x v="3"/>
    <x v="0"/>
    <x v="122"/>
    <x v="0"/>
    <s v="gcc"/>
    <n v="1"/>
  </r>
  <r>
    <x v="3"/>
    <x v="0"/>
    <x v="106"/>
    <x v="1"/>
    <s v="gcc"/>
    <n v="1"/>
  </r>
  <r>
    <x v="3"/>
    <x v="0"/>
    <x v="106"/>
    <x v="2"/>
    <s v="gcc"/>
    <n v="1"/>
  </r>
  <r>
    <x v="3"/>
    <x v="0"/>
    <x v="130"/>
    <x v="0"/>
    <s v="gcc"/>
    <n v="4"/>
  </r>
  <r>
    <x v="3"/>
    <x v="0"/>
    <x v="90"/>
    <x v="1"/>
    <s v="gcc"/>
    <n v="1"/>
  </r>
  <r>
    <x v="3"/>
    <x v="0"/>
    <x v="148"/>
    <x v="0"/>
    <s v="gcc"/>
    <n v="2"/>
  </r>
  <r>
    <x v="3"/>
    <x v="0"/>
    <x v="18"/>
    <x v="1"/>
    <s v="gcc"/>
    <n v="2"/>
  </r>
  <r>
    <x v="3"/>
    <x v="0"/>
    <x v="154"/>
    <x v="1"/>
    <s v="gcc"/>
    <n v="3"/>
  </r>
  <r>
    <x v="3"/>
    <x v="0"/>
    <x v="96"/>
    <x v="1"/>
    <s v="gcc"/>
    <n v="1"/>
  </r>
  <r>
    <x v="3"/>
    <x v="0"/>
    <x v="211"/>
    <x v="1"/>
    <s v="gcc"/>
    <n v="1"/>
  </r>
  <r>
    <x v="3"/>
    <x v="0"/>
    <x v="35"/>
    <x v="1"/>
    <s v="gcc"/>
    <n v="4"/>
  </r>
  <r>
    <x v="3"/>
    <x v="0"/>
    <x v="134"/>
    <x v="1"/>
    <s v="gcc"/>
    <n v="2"/>
  </r>
  <r>
    <x v="3"/>
    <x v="0"/>
    <x v="81"/>
    <x v="1"/>
    <s v="gcc"/>
    <n v="1"/>
  </r>
  <r>
    <x v="3"/>
    <x v="0"/>
    <x v="30"/>
    <x v="3"/>
    <s v="gcc"/>
    <n v="4"/>
  </r>
  <r>
    <x v="3"/>
    <x v="0"/>
    <x v="14"/>
    <x v="1"/>
    <s v="gcc"/>
    <n v="1"/>
  </r>
  <r>
    <x v="3"/>
    <x v="0"/>
    <x v="19"/>
    <x v="0"/>
    <s v="gcc"/>
    <n v="1"/>
  </r>
  <r>
    <x v="3"/>
    <x v="0"/>
    <x v="222"/>
    <x v="1"/>
    <s v="gcc"/>
    <n v="2"/>
  </r>
  <r>
    <x v="3"/>
    <x v="0"/>
    <x v="126"/>
    <x v="1"/>
    <s v="gcc"/>
    <n v="1"/>
  </r>
  <r>
    <x v="3"/>
    <x v="0"/>
    <x v="123"/>
    <x v="1"/>
    <s v="gcc"/>
    <n v="1"/>
  </r>
  <r>
    <x v="3"/>
    <x v="0"/>
    <x v="143"/>
    <x v="1"/>
    <s v="gcc"/>
    <n v="4"/>
  </r>
  <r>
    <x v="3"/>
    <x v="0"/>
    <x v="69"/>
    <x v="4"/>
    <s v="gcc"/>
    <n v="2"/>
  </r>
  <r>
    <x v="3"/>
    <x v="0"/>
    <x v="82"/>
    <x v="1"/>
    <s v="gcc"/>
    <n v="4"/>
  </r>
  <r>
    <x v="3"/>
    <x v="0"/>
    <x v="140"/>
    <x v="0"/>
    <s v="gcc"/>
    <n v="2"/>
  </r>
  <r>
    <x v="3"/>
    <x v="0"/>
    <x v="140"/>
    <x v="1"/>
    <s v="gcc"/>
    <n v="1"/>
  </r>
  <r>
    <x v="3"/>
    <x v="0"/>
    <x v="37"/>
    <x v="1"/>
    <s v="gcc"/>
    <n v="1"/>
  </r>
  <r>
    <x v="3"/>
    <x v="0"/>
    <x v="23"/>
    <x v="5"/>
    <s v="gcc"/>
    <n v="2"/>
  </r>
  <r>
    <x v="3"/>
    <x v="0"/>
    <x v="23"/>
    <x v="6"/>
    <s v="gcc"/>
    <n v="2"/>
  </r>
  <r>
    <x v="3"/>
    <x v="0"/>
    <x v="23"/>
    <x v="4"/>
    <s v="gcc"/>
    <n v="1"/>
  </r>
  <r>
    <x v="3"/>
    <x v="0"/>
    <x v="111"/>
    <x v="3"/>
    <s v="gcc"/>
    <n v="6"/>
  </r>
  <r>
    <x v="3"/>
    <x v="0"/>
    <x v="13"/>
    <x v="1"/>
    <s v="gcc"/>
    <n v="1"/>
  </r>
  <r>
    <x v="3"/>
    <x v="0"/>
    <x v="62"/>
    <x v="1"/>
    <s v="gcc"/>
    <n v="1"/>
  </r>
  <r>
    <x v="3"/>
    <x v="0"/>
    <x v="62"/>
    <x v="5"/>
    <s v="gcc"/>
    <n v="4"/>
  </r>
  <r>
    <x v="3"/>
    <x v="0"/>
    <x v="62"/>
    <x v="6"/>
    <s v="gcc"/>
    <n v="4"/>
  </r>
  <r>
    <x v="3"/>
    <x v="0"/>
    <x v="62"/>
    <x v="2"/>
    <s v="gcc"/>
    <n v="3"/>
  </r>
  <r>
    <x v="3"/>
    <x v="0"/>
    <x v="62"/>
    <x v="3"/>
    <s v="gcc"/>
    <n v="1"/>
  </r>
  <r>
    <x v="3"/>
    <x v="0"/>
    <x v="76"/>
    <x v="1"/>
    <s v="gcc"/>
    <n v="4"/>
  </r>
  <r>
    <x v="3"/>
    <x v="0"/>
    <x v="79"/>
    <x v="1"/>
    <s v="gcc"/>
    <n v="1"/>
  </r>
  <r>
    <x v="3"/>
    <x v="0"/>
    <x v="20"/>
    <x v="1"/>
    <s v="gcc"/>
    <n v="2"/>
  </r>
  <r>
    <x v="3"/>
    <x v="0"/>
    <x v="135"/>
    <x v="1"/>
    <s v="gcc"/>
    <n v="1"/>
  </r>
  <r>
    <x v="3"/>
    <x v="0"/>
    <x v="187"/>
    <x v="1"/>
    <s v="gcc"/>
    <n v="2"/>
  </r>
  <r>
    <x v="3"/>
    <x v="0"/>
    <x v="141"/>
    <x v="1"/>
    <s v="gcc"/>
    <n v="1"/>
  </r>
  <r>
    <x v="3"/>
    <x v="0"/>
    <x v="188"/>
    <x v="0"/>
    <s v="gcc"/>
    <n v="4"/>
  </r>
  <r>
    <x v="3"/>
    <x v="0"/>
    <x v="189"/>
    <x v="0"/>
    <s v="gcc"/>
    <n v="1"/>
  </r>
  <r>
    <x v="3"/>
    <x v="0"/>
    <x v="223"/>
    <x v="1"/>
    <s v="gcc"/>
    <n v="2"/>
  </r>
  <r>
    <x v="3"/>
    <x v="0"/>
    <x v="155"/>
    <x v="1"/>
    <s v="gcc"/>
    <n v="6"/>
  </r>
  <r>
    <x v="3"/>
    <x v="0"/>
    <x v="70"/>
    <x v="0"/>
    <s v="gcc"/>
    <n v="3"/>
  </r>
  <r>
    <x v="3"/>
    <x v="0"/>
    <x v="98"/>
    <x v="1"/>
    <s v="gcc"/>
    <n v="2"/>
  </r>
  <r>
    <x v="3"/>
    <x v="0"/>
    <x v="5"/>
    <x v="1"/>
    <s v="gcc"/>
    <n v="1"/>
  </r>
  <r>
    <x v="3"/>
    <x v="0"/>
    <x v="158"/>
    <x v="1"/>
    <s v="gcc"/>
    <n v="5"/>
  </r>
  <r>
    <x v="3"/>
    <x v="0"/>
    <x v="125"/>
    <x v="1"/>
    <s v="gcc"/>
    <n v="3"/>
  </r>
  <r>
    <x v="3"/>
    <x v="0"/>
    <x v="50"/>
    <x v="1"/>
    <s v="gcc"/>
    <n v="2"/>
  </r>
  <r>
    <x v="3"/>
    <x v="0"/>
    <x v="108"/>
    <x v="0"/>
    <s v="gcc"/>
    <n v="4"/>
  </r>
  <r>
    <x v="3"/>
    <x v="0"/>
    <x v="108"/>
    <x v="1"/>
    <s v="gcc"/>
    <n v="3"/>
  </r>
  <r>
    <x v="3"/>
    <x v="0"/>
    <x v="80"/>
    <x v="0"/>
    <s v="gcc"/>
    <n v="2"/>
  </r>
  <r>
    <x v="3"/>
    <x v="0"/>
    <x v="41"/>
    <x v="3"/>
    <s v="gcc"/>
    <n v="5"/>
  </r>
  <r>
    <x v="3"/>
    <x v="0"/>
    <x v="72"/>
    <x v="0"/>
    <s v="gcc"/>
    <n v="6"/>
  </r>
  <r>
    <x v="3"/>
    <x v="0"/>
    <x v="133"/>
    <x v="8"/>
    <s v="gcc"/>
    <n v="1"/>
  </r>
  <r>
    <x v="3"/>
    <x v="0"/>
    <x v="194"/>
    <x v="1"/>
    <s v="gcc"/>
    <n v="3"/>
  </r>
  <r>
    <x v="3"/>
    <x v="0"/>
    <x v="51"/>
    <x v="1"/>
    <s v="gcc"/>
    <n v="1"/>
  </r>
  <r>
    <x v="3"/>
    <x v="0"/>
    <x v="224"/>
    <x v="9"/>
    <s v="gcc"/>
    <n v="1"/>
  </r>
  <r>
    <x v="3"/>
    <x v="0"/>
    <x v="44"/>
    <x v="1"/>
    <s v="gcc"/>
    <n v="1"/>
  </r>
  <r>
    <x v="3"/>
    <x v="0"/>
    <x v="24"/>
    <x v="1"/>
    <s v="gcc"/>
    <n v="1"/>
  </r>
  <r>
    <x v="3"/>
    <x v="0"/>
    <x v="103"/>
    <x v="1"/>
    <s v="gcc"/>
    <n v="1"/>
  </r>
  <r>
    <x v="3"/>
    <x v="0"/>
    <x v="196"/>
    <x v="1"/>
    <s v="gcc"/>
    <n v="3"/>
  </r>
  <r>
    <x v="3"/>
    <x v="0"/>
    <x v="215"/>
    <x v="3"/>
    <s v="gcc"/>
    <n v="1"/>
  </r>
  <r>
    <x v="3"/>
    <x v="0"/>
    <x v="197"/>
    <x v="1"/>
    <s v="gcc"/>
    <n v="2"/>
  </r>
  <r>
    <x v="3"/>
    <x v="0"/>
    <x v="198"/>
    <x v="1"/>
    <s v="gcc"/>
    <n v="6"/>
  </r>
  <r>
    <x v="3"/>
    <x v="0"/>
    <x v="198"/>
    <x v="4"/>
    <s v="gcc"/>
    <n v="3"/>
  </r>
  <r>
    <x v="3"/>
    <x v="0"/>
    <x v="139"/>
    <x v="3"/>
    <s v="gcc"/>
    <n v="4"/>
  </r>
  <r>
    <x v="3"/>
    <x v="0"/>
    <x v="59"/>
    <x v="0"/>
    <s v="gcc"/>
    <n v="2"/>
  </r>
  <r>
    <x v="3"/>
    <x v="0"/>
    <x v="153"/>
    <x v="1"/>
    <s v="gcc"/>
    <n v="14"/>
  </r>
  <r>
    <x v="3"/>
    <x v="0"/>
    <x v="105"/>
    <x v="1"/>
    <s v="gcc"/>
    <n v="1"/>
  </r>
  <r>
    <x v="3"/>
    <x v="0"/>
    <x v="113"/>
    <x v="3"/>
    <s v="gcc"/>
    <n v="5"/>
  </r>
  <r>
    <x v="3"/>
    <x v="0"/>
    <x v="110"/>
    <x v="1"/>
    <s v="gcc"/>
    <n v="1"/>
  </r>
  <r>
    <x v="3"/>
    <x v="0"/>
    <x v="46"/>
    <x v="1"/>
    <s v="gcc"/>
    <n v="3"/>
  </r>
  <r>
    <x v="3"/>
    <x v="0"/>
    <x v="34"/>
    <x v="1"/>
    <s v="gcc"/>
    <n v="1"/>
  </r>
  <r>
    <x v="3"/>
    <x v="0"/>
    <x v="17"/>
    <x v="1"/>
    <s v="gcc"/>
    <n v="2"/>
  </r>
  <r>
    <x v="3"/>
    <x v="1"/>
    <x v="89"/>
    <x v="2"/>
    <s v="gcc"/>
    <n v="2"/>
  </r>
  <r>
    <x v="3"/>
    <x v="1"/>
    <x v="89"/>
    <x v="3"/>
    <s v="gcc"/>
    <n v="4"/>
  </r>
  <r>
    <x v="3"/>
    <x v="1"/>
    <x v="38"/>
    <x v="2"/>
    <s v="gcc"/>
    <n v="1"/>
  </r>
  <r>
    <x v="3"/>
    <x v="1"/>
    <x v="112"/>
    <x v="2"/>
    <s v="gcc"/>
    <n v="1"/>
  </r>
  <r>
    <x v="3"/>
    <x v="1"/>
    <x v="112"/>
    <x v="3"/>
    <s v="gcc"/>
    <n v="1"/>
  </r>
  <r>
    <x v="3"/>
    <x v="1"/>
    <x v="166"/>
    <x v="2"/>
    <s v="gcc"/>
    <n v="2"/>
  </r>
  <r>
    <x v="3"/>
    <x v="1"/>
    <x v="138"/>
    <x v="3"/>
    <s v="gcc"/>
    <n v="4"/>
  </r>
  <r>
    <x v="3"/>
    <x v="1"/>
    <x v="87"/>
    <x v="2"/>
    <s v="gcc"/>
    <n v="1"/>
  </r>
  <r>
    <x v="3"/>
    <x v="1"/>
    <x v="169"/>
    <x v="4"/>
    <s v="gcc"/>
    <n v="2"/>
  </r>
  <r>
    <x v="3"/>
    <x v="1"/>
    <x v="84"/>
    <x v="3"/>
    <s v="gcc"/>
    <n v="7"/>
  </r>
  <r>
    <x v="3"/>
    <x v="1"/>
    <x v="28"/>
    <x v="4"/>
    <s v="gcc"/>
    <n v="2"/>
  </r>
  <r>
    <x v="3"/>
    <x v="1"/>
    <x v="68"/>
    <x v="4"/>
    <s v="gcc"/>
    <n v="3"/>
  </r>
  <r>
    <x v="3"/>
    <x v="1"/>
    <x v="142"/>
    <x v="2"/>
    <s v="gcc"/>
    <n v="1"/>
  </r>
  <r>
    <x v="3"/>
    <x v="1"/>
    <x v="56"/>
    <x v="2"/>
    <s v="gcc"/>
    <n v="1"/>
  </r>
  <r>
    <x v="3"/>
    <x v="1"/>
    <x v="128"/>
    <x v="4"/>
    <s v="gcc"/>
    <n v="2"/>
  </r>
  <r>
    <x v="3"/>
    <x v="1"/>
    <x v="75"/>
    <x v="2"/>
    <s v="gcc"/>
    <n v="2"/>
  </r>
  <r>
    <x v="3"/>
    <x v="1"/>
    <x v="124"/>
    <x v="2"/>
    <s v="gcc"/>
    <n v="2"/>
  </r>
  <r>
    <x v="3"/>
    <x v="1"/>
    <x v="106"/>
    <x v="3"/>
    <s v="gcc"/>
    <n v="4"/>
  </r>
  <r>
    <x v="3"/>
    <x v="1"/>
    <x v="126"/>
    <x v="3"/>
    <s v="gcc"/>
    <n v="6"/>
  </r>
  <r>
    <x v="3"/>
    <x v="1"/>
    <x v="143"/>
    <x v="3"/>
    <s v="gcc"/>
    <n v="1"/>
  </r>
  <r>
    <x v="3"/>
    <x v="1"/>
    <x v="143"/>
    <x v="4"/>
    <s v="gcc"/>
    <n v="1"/>
  </r>
  <r>
    <x v="3"/>
    <x v="1"/>
    <x v="82"/>
    <x v="4"/>
    <s v="gcc"/>
    <n v="1"/>
  </r>
  <r>
    <x v="3"/>
    <x v="1"/>
    <x v="157"/>
    <x v="3"/>
    <s v="gcc"/>
    <n v="1"/>
  </r>
  <r>
    <x v="3"/>
    <x v="1"/>
    <x v="62"/>
    <x v="5"/>
    <s v="gcc"/>
    <n v="8"/>
  </r>
  <r>
    <x v="3"/>
    <x v="1"/>
    <x v="62"/>
    <x v="6"/>
    <s v="gcc"/>
    <n v="8"/>
  </r>
  <r>
    <x v="3"/>
    <x v="1"/>
    <x v="62"/>
    <x v="2"/>
    <s v="gcc"/>
    <n v="1"/>
  </r>
  <r>
    <x v="3"/>
    <x v="1"/>
    <x v="51"/>
    <x v="3"/>
    <s v="gcc"/>
    <n v="1"/>
  </r>
  <r>
    <x v="3"/>
    <x v="1"/>
    <x v="224"/>
    <x v="9"/>
    <s v="gcc"/>
    <n v="1"/>
  </r>
  <r>
    <x v="3"/>
    <x v="1"/>
    <x v="46"/>
    <x v="9"/>
    <s v="gcc"/>
    <n v="1"/>
  </r>
  <r>
    <x v="3"/>
    <x v="2"/>
    <x v="112"/>
    <x v="2"/>
    <s v="gcc"/>
    <n v="1"/>
  </r>
  <r>
    <x v="3"/>
    <x v="2"/>
    <x v="87"/>
    <x v="2"/>
    <s v="gcc"/>
    <n v="2"/>
  </r>
  <r>
    <x v="3"/>
    <x v="2"/>
    <x v="56"/>
    <x v="2"/>
    <s v="gcc"/>
    <n v="1"/>
  </r>
  <r>
    <x v="3"/>
    <x v="2"/>
    <x v="128"/>
    <x v="4"/>
    <s v="gcc"/>
    <n v="2"/>
  </r>
  <r>
    <x v="3"/>
    <x v="2"/>
    <x v="126"/>
    <x v="3"/>
    <s v="gcc"/>
    <n v="3"/>
  </r>
  <r>
    <x v="3"/>
    <x v="2"/>
    <x v="82"/>
    <x v="4"/>
    <s v="gcc"/>
    <n v="1"/>
  </r>
  <r>
    <x v="3"/>
    <x v="2"/>
    <x v="62"/>
    <x v="5"/>
    <s v="gcc"/>
    <n v="4"/>
  </r>
  <r>
    <x v="3"/>
    <x v="2"/>
    <x v="62"/>
    <x v="6"/>
    <s v="gcc"/>
    <n v="4"/>
  </r>
  <r>
    <x v="3"/>
    <x v="2"/>
    <x v="224"/>
    <x v="9"/>
    <s v="gcc"/>
    <n v="1"/>
  </r>
  <r>
    <x v="3"/>
    <x v="3"/>
    <x v="112"/>
    <x v="2"/>
    <s v="gcc"/>
    <n v="1"/>
  </r>
  <r>
    <x v="3"/>
    <x v="3"/>
    <x v="87"/>
    <x v="3"/>
    <s v="gcc"/>
    <n v="1"/>
  </r>
  <r>
    <x v="3"/>
    <x v="3"/>
    <x v="87"/>
    <x v="2"/>
    <s v="gcc"/>
    <n v="1"/>
  </r>
  <r>
    <x v="3"/>
    <x v="3"/>
    <x v="126"/>
    <x v="1"/>
    <s v="gcc"/>
    <n v="1"/>
  </r>
  <r>
    <x v="3"/>
    <x v="3"/>
    <x v="82"/>
    <x v="4"/>
    <s v="gcc"/>
    <n v="1"/>
  </r>
  <r>
    <x v="3"/>
    <x v="3"/>
    <x v="62"/>
    <x v="5"/>
    <s v="gcc"/>
    <n v="4"/>
  </r>
  <r>
    <x v="3"/>
    <x v="3"/>
    <x v="62"/>
    <x v="6"/>
    <s v="gcc"/>
    <n v="4"/>
  </r>
  <r>
    <x v="3"/>
    <x v="4"/>
    <x v="82"/>
    <x v="4"/>
    <s v="gcc"/>
    <n v="1"/>
  </r>
  <r>
    <x v="3"/>
    <x v="4"/>
    <x v="62"/>
    <x v="5"/>
    <s v="gcc"/>
    <n v="4"/>
  </r>
  <r>
    <x v="3"/>
    <x v="4"/>
    <x v="62"/>
    <x v="6"/>
    <s v="gcc"/>
    <n v="4"/>
  </r>
  <r>
    <x v="3"/>
    <x v="5"/>
    <x v="82"/>
    <x v="4"/>
    <s v="gcc"/>
    <n v="1"/>
  </r>
  <r>
    <x v="3"/>
    <x v="5"/>
    <x v="62"/>
    <x v="5"/>
    <s v="gcc"/>
    <n v="2"/>
  </r>
  <r>
    <x v="3"/>
    <x v="5"/>
    <x v="62"/>
    <x v="6"/>
    <s v="gcc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63F4B-DE4D-B64A-BB15-ED04A765192E}" name="Tabela dinâmica8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149:L374" firstHeaderRow="1" firstDataRow="2" firstDataCol="1" rowPageCount="1" colPageCount="1"/>
  <pivotFields count="6">
    <pivotField axis="axisCol" numFmtId="49" showAll="0">
      <items count="5">
        <item x="0"/>
        <item x="1"/>
        <item x="2"/>
        <item x="3"/>
        <item t="default"/>
      </items>
    </pivotField>
    <pivotField axis="axisPage" numFmtId="49" multipleItemSelectionAllowed="1" showAll="0">
      <items count="8">
        <item x="0"/>
        <item h="1" x="1"/>
        <item h="1" x="2"/>
        <item h="1" x="3"/>
        <item h="1" x="4"/>
        <item h="1" x="5"/>
        <item h="1" x="6"/>
        <item t="default"/>
      </items>
    </pivotField>
    <pivotField axis="axisRow" showAll="0" sortType="descending">
      <items count="226">
        <item x="0"/>
        <item x="158"/>
        <item x="1"/>
        <item x="198"/>
        <item x="2"/>
        <item x="3"/>
        <item x="4"/>
        <item x="5"/>
        <item x="6"/>
        <item x="7"/>
        <item x="8"/>
        <item x="9"/>
        <item x="10"/>
        <item x="11"/>
        <item x="12"/>
        <item x="177"/>
        <item x="196"/>
        <item x="13"/>
        <item x="14"/>
        <item x="15"/>
        <item x="16"/>
        <item x="218"/>
        <item x="17"/>
        <item x="179"/>
        <item x="191"/>
        <item x="203"/>
        <item x="18"/>
        <item x="19"/>
        <item x="167"/>
        <item x="207"/>
        <item x="20"/>
        <item x="21"/>
        <item x="22"/>
        <item x="23"/>
        <item x="160"/>
        <item x="24"/>
        <item x="25"/>
        <item x="26"/>
        <item x="27"/>
        <item x="28"/>
        <item x="29"/>
        <item x="159"/>
        <item x="30"/>
        <item x="31"/>
        <item x="32"/>
        <item x="33"/>
        <item x="34"/>
        <item x="35"/>
        <item x="205"/>
        <item x="36"/>
        <item x="37"/>
        <item x="174"/>
        <item x="38"/>
        <item x="39"/>
        <item x="40"/>
        <item x="41"/>
        <item x="42"/>
        <item x="168"/>
        <item x="43"/>
        <item x="44"/>
        <item x="211"/>
        <item x="206"/>
        <item x="183"/>
        <item x="45"/>
        <item x="190"/>
        <item x="46"/>
        <item x="182"/>
        <item x="47"/>
        <item x="48"/>
        <item x="181"/>
        <item x="49"/>
        <item x="50"/>
        <item x="224"/>
        <item x="204"/>
        <item x="51"/>
        <item x="186"/>
        <item x="52"/>
        <item x="53"/>
        <item x="54"/>
        <item x="55"/>
        <item x="56"/>
        <item x="170"/>
        <item x="57"/>
        <item x="58"/>
        <item x="210"/>
        <item x="59"/>
        <item x="60"/>
        <item x="61"/>
        <item x="62"/>
        <item x="178"/>
        <item x="63"/>
        <item x="64"/>
        <item x="65"/>
        <item x="66"/>
        <item x="67"/>
        <item x="68"/>
        <item x="164"/>
        <item x="69"/>
        <item x="70"/>
        <item x="71"/>
        <item x="161"/>
        <item x="72"/>
        <item x="219"/>
        <item x="199"/>
        <item x="176"/>
        <item x="223"/>
        <item x="73"/>
        <item x="202"/>
        <item x="74"/>
        <item x="75"/>
        <item x="76"/>
        <item x="77"/>
        <item x="78"/>
        <item x="180"/>
        <item x="79"/>
        <item x="215"/>
        <item x="80"/>
        <item x="173"/>
        <item x="81"/>
        <item x="82"/>
        <item x="83"/>
        <item x="84"/>
        <item x="85"/>
        <item x="86"/>
        <item x="193"/>
        <item x="87"/>
        <item x="88"/>
        <item x="89"/>
        <item x="90"/>
        <item x="91"/>
        <item x="92"/>
        <item x="93"/>
        <item x="222"/>
        <item x="94"/>
        <item x="95"/>
        <item x="96"/>
        <item x="97"/>
        <item x="185"/>
        <item x="166"/>
        <item x="98"/>
        <item x="171"/>
        <item x="99"/>
        <item x="100"/>
        <item x="220"/>
        <item x="189"/>
        <item x="101"/>
        <item x="102"/>
        <item x="103"/>
        <item x="104"/>
        <item x="105"/>
        <item x="106"/>
        <item x="165"/>
        <item x="107"/>
        <item x="108"/>
        <item x="109"/>
        <item x="110"/>
        <item x="111"/>
        <item x="112"/>
        <item x="113"/>
        <item x="114"/>
        <item x="197"/>
        <item x="115"/>
        <item x="116"/>
        <item x="117"/>
        <item x="118"/>
        <item x="119"/>
        <item x="201"/>
        <item x="120"/>
        <item x="121"/>
        <item x="122"/>
        <item x="200"/>
        <item x="123"/>
        <item x="124"/>
        <item x="125"/>
        <item x="126"/>
        <item x="127"/>
        <item x="172"/>
        <item x="162"/>
        <item x="128"/>
        <item x="129"/>
        <item x="157"/>
        <item x="217"/>
        <item x="187"/>
        <item x="130"/>
        <item x="131"/>
        <item x="132"/>
        <item x="133"/>
        <item x="134"/>
        <item x="169"/>
        <item x="135"/>
        <item x="216"/>
        <item x="136"/>
        <item x="137"/>
        <item x="213"/>
        <item x="208"/>
        <item x="138"/>
        <item x="139"/>
        <item x="140"/>
        <item x="141"/>
        <item x="142"/>
        <item x="188"/>
        <item x="163"/>
        <item x="143"/>
        <item x="144"/>
        <item x="192"/>
        <item x="195"/>
        <item x="145"/>
        <item x="214"/>
        <item x="194"/>
        <item x="146"/>
        <item x="147"/>
        <item x="148"/>
        <item x="149"/>
        <item x="150"/>
        <item x="151"/>
        <item x="209"/>
        <item x="221"/>
        <item x="152"/>
        <item x="153"/>
        <item x="154"/>
        <item x="155"/>
        <item x="156"/>
        <item x="212"/>
        <item x="175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224">
    <i>
      <x v="88"/>
    </i>
    <i>
      <x v="185"/>
    </i>
    <i>
      <x v="112"/>
    </i>
    <i>
      <x v="125"/>
    </i>
    <i>
      <x v="20"/>
    </i>
    <i>
      <x v="220"/>
    </i>
    <i>
      <x v="33"/>
    </i>
    <i>
      <x v="218"/>
    </i>
    <i>
      <x v="1"/>
    </i>
    <i>
      <x v="188"/>
    </i>
    <i>
      <x v="3"/>
    </i>
    <i>
      <x v="95"/>
    </i>
    <i>
      <x v="172"/>
    </i>
    <i>
      <x v="52"/>
    </i>
    <i>
      <x v="183"/>
    </i>
    <i>
      <x v="15"/>
    </i>
    <i>
      <x v="55"/>
    </i>
    <i>
      <x v="153"/>
    </i>
    <i>
      <x v="197"/>
    </i>
    <i>
      <x v="140"/>
    </i>
    <i>
      <x v="178"/>
    </i>
    <i>
      <x v="110"/>
    </i>
    <i>
      <x v="79"/>
    </i>
    <i>
      <x v="101"/>
    </i>
    <i>
      <x v="203"/>
    </i>
    <i>
      <x v="156"/>
    </i>
    <i>
      <x v="47"/>
    </i>
    <i>
      <x/>
    </i>
    <i>
      <x v="196"/>
    </i>
    <i>
      <x v="19"/>
    </i>
    <i>
      <x v="43"/>
    </i>
    <i>
      <x v="11"/>
    </i>
    <i>
      <x v="138"/>
    </i>
    <i>
      <x v="219"/>
    </i>
    <i>
      <x v="121"/>
    </i>
    <i>
      <x v="141"/>
    </i>
    <i>
      <x v="158"/>
    </i>
    <i>
      <x v="202"/>
    </i>
    <i>
      <x v="87"/>
    </i>
    <i>
      <x v="189"/>
    </i>
    <i>
      <x v="36"/>
    </i>
    <i>
      <x v="63"/>
    </i>
    <i>
      <x v="98"/>
    </i>
    <i>
      <x v="119"/>
    </i>
    <i>
      <x v="109"/>
    </i>
    <i>
      <x v="157"/>
    </i>
    <i>
      <x v="91"/>
    </i>
    <i>
      <x v="30"/>
    </i>
    <i>
      <x v="116"/>
    </i>
    <i>
      <x v="199"/>
    </i>
    <i>
      <x v="120"/>
    </i>
    <i>
      <x v="76"/>
    </i>
    <i>
      <x v="22"/>
    </i>
    <i>
      <x v="187"/>
    </i>
    <i>
      <x v="131"/>
    </i>
    <i>
      <x v="93"/>
    </i>
    <i>
      <x v="142"/>
    </i>
    <i>
      <x v="148"/>
    </i>
    <i>
      <x v="173"/>
    </i>
    <i>
      <x v="217"/>
    </i>
    <i>
      <x v="97"/>
    </i>
    <i>
      <x v="67"/>
    </i>
    <i>
      <x v="150"/>
    </i>
    <i>
      <x v="210"/>
    </i>
    <i>
      <x v="68"/>
    </i>
    <i>
      <x v="221"/>
    </i>
    <i>
      <x v="71"/>
    </i>
    <i>
      <x v="200"/>
    </i>
    <i>
      <x v="85"/>
    </i>
    <i>
      <x v="39"/>
    </i>
    <i>
      <x v="179"/>
    </i>
    <i>
      <x v="211"/>
    </i>
    <i>
      <x v="8"/>
    </i>
    <i>
      <x v="108"/>
    </i>
    <i>
      <x v="195"/>
    </i>
    <i>
      <x v="16"/>
    </i>
    <i>
      <x v="26"/>
    </i>
    <i>
      <x v="114"/>
    </i>
    <i>
      <x v="193"/>
    </i>
    <i>
      <x v="12"/>
    </i>
    <i>
      <x v="17"/>
    </i>
    <i>
      <x v="65"/>
    </i>
    <i>
      <x v="46"/>
    </i>
    <i>
      <x v="213"/>
    </i>
    <i>
      <x v="13"/>
    </i>
    <i>
      <x v="42"/>
    </i>
    <i>
      <x v="86"/>
    </i>
    <i>
      <x v="126"/>
    </i>
    <i>
      <x v="32"/>
    </i>
    <i>
      <x v="44"/>
    </i>
    <i>
      <x v="111"/>
    </i>
    <i>
      <x v="127"/>
    </i>
    <i>
      <x v="214"/>
    </i>
    <i>
      <x v="139"/>
    </i>
    <i>
      <x v="92"/>
    </i>
    <i>
      <x v="166"/>
    </i>
    <i>
      <x v="106"/>
    </i>
    <i>
      <x v="208"/>
    </i>
    <i>
      <x v="4"/>
    </i>
    <i>
      <x v="6"/>
    </i>
    <i>
      <x v="5"/>
    </i>
    <i>
      <x v="89"/>
    </i>
    <i>
      <x v="117"/>
    </i>
    <i>
      <x v="186"/>
    </i>
    <i>
      <x v="123"/>
    </i>
    <i>
      <x v="137"/>
    </i>
    <i>
      <x v="174"/>
    </i>
    <i>
      <x v="74"/>
    </i>
    <i>
      <x v="129"/>
    </i>
    <i>
      <x v="18"/>
    </i>
    <i>
      <x v="147"/>
    </i>
    <i>
      <x v="169"/>
    </i>
    <i>
      <x v="224"/>
    </i>
    <i>
      <x v="77"/>
    </i>
    <i>
      <x v="177"/>
    </i>
    <i>
      <x v="209"/>
    </i>
    <i>
      <x v="58"/>
    </i>
    <i>
      <x v="134"/>
    </i>
    <i>
      <x v="59"/>
    </i>
    <i>
      <x v="81"/>
    </i>
    <i>
      <x v="145"/>
    </i>
    <i>
      <x v="40"/>
    </i>
    <i>
      <x v="146"/>
    </i>
    <i>
      <x v="70"/>
    </i>
    <i>
      <x v="10"/>
    </i>
    <i>
      <x v="135"/>
    </i>
    <i>
      <x v="149"/>
    </i>
    <i>
      <x v="7"/>
    </i>
    <i>
      <x v="155"/>
    </i>
    <i>
      <x v="207"/>
    </i>
    <i>
      <x v="118"/>
    </i>
    <i>
      <x v="84"/>
    </i>
    <i>
      <x v="212"/>
    </i>
    <i>
      <x v="175"/>
    </i>
    <i>
      <x v="51"/>
    </i>
    <i>
      <x v="181"/>
    </i>
    <i>
      <x v="102"/>
    </i>
    <i>
      <x v="184"/>
    </i>
    <i>
      <x v="161"/>
    </i>
    <i>
      <x v="73"/>
    </i>
    <i>
      <x v="162"/>
    </i>
    <i>
      <x v="192"/>
    </i>
    <i>
      <x v="163"/>
    </i>
    <i>
      <x v="198"/>
    </i>
    <i>
      <x v="164"/>
    </i>
    <i>
      <x v="80"/>
    </i>
    <i>
      <x v="165"/>
    </i>
    <i>
      <x v="206"/>
    </i>
    <i>
      <x v="38"/>
    </i>
    <i>
      <x v="41"/>
    </i>
    <i>
      <x v="168"/>
    </i>
    <i>
      <x v="83"/>
    </i>
    <i>
      <x v="128"/>
    </i>
    <i>
      <x v="49"/>
    </i>
    <i>
      <x v="171"/>
    </i>
    <i>
      <x v="35"/>
    </i>
    <i>
      <x v="159"/>
    </i>
    <i>
      <x v="90"/>
    </i>
    <i>
      <x v="160"/>
    </i>
    <i>
      <x v="27"/>
    </i>
    <i>
      <x v="50"/>
    </i>
    <i>
      <x v="104"/>
    </i>
    <i>
      <x v="62"/>
    </i>
    <i>
      <x v="144"/>
    </i>
    <i>
      <x v="191"/>
    </i>
    <i>
      <x v="113"/>
    </i>
    <i>
      <x v="66"/>
    </i>
    <i>
      <x v="96"/>
    </i>
    <i>
      <x v="99"/>
    </i>
    <i>
      <x v="53"/>
    </i>
    <i>
      <x v="216"/>
    </i>
    <i>
      <x v="182"/>
    </i>
    <i>
      <x v="37"/>
    </i>
    <i>
      <x v="56"/>
    </i>
    <i>
      <x v="222"/>
    </i>
    <i>
      <x v="152"/>
    </i>
    <i>
      <x v="14"/>
    </i>
    <i>
      <x v="64"/>
    </i>
    <i>
      <x v="82"/>
    </i>
    <i>
      <x v="9"/>
    </i>
    <i>
      <x v="122"/>
    </i>
    <i>
      <x v="69"/>
    </i>
    <i>
      <x v="78"/>
    </i>
    <i>
      <x v="105"/>
    </i>
    <i>
      <x v="57"/>
    </i>
    <i>
      <x v="151"/>
    </i>
    <i>
      <x v="94"/>
    </i>
    <i>
      <x v="48"/>
    </i>
    <i>
      <x v="223"/>
    </i>
    <i>
      <x v="115"/>
    </i>
    <i>
      <x v="21"/>
    </i>
    <i>
      <x v="154"/>
    </i>
    <i>
      <x v="45"/>
    </i>
    <i>
      <x v="130"/>
    </i>
    <i>
      <x v="167"/>
    </i>
    <i>
      <x v="25"/>
    </i>
    <i>
      <x v="143"/>
    </i>
    <i>
      <x v="190"/>
    </i>
    <i>
      <x v="124"/>
    </i>
    <i>
      <x v="132"/>
    </i>
    <i>
      <x v="23"/>
    </i>
    <i>
      <x v="75"/>
    </i>
    <i>
      <x v="60"/>
    </i>
    <i>
      <x v="100"/>
    </i>
    <i>
      <x v="201"/>
    </i>
    <i>
      <x v="54"/>
    </i>
    <i>
      <x v="34"/>
    </i>
    <i>
      <x v="31"/>
    </i>
    <i>
      <x v="72"/>
    </i>
    <i>
      <x v="61"/>
    </i>
    <i>
      <x v="24"/>
    </i>
    <i>
      <x v="204"/>
    </i>
    <i>
      <x v="133"/>
    </i>
    <i>
      <x v="29"/>
    </i>
    <i>
      <x v="107"/>
    </i>
    <i>
      <x v="28"/>
    </i>
    <i>
      <x v="136"/>
    </i>
    <i>
      <x v="194"/>
    </i>
    <i>
      <x v="170"/>
    </i>
    <i>
      <x v="176"/>
    </i>
    <i>
      <x v="2"/>
    </i>
    <i>
      <x v="205"/>
    </i>
    <i>
      <x v="103"/>
    </i>
    <i>
      <x v="215"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1" hier="-1"/>
  </pageFields>
  <dataFields count="1">
    <dataField name="Soma de frequenc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36D3D-9B7F-B642-8A1B-97C9E6D1871D}" name="Tabela dinâmica5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34:L45" firstHeaderRow="1" firstDataRow="2" firstDataCol="1" rowPageCount="1" colPageCount="1"/>
  <pivotFields count="6">
    <pivotField axis="axisCol" numFmtId="49" showAll="0">
      <items count="5">
        <item x="0"/>
        <item x="1"/>
        <item x="2"/>
        <item x="3"/>
        <item t="default"/>
      </items>
    </pivotField>
    <pivotField axis="axisPage" numFmtId="49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11">
        <item x="7"/>
        <item x="5"/>
        <item x="6"/>
        <item x="2"/>
        <item x="4"/>
        <item x="3"/>
        <item x="8"/>
        <item x="1"/>
        <item x="0"/>
        <item x="9"/>
        <item t="default"/>
      </items>
    </pivotField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1" hier="-1"/>
  </pageFields>
  <dataFields count="1">
    <dataField name="Soma de frequenc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C5E77-B923-7A40-8B30-D2DACCC09EC4}" name="Tabela dinâmica4" cacheId="30" applyNumberFormats="0" applyBorderFormats="0" applyFontFormats="0" applyPatternFormats="0" applyAlignmentFormats="0" applyWidthHeightFormats="1" dataCaption="Valores" missingCaption="0" updatedVersion="8" minRefreshableVersion="3" useAutoFormatting="1" rowGrandTotals="0" colGrandTotals="0" itemPrintTitles="1" createdVersion="8" indent="0" outline="1" outlineData="1" multipleFieldFilters="0">
  <location ref="H2:L10" firstHeaderRow="1" firstDataRow="2" firstDataCol="1"/>
  <pivotFields count="6">
    <pivotField axis="axisCol" numFmtId="49" showAll="0">
      <items count="5">
        <item x="0"/>
        <item x="1"/>
        <item x="2"/>
        <item x="3"/>
        <item t="default"/>
      </items>
    </pivotField>
    <pivotField axis="axisRow" numFmtId="49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oma de frequenc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A5CAA-E7DF-D048-80A3-0A3F8483E0F3}" name="Tabela dinâmica7" cacheId="3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A812" firstHeaderRow="1" firstDataRow="1" firstDataCol="1"/>
  <pivotFields count="6">
    <pivotField axis="axisRow" numFmtId="49" showAll="0">
      <items count="5">
        <item x="0"/>
        <item x="1"/>
        <item x="2"/>
        <item x="3"/>
        <item t="default"/>
      </items>
    </pivotField>
    <pivotField axis="axisRow" numFmtId="49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26">
        <item x="0"/>
        <item x="158"/>
        <item x="1"/>
        <item x="198"/>
        <item x="2"/>
        <item x="3"/>
        <item x="4"/>
        <item x="5"/>
        <item x="6"/>
        <item x="7"/>
        <item x="8"/>
        <item x="9"/>
        <item x="10"/>
        <item x="11"/>
        <item x="12"/>
        <item x="177"/>
        <item x="196"/>
        <item x="13"/>
        <item x="14"/>
        <item x="15"/>
        <item x="16"/>
        <item x="218"/>
        <item x="17"/>
        <item x="179"/>
        <item x="191"/>
        <item x="203"/>
        <item x="18"/>
        <item x="19"/>
        <item x="167"/>
        <item x="207"/>
        <item x="20"/>
        <item x="21"/>
        <item x="22"/>
        <item x="23"/>
        <item x="160"/>
        <item x="24"/>
        <item x="25"/>
        <item x="26"/>
        <item x="27"/>
        <item x="28"/>
        <item x="29"/>
        <item x="159"/>
        <item x="30"/>
        <item x="31"/>
        <item x="32"/>
        <item x="33"/>
        <item x="34"/>
        <item x="35"/>
        <item x="205"/>
        <item x="36"/>
        <item x="37"/>
        <item x="174"/>
        <item x="38"/>
        <item x="39"/>
        <item x="40"/>
        <item x="41"/>
        <item x="42"/>
        <item x="168"/>
        <item x="43"/>
        <item x="44"/>
        <item x="211"/>
        <item x="206"/>
        <item x="183"/>
        <item x="45"/>
        <item x="190"/>
        <item x="46"/>
        <item x="182"/>
        <item x="47"/>
        <item x="48"/>
        <item x="181"/>
        <item x="49"/>
        <item x="50"/>
        <item x="224"/>
        <item x="204"/>
        <item x="51"/>
        <item x="186"/>
        <item x="52"/>
        <item x="53"/>
        <item x="54"/>
        <item x="55"/>
        <item x="56"/>
        <item x="170"/>
        <item x="57"/>
        <item x="58"/>
        <item x="210"/>
        <item x="59"/>
        <item x="60"/>
        <item x="61"/>
        <item x="62"/>
        <item x="178"/>
        <item x="63"/>
        <item x="64"/>
        <item x="65"/>
        <item x="66"/>
        <item x="67"/>
        <item x="68"/>
        <item x="164"/>
        <item x="69"/>
        <item x="70"/>
        <item x="71"/>
        <item x="161"/>
        <item x="72"/>
        <item x="219"/>
        <item x="199"/>
        <item x="176"/>
        <item x="223"/>
        <item x="73"/>
        <item x="202"/>
        <item x="74"/>
        <item x="75"/>
        <item x="76"/>
        <item x="77"/>
        <item x="78"/>
        <item x="180"/>
        <item x="79"/>
        <item x="215"/>
        <item x="80"/>
        <item x="173"/>
        <item x="81"/>
        <item x="82"/>
        <item x="83"/>
        <item x="84"/>
        <item x="85"/>
        <item x="86"/>
        <item x="193"/>
        <item x="87"/>
        <item x="88"/>
        <item x="89"/>
        <item x="90"/>
        <item x="91"/>
        <item x="92"/>
        <item x="93"/>
        <item x="222"/>
        <item x="94"/>
        <item x="95"/>
        <item x="96"/>
        <item x="97"/>
        <item x="185"/>
        <item x="166"/>
        <item x="98"/>
        <item x="171"/>
        <item x="99"/>
        <item x="100"/>
        <item x="220"/>
        <item x="189"/>
        <item x="101"/>
        <item x="102"/>
        <item x="103"/>
        <item x="104"/>
        <item x="105"/>
        <item x="106"/>
        <item x="165"/>
        <item x="107"/>
        <item x="108"/>
        <item x="109"/>
        <item x="110"/>
        <item x="111"/>
        <item x="112"/>
        <item x="113"/>
        <item x="114"/>
        <item x="197"/>
        <item x="115"/>
        <item x="116"/>
        <item x="117"/>
        <item x="118"/>
        <item x="119"/>
        <item x="201"/>
        <item x="120"/>
        <item x="121"/>
        <item x="122"/>
        <item x="200"/>
        <item x="123"/>
        <item x="124"/>
        <item x="125"/>
        <item x="126"/>
        <item x="127"/>
        <item x="172"/>
        <item x="162"/>
        <item x="128"/>
        <item x="129"/>
        <item x="157"/>
        <item x="217"/>
        <item x="187"/>
        <item x="130"/>
        <item x="131"/>
        <item x="132"/>
        <item x="133"/>
        <item x="134"/>
        <item x="169"/>
        <item x="135"/>
        <item x="216"/>
        <item x="136"/>
        <item x="137"/>
        <item x="213"/>
        <item x="208"/>
        <item x="138"/>
        <item x="139"/>
        <item x="140"/>
        <item x="141"/>
        <item x="142"/>
        <item x="188"/>
        <item x="163"/>
        <item x="143"/>
        <item x="144"/>
        <item x="192"/>
        <item x="195"/>
        <item x="145"/>
        <item x="214"/>
        <item x="194"/>
        <item x="146"/>
        <item x="147"/>
        <item x="148"/>
        <item x="149"/>
        <item x="150"/>
        <item x="151"/>
        <item x="209"/>
        <item x="221"/>
        <item x="152"/>
        <item x="153"/>
        <item x="154"/>
        <item x="155"/>
        <item x="156"/>
        <item x="212"/>
        <item x="175"/>
        <item x="184"/>
        <item t="default"/>
      </items>
    </pivotField>
    <pivotField showAll="0"/>
    <pivotField showAll="0"/>
    <pivotField showAll="0"/>
  </pivotFields>
  <rowFields count="3">
    <field x="1"/>
    <field x="0"/>
    <field x="2"/>
  </rowFields>
  <rowItems count="809">
    <i>
      <x/>
    </i>
    <i r="1">
      <x/>
    </i>
    <i r="2">
      <x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7"/>
    </i>
    <i r="2">
      <x v="18"/>
    </i>
    <i r="2">
      <x v="19"/>
    </i>
    <i r="2">
      <x v="20"/>
    </i>
    <i r="2">
      <x v="22"/>
    </i>
    <i r="2">
      <x v="26"/>
    </i>
    <i r="2">
      <x v="27"/>
    </i>
    <i r="2">
      <x v="30"/>
    </i>
    <i r="2">
      <x v="31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9"/>
    </i>
    <i r="2">
      <x v="50"/>
    </i>
    <i r="2">
      <x v="52"/>
    </i>
    <i r="2">
      <x v="53"/>
    </i>
    <i r="2">
      <x v="54"/>
    </i>
    <i r="2">
      <x v="55"/>
    </i>
    <i r="2">
      <x v="56"/>
    </i>
    <i r="2">
      <x v="58"/>
    </i>
    <i r="2">
      <x v="59"/>
    </i>
    <i r="2">
      <x v="63"/>
    </i>
    <i r="2">
      <x v="65"/>
    </i>
    <i r="2">
      <x v="67"/>
    </i>
    <i r="2">
      <x v="68"/>
    </i>
    <i r="2">
      <x v="70"/>
    </i>
    <i r="2">
      <x v="71"/>
    </i>
    <i r="2">
      <x v="74"/>
    </i>
    <i r="2">
      <x v="76"/>
    </i>
    <i r="2">
      <x v="77"/>
    </i>
    <i r="2">
      <x v="78"/>
    </i>
    <i r="2">
      <x v="79"/>
    </i>
    <i r="2">
      <x v="80"/>
    </i>
    <i r="2">
      <x v="82"/>
    </i>
    <i r="2">
      <x v="83"/>
    </i>
    <i r="2">
      <x v="85"/>
    </i>
    <i r="2">
      <x v="86"/>
    </i>
    <i r="2">
      <x v="87"/>
    </i>
    <i r="2">
      <x v="88"/>
    </i>
    <i r="2">
      <x v="90"/>
    </i>
    <i r="2">
      <x v="91"/>
    </i>
    <i r="2">
      <x v="92"/>
    </i>
    <i r="2">
      <x v="93"/>
    </i>
    <i r="2">
      <x v="94"/>
    </i>
    <i r="2">
      <x v="95"/>
    </i>
    <i r="2">
      <x v="97"/>
    </i>
    <i r="2">
      <x v="98"/>
    </i>
    <i r="2">
      <x v="99"/>
    </i>
    <i r="2">
      <x v="101"/>
    </i>
    <i r="2">
      <x v="106"/>
    </i>
    <i r="2">
      <x v="108"/>
    </i>
    <i r="2">
      <x v="109"/>
    </i>
    <i r="2">
      <x v="110"/>
    </i>
    <i r="2">
      <x v="111"/>
    </i>
    <i r="2">
      <x v="112"/>
    </i>
    <i r="2">
      <x v="114"/>
    </i>
    <i r="2">
      <x v="116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3"/>
    </i>
    <i r="2">
      <x v="134"/>
    </i>
    <i r="2">
      <x v="135"/>
    </i>
    <i r="2">
      <x v="136"/>
    </i>
    <i r="2">
      <x v="139"/>
    </i>
    <i r="2">
      <x v="141"/>
    </i>
    <i r="2">
      <x v="142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1"/>
    </i>
    <i r="2">
      <x v="162"/>
    </i>
    <i r="2">
      <x v="163"/>
    </i>
    <i r="2">
      <x v="164"/>
    </i>
    <i r="2">
      <x v="165"/>
    </i>
    <i r="2">
      <x v="167"/>
    </i>
    <i r="2">
      <x v="168"/>
    </i>
    <i r="2">
      <x v="169"/>
    </i>
    <i r="2">
      <x v="171"/>
    </i>
    <i r="2">
      <x v="172"/>
    </i>
    <i r="2">
      <x v="173"/>
    </i>
    <i r="2">
      <x v="174"/>
    </i>
    <i r="2">
      <x v="175"/>
    </i>
    <i r="2">
      <x v="178"/>
    </i>
    <i r="2">
      <x v="179"/>
    </i>
    <i r="2">
      <x v="183"/>
    </i>
    <i r="2">
      <x v="184"/>
    </i>
    <i r="2">
      <x v="185"/>
    </i>
    <i r="2">
      <x v="186"/>
    </i>
    <i r="2">
      <x v="187"/>
    </i>
    <i r="2">
      <x v="189"/>
    </i>
    <i r="2">
      <x v="191"/>
    </i>
    <i r="2">
      <x v="192"/>
    </i>
    <i r="2">
      <x v="195"/>
    </i>
    <i r="2">
      <x v="196"/>
    </i>
    <i r="2">
      <x v="197"/>
    </i>
    <i r="2">
      <x v="198"/>
    </i>
    <i r="2">
      <x v="199"/>
    </i>
    <i r="2">
      <x v="202"/>
    </i>
    <i r="2">
      <x v="203"/>
    </i>
    <i r="2">
      <x v="206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7"/>
    </i>
    <i r="2">
      <x v="218"/>
    </i>
    <i r="2">
      <x v="219"/>
    </i>
    <i r="2">
      <x v="220"/>
    </i>
    <i r="2">
      <x v="221"/>
    </i>
    <i r="1">
      <x v="1"/>
    </i>
    <i r="2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2">
      <x v="47"/>
    </i>
    <i r="2">
      <x v="49"/>
    </i>
    <i r="2">
      <x v="51"/>
    </i>
    <i r="2">
      <x v="52"/>
    </i>
    <i r="2">
      <x v="53"/>
    </i>
    <i r="2">
      <x v="55"/>
    </i>
    <i r="2">
      <x v="56"/>
    </i>
    <i r="2">
      <x v="57"/>
    </i>
    <i r="2">
      <x v="58"/>
    </i>
    <i r="2">
      <x v="59"/>
    </i>
    <i r="2">
      <x v="62"/>
    </i>
    <i r="2">
      <x v="63"/>
    </i>
    <i r="2">
      <x v="64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4"/>
    </i>
    <i r="2">
      <x v="75"/>
    </i>
    <i r="2">
      <x v="76"/>
    </i>
    <i r="2">
      <x v="77"/>
    </i>
    <i r="2">
      <x v="79"/>
    </i>
    <i r="2">
      <x v="80"/>
    </i>
    <i r="2">
      <x v="81"/>
    </i>
    <i r="2">
      <x v="82"/>
    </i>
    <i r="2">
      <x v="83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2"/>
    </i>
    <i r="2">
      <x v="93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4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6"/>
    </i>
    <i r="2">
      <x v="117"/>
    </i>
    <i r="2">
      <x v="118"/>
    </i>
    <i r="2">
      <x v="121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1"/>
    </i>
    <i r="2">
      <x v="134"/>
    </i>
    <i r="2">
      <x v="135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4"/>
    </i>
    <i r="2">
      <x v="145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5"/>
    </i>
    <i r="2">
      <x v="156"/>
    </i>
    <i r="2">
      <x v="158"/>
    </i>
    <i r="2">
      <x v="159"/>
    </i>
    <i r="2">
      <x v="160"/>
    </i>
    <i r="2">
      <x v="161"/>
    </i>
    <i r="2">
      <x v="163"/>
    </i>
    <i r="2">
      <x v="164"/>
    </i>
    <i r="2">
      <x v="165"/>
    </i>
    <i r="2">
      <x v="168"/>
    </i>
    <i r="2">
      <x v="169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1"/>
    </i>
    <i r="2">
      <x v="192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7"/>
    </i>
    <i r="2">
      <x v="218"/>
    </i>
    <i r="2">
      <x v="219"/>
    </i>
    <i r="2">
      <x v="220"/>
    </i>
    <i r="2">
      <x v="221"/>
    </i>
    <i r="2">
      <x v="223"/>
    </i>
    <i r="2">
      <x v="224"/>
    </i>
    <i r="1">
      <x v="2"/>
    </i>
    <i r="2">
      <x v="1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2"/>
    </i>
    <i r="2">
      <x v="25"/>
    </i>
    <i r="2">
      <x v="26"/>
    </i>
    <i r="2">
      <x v="27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5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5"/>
    </i>
    <i r="2">
      <x v="66"/>
    </i>
    <i r="2">
      <x v="67"/>
    </i>
    <i r="2">
      <x v="68"/>
    </i>
    <i r="2">
      <x v="70"/>
    </i>
    <i r="2">
      <x v="71"/>
    </i>
    <i r="2">
      <x v="73"/>
    </i>
    <i r="2">
      <x v="74"/>
    </i>
    <i r="2">
      <x v="75"/>
    </i>
    <i r="2">
      <x v="76"/>
    </i>
    <i r="2">
      <x v="77"/>
    </i>
    <i r="2">
      <x v="80"/>
    </i>
    <i r="2">
      <x v="83"/>
    </i>
    <i r="2">
      <x v="84"/>
    </i>
    <i r="2">
      <x v="85"/>
    </i>
    <i r="2">
      <x v="87"/>
    </i>
    <i r="2">
      <x v="88"/>
    </i>
    <i r="2">
      <x v="89"/>
    </i>
    <i r="2">
      <x v="90"/>
    </i>
    <i r="2">
      <x v="91"/>
    </i>
    <i r="2">
      <x v="92"/>
    </i>
    <i r="2">
      <x v="94"/>
    </i>
    <i r="2">
      <x v="96"/>
    </i>
    <i r="2">
      <x v="97"/>
    </i>
    <i r="2">
      <x v="98"/>
    </i>
    <i r="2">
      <x v="99"/>
    </i>
    <i r="2">
      <x v="101"/>
    </i>
    <i r="2">
      <x v="103"/>
    </i>
    <i r="2">
      <x v="104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3"/>
    </i>
    <i r="2">
      <x v="127"/>
    </i>
    <i r="2">
      <x v="128"/>
    </i>
    <i r="2">
      <x v="129"/>
    </i>
    <i r="2">
      <x v="131"/>
    </i>
    <i r="2">
      <x v="134"/>
    </i>
    <i r="2">
      <x v="135"/>
    </i>
    <i r="2">
      <x v="140"/>
    </i>
    <i r="2">
      <x v="141"/>
    </i>
    <i r="2">
      <x v="142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9"/>
    </i>
    <i r="2">
      <x v="161"/>
    </i>
    <i r="2">
      <x v="163"/>
    </i>
    <i r="2">
      <x v="164"/>
    </i>
    <i r="2">
      <x v="165"/>
    </i>
    <i r="2">
      <x v="166"/>
    </i>
    <i r="2">
      <x v="168"/>
    </i>
    <i r="2">
      <x v="169"/>
    </i>
    <i r="2">
      <x v="170"/>
    </i>
    <i r="2">
      <x v="171"/>
    </i>
    <i r="2">
      <x v="172"/>
    </i>
    <i r="2">
      <x v="174"/>
    </i>
    <i r="2">
      <x v="175"/>
    </i>
    <i r="2">
      <x v="177"/>
    </i>
    <i r="2">
      <x v="178"/>
    </i>
    <i r="2">
      <x v="179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1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2"/>
    </i>
    <i r="2">
      <x v="203"/>
    </i>
    <i r="2">
      <x v="206"/>
    </i>
    <i r="2">
      <x v="207"/>
    </i>
    <i r="2">
      <x v="209"/>
    </i>
    <i r="2">
      <x v="210"/>
    </i>
    <i r="2">
      <x v="211"/>
    </i>
    <i r="2">
      <x v="212"/>
    </i>
    <i r="2">
      <x v="213"/>
    </i>
    <i r="2">
      <x v="214"/>
    </i>
    <i r="2">
      <x v="215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1">
      <x v="3"/>
    </i>
    <i r="2">
      <x v="1"/>
    </i>
    <i r="2">
      <x v="3"/>
    </i>
    <i r="2">
      <x v="4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5"/>
    </i>
    <i r="2">
      <x v="26"/>
    </i>
    <i r="2">
      <x v="27"/>
    </i>
    <i r="2">
      <x v="30"/>
    </i>
    <i r="2">
      <x v="32"/>
    </i>
    <i r="2">
      <x v="33"/>
    </i>
    <i r="2">
      <x v="35"/>
    </i>
    <i r="2">
      <x v="36"/>
    </i>
    <i r="2">
      <x v="38"/>
    </i>
    <i r="2">
      <x v="39"/>
    </i>
    <i r="2">
      <x v="40"/>
    </i>
    <i r="2">
      <x v="42"/>
    </i>
    <i r="2">
      <x v="44"/>
    </i>
    <i r="2">
      <x v="46"/>
    </i>
    <i r="2">
      <x v="47"/>
    </i>
    <i r="2">
      <x v="48"/>
    </i>
    <i r="2">
      <x v="49"/>
    </i>
    <i r="2">
      <x v="50"/>
    </i>
    <i r="2">
      <x v="52"/>
    </i>
    <i r="2">
      <x v="53"/>
    </i>
    <i r="2">
      <x v="55"/>
    </i>
    <i r="2">
      <x v="59"/>
    </i>
    <i r="2">
      <x v="60"/>
    </i>
    <i r="2">
      <x v="65"/>
    </i>
    <i r="2">
      <x v="66"/>
    </i>
    <i r="2">
      <x v="67"/>
    </i>
    <i r="2">
      <x v="68"/>
    </i>
    <i r="2">
      <x v="70"/>
    </i>
    <i r="2">
      <x v="71"/>
    </i>
    <i r="2">
      <x v="72"/>
    </i>
    <i r="2">
      <x v="73"/>
    </i>
    <i r="2">
      <x v="74"/>
    </i>
    <i r="2">
      <x v="77"/>
    </i>
    <i r="2">
      <x v="78"/>
    </i>
    <i r="2">
      <x v="80"/>
    </i>
    <i r="2">
      <x v="81"/>
    </i>
    <i r="2">
      <x v="83"/>
    </i>
    <i r="2">
      <x v="85"/>
    </i>
    <i r="2">
      <x v="86"/>
    </i>
    <i r="2">
      <x v="87"/>
    </i>
    <i r="2">
      <x v="88"/>
    </i>
    <i r="2">
      <x v="90"/>
    </i>
    <i r="2">
      <x v="91"/>
    </i>
    <i r="2">
      <x v="93"/>
    </i>
    <i r="2">
      <x v="95"/>
    </i>
    <i r="2">
      <x v="96"/>
    </i>
    <i r="2">
      <x v="97"/>
    </i>
    <i r="2">
      <x v="98"/>
    </i>
    <i r="2">
      <x v="101"/>
    </i>
    <i r="2">
      <x v="102"/>
    </i>
    <i r="2">
      <x v="104"/>
    </i>
    <i r="2">
      <x v="105"/>
    </i>
    <i r="2">
      <x v="106"/>
    </i>
    <i r="2">
      <x v="108"/>
    </i>
    <i r="2">
      <x v="109"/>
    </i>
    <i r="2">
      <x v="110"/>
    </i>
    <i r="2">
      <x v="112"/>
    </i>
    <i r="2">
      <x v="114"/>
    </i>
    <i r="2">
      <x v="115"/>
    </i>
    <i r="2">
      <x v="116"/>
    </i>
    <i r="2">
      <x v="118"/>
    </i>
    <i r="2">
      <x v="119"/>
    </i>
    <i r="2">
      <x v="121"/>
    </i>
    <i r="2">
      <x v="123"/>
    </i>
    <i r="2">
      <x v="125"/>
    </i>
    <i r="2">
      <x v="126"/>
    </i>
    <i r="2">
      <x v="127"/>
    </i>
    <i r="2">
      <x v="128"/>
    </i>
    <i r="2">
      <x v="132"/>
    </i>
    <i r="2">
      <x v="134"/>
    </i>
    <i r="2">
      <x v="135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7"/>
    </i>
    <i r="2">
      <x v="148"/>
    </i>
    <i r="2">
      <x v="149"/>
    </i>
    <i r="2">
      <x v="150"/>
    </i>
    <i r="2">
      <x v="151"/>
    </i>
    <i r="2">
      <x v="153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3"/>
    </i>
    <i r="2">
      <x v="164"/>
    </i>
    <i r="2">
      <x v="165"/>
    </i>
    <i r="2">
      <x v="168"/>
    </i>
    <i r="2">
      <x v="169"/>
    </i>
    <i r="2">
      <x v="171"/>
    </i>
    <i r="2">
      <x v="172"/>
    </i>
    <i r="2">
      <x v="173"/>
    </i>
    <i r="2">
      <x v="174"/>
    </i>
    <i r="2">
      <x v="175"/>
    </i>
    <i r="2">
      <x v="178"/>
    </i>
    <i r="2">
      <x v="179"/>
    </i>
    <i r="2">
      <x v="181"/>
    </i>
    <i r="2">
      <x v="182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2"/>
    </i>
    <i r="2">
      <x v="203"/>
    </i>
    <i r="2">
      <x v="206"/>
    </i>
    <i r="2">
      <x v="208"/>
    </i>
    <i r="2">
      <x v="209"/>
    </i>
    <i r="2">
      <x v="210"/>
    </i>
    <i r="2">
      <x v="211"/>
    </i>
    <i r="2">
      <x v="212"/>
    </i>
    <i r="2">
      <x v="213"/>
    </i>
    <i r="2">
      <x v="216"/>
    </i>
    <i r="2">
      <x v="217"/>
    </i>
    <i r="2">
      <x v="218"/>
    </i>
    <i r="2">
      <x v="219"/>
    </i>
    <i r="2">
      <x v="220"/>
    </i>
    <i r="2">
      <x v="221"/>
    </i>
    <i>
      <x v="1"/>
    </i>
    <i r="1">
      <x/>
    </i>
    <i r="2">
      <x v="1"/>
    </i>
    <i r="2">
      <x v="4"/>
    </i>
    <i r="2">
      <x v="19"/>
    </i>
    <i r="2">
      <x v="36"/>
    </i>
    <i r="2">
      <x v="53"/>
    </i>
    <i r="2">
      <x v="68"/>
    </i>
    <i r="2">
      <x v="88"/>
    </i>
    <i r="2">
      <x v="93"/>
    </i>
    <i r="2">
      <x v="95"/>
    </i>
    <i r="2">
      <x v="109"/>
    </i>
    <i r="2">
      <x v="125"/>
    </i>
    <i r="2">
      <x v="129"/>
    </i>
    <i r="2">
      <x v="162"/>
    </i>
    <i r="2">
      <x v="180"/>
    </i>
    <i r="1">
      <x v="1"/>
    </i>
    <i r="2">
      <x v="1"/>
    </i>
    <i r="2">
      <x v="3"/>
    </i>
    <i r="2">
      <x v="36"/>
    </i>
    <i r="2">
      <x v="52"/>
    </i>
    <i r="2">
      <x v="70"/>
    </i>
    <i r="2">
      <x v="86"/>
    </i>
    <i r="2">
      <x v="88"/>
    </i>
    <i r="2">
      <x v="89"/>
    </i>
    <i r="2">
      <x v="95"/>
    </i>
    <i r="2">
      <x v="109"/>
    </i>
    <i r="2">
      <x v="110"/>
    </i>
    <i r="2">
      <x v="113"/>
    </i>
    <i r="2">
      <x v="127"/>
    </i>
    <i r="2">
      <x v="129"/>
    </i>
    <i r="2">
      <x v="138"/>
    </i>
    <i r="2">
      <x v="142"/>
    </i>
    <i r="2">
      <x v="161"/>
    </i>
    <i r="2">
      <x v="188"/>
    </i>
    <i r="2">
      <x v="189"/>
    </i>
    <i r="1">
      <x v="2"/>
    </i>
    <i r="2">
      <x v="1"/>
    </i>
    <i r="2">
      <x v="15"/>
    </i>
    <i r="2">
      <x v="87"/>
    </i>
    <i r="2">
      <x v="88"/>
    </i>
    <i r="2">
      <x v="95"/>
    </i>
    <i r="2">
      <x v="109"/>
    </i>
    <i r="2">
      <x v="115"/>
    </i>
    <i r="2">
      <x v="119"/>
    </i>
    <i r="2">
      <x v="121"/>
    </i>
    <i r="2">
      <x v="129"/>
    </i>
    <i r="2">
      <x v="139"/>
    </i>
    <i r="2">
      <x v="150"/>
    </i>
    <i r="2">
      <x v="172"/>
    </i>
    <i r="2">
      <x v="178"/>
    </i>
    <i r="2">
      <x v="180"/>
    </i>
    <i r="2">
      <x v="188"/>
    </i>
    <i r="2">
      <x v="189"/>
    </i>
    <i r="2">
      <x v="213"/>
    </i>
    <i r="1">
      <x v="3"/>
    </i>
    <i r="2">
      <x v="39"/>
    </i>
    <i r="2">
      <x v="52"/>
    </i>
    <i r="2">
      <x v="65"/>
    </i>
    <i r="2">
      <x v="72"/>
    </i>
    <i r="2">
      <x v="74"/>
    </i>
    <i r="2">
      <x v="80"/>
    </i>
    <i r="2">
      <x v="88"/>
    </i>
    <i r="2">
      <x v="95"/>
    </i>
    <i r="2">
      <x v="109"/>
    </i>
    <i r="2">
      <x v="119"/>
    </i>
    <i r="2">
      <x v="121"/>
    </i>
    <i r="2">
      <x v="125"/>
    </i>
    <i r="2">
      <x v="127"/>
    </i>
    <i r="2">
      <x v="138"/>
    </i>
    <i r="2">
      <x v="150"/>
    </i>
    <i r="2">
      <x v="157"/>
    </i>
    <i r="2">
      <x v="172"/>
    </i>
    <i r="2">
      <x v="174"/>
    </i>
    <i r="2">
      <x v="178"/>
    </i>
    <i r="2">
      <x v="180"/>
    </i>
    <i r="2">
      <x v="188"/>
    </i>
    <i r="2">
      <x v="195"/>
    </i>
    <i r="2">
      <x v="199"/>
    </i>
    <i r="2">
      <x v="202"/>
    </i>
    <i>
      <x v="2"/>
    </i>
    <i r="1">
      <x/>
    </i>
    <i r="2">
      <x v="1"/>
    </i>
    <i r="2">
      <x v="4"/>
    </i>
    <i r="2">
      <x v="19"/>
    </i>
    <i r="2">
      <x v="68"/>
    </i>
    <i r="2">
      <x v="88"/>
    </i>
    <i r="2">
      <x v="93"/>
    </i>
    <i r="2">
      <x v="95"/>
    </i>
    <i r="2">
      <x v="125"/>
    </i>
    <i r="2">
      <x v="162"/>
    </i>
    <i r="2">
      <x v="191"/>
    </i>
    <i r="1">
      <x v="1"/>
    </i>
    <i r="2">
      <x v="1"/>
    </i>
    <i r="2">
      <x v="52"/>
    </i>
    <i r="2">
      <x v="88"/>
    </i>
    <i r="2">
      <x v="89"/>
    </i>
    <i r="2">
      <x v="110"/>
    </i>
    <i r="1">
      <x v="2"/>
    </i>
    <i r="2">
      <x v="15"/>
    </i>
    <i r="2">
      <x v="115"/>
    </i>
    <i r="2">
      <x v="119"/>
    </i>
    <i r="2">
      <x v="188"/>
    </i>
    <i r="1">
      <x v="3"/>
    </i>
    <i r="2">
      <x v="72"/>
    </i>
    <i r="2">
      <x v="80"/>
    </i>
    <i r="2">
      <x v="88"/>
    </i>
    <i r="2">
      <x v="119"/>
    </i>
    <i r="2">
      <x v="125"/>
    </i>
    <i r="2">
      <x v="157"/>
    </i>
    <i r="2">
      <x v="174"/>
    </i>
    <i r="2">
      <x v="178"/>
    </i>
    <i>
      <x v="3"/>
    </i>
    <i r="1">
      <x/>
    </i>
    <i r="2">
      <x v="1"/>
    </i>
    <i r="2">
      <x v="4"/>
    </i>
    <i r="2">
      <x v="19"/>
    </i>
    <i r="2">
      <x v="88"/>
    </i>
    <i r="2">
      <x v="93"/>
    </i>
    <i r="2">
      <x v="162"/>
    </i>
    <i r="1">
      <x v="1"/>
    </i>
    <i r="2">
      <x v="52"/>
    </i>
    <i r="1">
      <x v="2"/>
    </i>
    <i r="2">
      <x v="115"/>
    </i>
    <i r="2">
      <x v="119"/>
    </i>
    <i r="2">
      <x v="188"/>
    </i>
    <i r="1">
      <x v="3"/>
    </i>
    <i r="2">
      <x v="88"/>
    </i>
    <i r="2">
      <x v="119"/>
    </i>
    <i r="2">
      <x v="125"/>
    </i>
    <i r="2">
      <x v="157"/>
    </i>
    <i r="2">
      <x v="174"/>
    </i>
    <i>
      <x v="4"/>
    </i>
    <i r="1">
      <x/>
    </i>
    <i r="2">
      <x v="1"/>
    </i>
    <i r="2">
      <x v="4"/>
    </i>
    <i r="2">
      <x v="88"/>
    </i>
    <i r="2">
      <x v="93"/>
    </i>
    <i r="1">
      <x v="2"/>
    </i>
    <i r="2">
      <x v="119"/>
    </i>
    <i r="1">
      <x v="3"/>
    </i>
    <i r="2">
      <x v="88"/>
    </i>
    <i r="2">
      <x v="119"/>
    </i>
    <i>
      <x v="5"/>
    </i>
    <i r="1">
      <x/>
    </i>
    <i r="2">
      <x v="1"/>
    </i>
    <i r="2">
      <x v="4"/>
    </i>
    <i r="2">
      <x v="88"/>
    </i>
    <i r="1">
      <x v="3"/>
    </i>
    <i r="2">
      <x v="88"/>
    </i>
    <i r="2">
      <x v="119"/>
    </i>
    <i>
      <x v="6"/>
    </i>
    <i r="1">
      <x/>
    </i>
    <i r="2">
      <x v="1"/>
    </i>
    <i r="2">
      <x v="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4C41F-117C-4840-BCBC-634241E18093}" name="Tabela1" displayName="Tabela1" ref="A2:D203" totalsRowShown="0" headerRowDxfId="124">
  <autoFilter ref="A2:D203" xr:uid="{9FC4C41F-117C-4840-BCBC-634241E18093}"/>
  <sortState xmlns:xlrd2="http://schemas.microsoft.com/office/spreadsheetml/2017/richdata2" ref="A3:D203">
    <sortCondition ref="A2:A203"/>
  </sortState>
  <tableColumns count="4">
    <tableColumn id="1" xr3:uid="{437542CA-33AF-494A-8D24-15DF551B94C3}" name="problem" dataDxfId="127"/>
    <tableColumn id="2" xr3:uid="{3A99DE03-510A-3E49-9ACE-787653028AAC}" name="cwe" dataDxfId="126"/>
    <tableColumn id="3" xr3:uid="{4723B7C9-67BA-8944-9E49-6004850D6091}" name="tool" dataDxfId="125"/>
    <tableColumn id="4" xr3:uid="{36AAEE41-AF03-6748-B488-B4000719BB5D}" name="frequ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C2488-189B-5144-B6DE-1EE5F55330B3}" name="Tabela2" displayName="Tabela2" ref="A205:D229" totalsRowShown="0" headerRowDxfId="120">
  <autoFilter ref="A205:D229" xr:uid="{CEBC2488-189B-5144-B6DE-1EE5F55330B3}"/>
  <tableColumns count="4">
    <tableColumn id="1" xr3:uid="{576EF807-2F43-CB40-854E-D3557070527D}" name="problem" dataDxfId="123"/>
    <tableColumn id="2" xr3:uid="{3D8C623B-8BF3-E74F-B68D-4D6F04837415}" name="cwe" dataDxfId="122"/>
    <tableColumn id="3" xr3:uid="{FB0EB71E-3EBB-074B-989E-98703FD5645C}" name="tool" dataDxfId="121"/>
    <tableColumn id="4" xr3:uid="{E219D388-6373-774B-B149-38F704E68512}" name="frequ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CDB53F-B968-B547-9F89-D190931130B9}" name="Tabela3" displayName="Tabela3" ref="A231:D242" totalsRowShown="0" headerRowDxfId="116">
  <autoFilter ref="A231:D242" xr:uid="{5ACDB53F-B968-B547-9F89-D190931130B9}"/>
  <tableColumns count="4">
    <tableColumn id="1" xr3:uid="{8063FD6C-3150-E840-B884-1D2E466A08FD}" name="problem" dataDxfId="119"/>
    <tableColumn id="2" xr3:uid="{ABFE1D6D-6C36-664F-8AD1-E81BCFCC09F8}" name="cwe" dataDxfId="118"/>
    <tableColumn id="3" xr3:uid="{A288B065-7F70-3C41-B755-24CAA621F027}" name="tool" dataDxfId="117"/>
    <tableColumn id="4" xr3:uid="{AF1B1A2E-28E9-0E4D-9B03-614F9A2A26A5}" name="frequency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1DB6F4-70DE-CD40-88EE-D5557BB4A6D0}" name="Tabela4" displayName="Tabela4" ref="A244:D251" totalsRowShown="0" headerRowDxfId="112">
  <autoFilter ref="A244:D251" xr:uid="{041DB6F4-70DE-CD40-88EE-D5557BB4A6D0}"/>
  <tableColumns count="4">
    <tableColumn id="1" xr3:uid="{A6DD8F02-66DE-B74C-8933-B97286EEA0A0}" name="problem" dataDxfId="115"/>
    <tableColumn id="2" xr3:uid="{D0FCDD6D-DA4C-9445-9858-F4958607AE62}" name="cwe" dataDxfId="114"/>
    <tableColumn id="3" xr3:uid="{86A9DDCB-A557-A449-8062-25F989B0ECA9}" name="tool" dataDxfId="113"/>
    <tableColumn id="4" xr3:uid="{DCA33CB6-984F-BB41-9E70-98E715625160}" name="frequency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BA2784-E75E-1C4A-817E-F9EA2060DF77}" name="Tabela5" displayName="Tabela5" ref="A253:D258" totalsRowShown="0" headerRowDxfId="108">
  <autoFilter ref="A253:D258" xr:uid="{A1BA2784-E75E-1C4A-817E-F9EA2060DF77}"/>
  <tableColumns count="4">
    <tableColumn id="1" xr3:uid="{10488084-4ADA-C242-ABE5-7FAC87782537}" name="problem" dataDxfId="111"/>
    <tableColumn id="2" xr3:uid="{20BC0917-B17D-0F4C-A6F5-051A272D78E6}" name="cwe" dataDxfId="110"/>
    <tableColumn id="3" xr3:uid="{1050B3AE-E6C2-7946-A824-44E3AAB472AC}" name="tool" dataDxfId="109"/>
    <tableColumn id="4" xr3:uid="{31F0E17E-1E33-9644-8F1D-CCE5D0D368F8}" name="frequency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0608A-3145-0A49-9FF0-A8F4E25CC8E4}" name="Tabela6" displayName="Tabela6" ref="A260:D265" totalsRowShown="0" headerRowDxfId="107">
  <autoFilter ref="A260:D265" xr:uid="{7000608A-3145-0A49-9FF0-A8F4E25CC8E4}"/>
  <tableColumns count="4">
    <tableColumn id="1" xr3:uid="{92A20E13-D08B-5245-9A6C-929AF40A24C5}" name="problem" dataDxfId="106"/>
    <tableColumn id="2" xr3:uid="{DF13CE41-29BB-B642-9BAD-13B9DD24D2E8}" name="cwe" dataDxfId="105"/>
    <tableColumn id="3" xr3:uid="{1C579253-72B5-454A-B4E7-D5721F8B5521}" name="tool" dataDxfId="104"/>
    <tableColumn id="4" xr3:uid="{4322CA28-65F7-8244-A236-A261E40189F5}" name="frequency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B5F1AD-C4AC-694C-A868-4AD94918EAEA}" name="Tabela7" displayName="Tabela7" ref="A267:D269" totalsRowShown="0" headerRowDxfId="100">
  <autoFilter ref="A267:D269" xr:uid="{11B5F1AD-C4AC-694C-A868-4AD94918EAEA}"/>
  <tableColumns count="4">
    <tableColumn id="1" xr3:uid="{C1576A2B-1F32-E642-9B44-8EE025A7AD33}" name="problem" dataDxfId="103"/>
    <tableColumn id="2" xr3:uid="{ABC864A0-0A4A-124D-ADC8-9A475943F8C9}" name="cwe" dataDxfId="102"/>
    <tableColumn id="3" xr3:uid="{E89398DB-2658-EF4B-86D4-D73AE6CE6AD1}" name="tool" dataDxfId="101"/>
    <tableColumn id="4" xr3:uid="{E91E520E-0629-854E-94EF-18922121C26F}" name="frequency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095DF7C-81A7-9C4B-AF4C-DF1E0C29B1BE}" name="Tabela8" displayName="Tabela8" ref="E2:H216" totalsRowShown="0" headerRowDxfId="95">
  <autoFilter ref="E2:H216" xr:uid="{5095DF7C-81A7-9C4B-AF4C-DF1E0C29B1BE}"/>
  <tableColumns count="4">
    <tableColumn id="1" xr3:uid="{AB1342F0-779E-454C-A6D5-5FBCA71602B7}" name="problem" dataDxfId="94"/>
    <tableColumn id="2" xr3:uid="{AF002FEE-5FC1-9944-914D-0F3E219C38BB}" name="cwe" dataDxfId="93"/>
    <tableColumn id="3" xr3:uid="{5504ECC3-3B64-9E40-9A9B-4FC3243BF385}" name="tool" dataDxfId="92"/>
    <tableColumn id="4" xr3:uid="{B3BA6BF5-89BB-7746-B869-8D69AE5E5CDC}" name="frequency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FDB9AF-1029-204E-8C66-A08532BDA051}" name="Tabela9" displayName="Tabela9" ref="E218:H243" totalsRowShown="0" headerRowDxfId="96">
  <autoFilter ref="E218:H243" xr:uid="{CFFDB9AF-1029-204E-8C66-A08532BDA051}"/>
  <tableColumns count="4">
    <tableColumn id="1" xr3:uid="{BB774C59-BD44-1D4E-8D0C-346C5D7DEAAA}" name="problem" dataDxfId="99"/>
    <tableColumn id="2" xr3:uid="{A8917247-DB15-574E-99A5-C6A734DDECDB}" name="cwe" dataDxfId="98"/>
    <tableColumn id="3" xr3:uid="{6683D46B-D590-C74D-9073-FFEC21751FD4}" name="tool" dataDxfId="97"/>
    <tableColumn id="4" xr3:uid="{6FF72E4A-C5E1-8141-B8CC-CAF57B93EDAF}" name="frequency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37691E-E29C-B14A-A3FD-B6ED6582FC82}" name="Tabela10" displayName="Tabela10" ref="E245:H251" totalsRowShown="0" headerRowDxfId="88">
  <autoFilter ref="E245:H251" xr:uid="{A237691E-E29C-B14A-A3FD-B6ED6582FC82}"/>
  <tableColumns count="4">
    <tableColumn id="1" xr3:uid="{1FCB064B-E600-BE46-9397-46C80321693B}" name="problem" dataDxfId="91"/>
    <tableColumn id="2" xr3:uid="{EC4BBCCC-FBB2-8A41-A064-AB39DD9B9554}" name="cwe" dataDxfId="90"/>
    <tableColumn id="3" xr3:uid="{731C5584-7FED-4C49-875C-DA1C52F374F3}" name="tool" dataDxfId="89"/>
    <tableColumn id="4" xr3:uid="{619DCA2E-0744-E946-9A1B-02B2E1335EDF}" name="frequency"/>
  </tableColumns>
  <tableStyleInfo name="TableStyleLight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7C58A7-686E-6B45-B770-A0AAFDCED501}" name="Tabela11" displayName="Tabela11" ref="E253:H254" totalsRowShown="0" headerRowDxfId="84">
  <autoFilter ref="E253:H254" xr:uid="{DB7C58A7-686E-6B45-B770-A0AAFDCED501}"/>
  <tableColumns count="4">
    <tableColumn id="1" xr3:uid="{51292BFA-D97E-FC41-9CF6-C6B4884F5AAB}" name="problem" dataDxfId="87"/>
    <tableColumn id="2" xr3:uid="{21F9AD6D-A746-4B46-9A25-6A172FE39ACA}" name="cwe" dataDxfId="86"/>
    <tableColumn id="3" xr3:uid="{1C709E59-E6BD-3E4C-9188-6DAA942833F6}" name="tool" dataDxfId="85"/>
    <tableColumn id="4" xr3:uid="{13FDA16A-D017-9142-B20A-A5FA042807B5}" name="frequency"/>
  </tableColumns>
  <tableStyleInfo name="TableStyleLight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5F7329-8ABC-9548-AB0A-38212A52F9C4}" name="Tabela12" displayName="Tabela12" ref="I2:L202" totalsRowShown="0" headerRowDxfId="80">
  <autoFilter ref="I2:L202" xr:uid="{185F7329-8ABC-9548-AB0A-38212A52F9C4}"/>
  <tableColumns count="4">
    <tableColumn id="1" xr3:uid="{DFE91F56-746E-FA49-9DE0-33F01399F476}" name="problem" dataDxfId="83"/>
    <tableColumn id="2" xr3:uid="{85337AF2-F8F3-8F45-8172-D7519ADC2056}" name="cwe" dataDxfId="82"/>
    <tableColumn id="3" xr3:uid="{40887BC5-6596-594D-81E5-F8DFD0CC3A7A}" name="tool" dataDxfId="81"/>
    <tableColumn id="4" xr3:uid="{EFD1A5E6-7A07-1C4E-9B06-C850AE940B14}" name="frequenc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68E62E-7B97-224E-A6A6-A6EB65C11396}" name="Tabela13" displayName="Tabela13" ref="I204:L226" totalsRowShown="0" headerRowDxfId="76">
  <autoFilter ref="I204:L226" xr:uid="{B768E62E-7B97-224E-A6A6-A6EB65C11396}"/>
  <tableColumns count="4">
    <tableColumn id="1" xr3:uid="{04CC3B23-2288-C143-AA7A-E009C7E068A0}" name="problem" dataDxfId="79"/>
    <tableColumn id="2" xr3:uid="{58AEBB6A-B061-5D40-9A74-D2528DEED885}" name="cwe" dataDxfId="78"/>
    <tableColumn id="3" xr3:uid="{09899DA3-4B78-534E-ADB9-24BCE6E57504}" name="tool" dataDxfId="77"/>
    <tableColumn id="4" xr3:uid="{CA4846D9-6A6A-9342-8EDA-D128D65812EE}" name="frequency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3EF0F5-243F-6D42-A95C-D8A945FD200C}" name="Tabela14" displayName="Tabela14" ref="I228:L232" totalsRowShown="0" headerRowDxfId="72">
  <autoFilter ref="I228:L232" xr:uid="{803EF0F5-243F-6D42-A95C-D8A945FD200C}"/>
  <tableColumns count="4">
    <tableColumn id="1" xr3:uid="{C2B2E713-86DD-C340-ADFD-23C03039FF05}" name="problem" dataDxfId="75"/>
    <tableColumn id="2" xr3:uid="{98AB5B09-7CEF-204C-9151-31EACABCE710}" name="cwe" dataDxfId="74"/>
    <tableColumn id="3" xr3:uid="{80046F6C-E309-0C42-91A8-575813C9EB1C}" name="tool" dataDxfId="73"/>
    <tableColumn id="4" xr3:uid="{CB785D84-D097-E049-B4A3-3E0A93A93B8E}" name="frequency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40C050-F1F4-A146-BA11-B738C4EEC699}" name="Tabela15" displayName="Tabela15" ref="I234:L238" totalsRowShown="0" headerRowDxfId="68">
  <autoFilter ref="I234:L238" xr:uid="{7640C050-F1F4-A146-BA11-B738C4EEC699}"/>
  <tableColumns count="4">
    <tableColumn id="1" xr3:uid="{D11A68D5-4828-DF47-999F-EB3EA8B28BE8}" name="problem" dataDxfId="71"/>
    <tableColumn id="2" xr3:uid="{84B6B0F4-F096-184C-B7DE-A7A54171DC49}" name="cwe" dataDxfId="70"/>
    <tableColumn id="3" xr3:uid="{FC430B81-E26B-F047-BBBC-19845599FC6D}" name="tool" dataDxfId="69"/>
    <tableColumn id="4" xr3:uid="{6B24C6B9-86E2-9546-AC77-CB569085A3E8}" name="frequency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F2B9928-F363-7B4E-8DE4-0096C6F56A86}" name="Tabela16" displayName="Tabela16" ref="I240:L241" totalsRowShown="0" headerRowDxfId="64">
  <autoFilter ref="I240:L241" xr:uid="{2F2B9928-F363-7B4E-8DE4-0096C6F56A86}"/>
  <tableColumns count="4">
    <tableColumn id="1" xr3:uid="{F74EAAD3-9BCA-4F40-89F7-53ABDF551CFA}" name="problem" dataDxfId="67"/>
    <tableColumn id="2" xr3:uid="{C0AC9F7D-F23D-CB43-8718-434A2C46B6F5}" name="cwe" dataDxfId="66"/>
    <tableColumn id="3" xr3:uid="{E939A33C-5C88-0A42-A816-628FB7C9059E}" name="tool" dataDxfId="65"/>
    <tableColumn id="4" xr3:uid="{94100F64-A414-6F45-83D1-19BB9161AABF}" name="frequency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C209417-D934-ED41-AE6E-DE86E9EC8F70}" name="Tabela17" displayName="Tabela17" ref="M2:P185" totalsRowShown="0" headerRowDxfId="59" tableBorderDxfId="63">
  <autoFilter ref="M2:P185" xr:uid="{4C209417-D934-ED41-AE6E-DE86E9EC8F70}"/>
  <tableColumns count="4">
    <tableColumn id="1" xr3:uid="{28706D9E-C232-744E-8E7D-DAB83FF02055}" name="problem" dataDxfId="62"/>
    <tableColumn id="2" xr3:uid="{2396C131-2787-024C-B948-059619F3783F}" name="cwe" dataDxfId="61"/>
    <tableColumn id="3" xr3:uid="{5D980705-62C9-BE4B-8417-BC3AF6752912}" name="tool" dataDxfId="60"/>
    <tableColumn id="4" xr3:uid="{07AC39C4-B9E7-0F41-821C-D615E580B885}" name="frequency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8C4568-3CA9-C741-ADB9-791B7DE26B02}" name="Tabela18" displayName="Tabela18" ref="M187:P216" totalsRowShown="0" headerRowDxfId="55">
  <autoFilter ref="M187:P216" xr:uid="{108C4568-3CA9-C741-ADB9-791B7DE26B02}"/>
  <tableColumns count="4">
    <tableColumn id="1" xr3:uid="{B94047AE-419D-6F42-A5C1-BF4C70760EAE}" name="problem" dataDxfId="58"/>
    <tableColumn id="2" xr3:uid="{4759C6EA-8C74-5746-ADF6-1D7BC829BD71}" name="cwe" dataDxfId="57"/>
    <tableColumn id="3" xr3:uid="{A30AAF3C-186B-CC4A-A5DF-BAFA52708EFA}" name="tool" dataDxfId="56"/>
    <tableColumn id="4" xr3:uid="{3931ADC5-6015-6743-AF49-513829DA4C70}" name="frequency"/>
  </tableColumns>
  <tableStyleInfo name="TableStyleLight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596185D-E77F-4648-BC8F-4B9916E4AB95}" name="Tabela19" displayName="Tabela19" ref="M218:P227" totalsRowShown="0" headerRowDxfId="51">
  <autoFilter ref="M218:P227" xr:uid="{5596185D-E77F-4648-BC8F-4B9916E4AB95}"/>
  <tableColumns count="4">
    <tableColumn id="1" xr3:uid="{4E98985B-3D0C-1549-AE66-3B31BD58C0DE}" name="problem" dataDxfId="54"/>
    <tableColumn id="2" xr3:uid="{CE38551B-0FA5-6D45-9353-24B058508FE0}" name="cwe" dataDxfId="53"/>
    <tableColumn id="3" xr3:uid="{349B358D-A86F-234A-B069-85DA9A509C51}" name="tool" dataDxfId="52"/>
    <tableColumn id="4" xr3:uid="{E306BF08-1DEA-5B4F-8988-CC24ABAA9C94}" name="frequency"/>
  </tableColumns>
  <tableStyleInfo name="TableStyleLight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91F5B0-BB59-F648-8FF1-E2B69DB3C680}" name="Tabela20" displayName="Tabela20" ref="M229:P236" totalsRowShown="0" headerRowDxfId="47">
  <autoFilter ref="M229:P236" xr:uid="{B291F5B0-BB59-F648-8FF1-E2B69DB3C680}"/>
  <tableColumns count="4">
    <tableColumn id="1" xr3:uid="{661996ED-0F9F-C64B-B0B9-5598B5E7E053}" name="problem" dataDxfId="50"/>
    <tableColumn id="2" xr3:uid="{4D291CEF-A4A5-394A-B20D-01BF782763AC}" name="cwe" dataDxfId="49"/>
    <tableColumn id="3" xr3:uid="{D80DAD38-E604-B144-AFD9-1E53A933E06D}" name="tool" dataDxfId="48"/>
    <tableColumn id="4" xr3:uid="{DFA3C675-6FD0-8E40-A5AF-24E6895622A4}" name="frequency"/>
  </tableColumns>
  <tableStyleInfo name="TableStyleLight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F6E9B3B-93EB-7C4E-8D48-875EA711A83D}" name="Tabela21" displayName="Tabela21" ref="M238:P241" totalsRowShown="0" headerRowDxfId="43">
  <autoFilter ref="M238:P241" xr:uid="{CF6E9B3B-93EB-7C4E-8D48-875EA711A83D}"/>
  <tableColumns count="4">
    <tableColumn id="1" xr3:uid="{83054732-66D9-8341-B43B-52168A0F9324}" name="problem" dataDxfId="46"/>
    <tableColumn id="2" xr3:uid="{B90C85CF-7C71-6C4F-8935-4A830FC1D786}" name="cwe" dataDxfId="45"/>
    <tableColumn id="3" xr3:uid="{2AA2F971-5C2D-3445-9A45-E0F32E8AF64F}" name="tool" dataDxfId="44"/>
    <tableColumn id="4" xr3:uid="{F4331E03-E362-3247-8956-C6CB71CBB2D6}" name="frequency"/>
  </tableColumns>
  <tableStyleInfo name="TableStyleLight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45ABE33-DA40-8349-B5A2-E0354696C68B}" name="Tabela22" displayName="Tabela22" ref="M243:P246" totalsRowShown="0" headerRowDxfId="39">
  <autoFilter ref="M243:P246" xr:uid="{345ABE33-DA40-8349-B5A2-E0354696C68B}"/>
  <tableColumns count="4">
    <tableColumn id="1" xr3:uid="{07A039B9-CD89-9F43-8C01-3189650BF50C}" name="problem" dataDxfId="42"/>
    <tableColumn id="2" xr3:uid="{9B1A7997-ABF2-2440-A4F4-EA50CCF0C3EC}" name="cwe" dataDxfId="41"/>
    <tableColumn id="3" xr3:uid="{7321E9D3-6696-6E42-BEBD-3DD5EC7E0368}" name="tool" dataDxfId="40"/>
    <tableColumn id="4" xr3:uid="{C6EB3045-1A04-B047-88F6-8E427F1A2CC8}" name="frequency"/>
  </tableColumns>
  <tableStyleInfo name="TableStyleLight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740CF09-5218-7140-B757-B618A971AFEF}" name="Tabela23" displayName="Tabela23" ref="A1:F967" totalsRowShown="0">
  <tableColumns count="6">
    <tableColumn id="1" xr3:uid="{A65A7127-68B7-744E-B23B-C8B0B05EAFE0}" name="Sample" dataDxfId="38"/>
    <tableColumn id="2" xr3:uid="{A6B8F782-9933-A045-95AA-6909623B902A}" name="Round" dataDxfId="37"/>
    <tableColumn id="3" xr3:uid="{ED50A23F-E641-654B-81E6-963043FBD3F9}" name="problem" dataDxfId="36"/>
    <tableColumn id="4" xr3:uid="{F2FF9F2D-541C-F448-8407-1C41CC3F9BB1}" name="cwe" dataDxfId="35"/>
    <tableColumn id="5" xr3:uid="{896E6BBD-5CD7-DE41-8FD8-27C40298F47F}" name="tool" dataDxfId="34"/>
    <tableColumn id="6" xr3:uid="{F38972AE-0F14-1443-890F-A4BB0A62BDD3}" name="frequency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0347F60-3432-E947-9A93-CBAC726B6097}" name="Tabela24" displayName="Tabela24" ref="N2:S9" totalsRowShown="0">
  <autoFilter ref="N2:S9" xr:uid="{90347F60-3432-E947-9A93-CBAC726B6097}"/>
  <tableColumns count="6">
    <tableColumn id="1" xr3:uid="{CCCD08C7-6792-A246-B2BC-063C56670D77}" name="Repair round"/>
    <tableColumn id="2" xr3:uid="{240C914D-858F-F043-8610-88CF2F5C6555}" name="Sample 1"/>
    <tableColumn id="3" xr3:uid="{930FA9A5-F038-E443-A4A9-B5ECD04B76FC}" name="Sample 2"/>
    <tableColumn id="4" xr3:uid="{D9365907-2D4A-F042-9E49-C257BEC2480D}" name="Sample 3"/>
    <tableColumn id="5" xr3:uid="{6156B631-40A0-124B-8FAD-502AED2ED3DF}" name="Sample 4"/>
    <tableColumn id="6" xr3:uid="{4DA22C31-2342-4E45-8110-62D983FBAF80}" name="avg">
      <calculatedColumnFormula>AVERAGE(O3:R3)</calculatedColumnFormula>
    </tableColumn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9BD8B0F-0C62-3744-98F6-6274710023DE}" name="Tabela25" displayName="Tabela25" ref="N34:R45" totalsRowShown="0" headerRowDxfId="23">
  <autoFilter ref="N34:R45" xr:uid="{F9BD8B0F-0C62-3744-98F6-6274710023DE}"/>
  <tableColumns count="5">
    <tableColumn id="1" xr3:uid="{A13D90CA-7AC9-A346-A2B4-E022F2D52548}" name="CWE" dataDxfId="22"/>
    <tableColumn id="2" xr3:uid="{A414B5D1-6090-694C-9447-44294637CEB0}" name="Sample 1" dataDxfId="21"/>
    <tableColumn id="3" xr3:uid="{A891D607-3BEC-1149-A1CB-0C7519252A42}" name="Sample 2" dataDxfId="20"/>
    <tableColumn id="4" xr3:uid="{4C393A99-B3B0-8C4C-8133-542C69EF620D}" name="Sample 3" dataDxfId="19"/>
    <tableColumn id="5" xr3:uid="{37798CC5-0840-BE48-A8F9-E853655AF575}" name="Sample 4" dataDxfId="18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762FAC1-62DC-C946-9975-4D0B498B603B}" name="Tabela2527" displayName="Tabela2527" ref="N75:R86" totalsRowCount="1" headerRowDxfId="17">
  <autoFilter ref="N75:R85" xr:uid="{2762FAC1-62DC-C946-9975-4D0B498B603B}"/>
  <tableColumns count="5">
    <tableColumn id="1" xr3:uid="{04F8D943-15A0-9E46-AE59-8B876C6857FA}" name="CWE" dataDxfId="15" totalsRowDxfId="16"/>
    <tableColumn id="2" xr3:uid="{6EF8778D-803C-D64D-9E3D-794DDFD80414}" name="Sample 1" totalsRowFunction="custom" dataDxfId="13" totalsRowDxfId="14">
      <totalsRowFormula>SUM(Tabela2527[Sample 1])</totalsRowFormula>
    </tableColumn>
    <tableColumn id="3" xr3:uid="{1349F9AA-5A46-C64B-BF05-475019913118}" name="Sample 2" totalsRowFunction="custom" dataDxfId="11" totalsRowDxfId="12">
      <totalsRowFormula>SUM(Tabela2527[Sample 2])</totalsRowFormula>
    </tableColumn>
    <tableColumn id="4" xr3:uid="{37F3CBE0-D6A3-524E-856B-FCE6BDC55BD9}" name="Sample 3" totalsRowFunction="custom" dataDxfId="9" totalsRowDxfId="10">
      <totalsRowFormula>SUM(Tabela2527[Sample 3])</totalsRowFormula>
    </tableColumn>
    <tableColumn id="5" xr3:uid="{9460F12E-DDFE-3F4A-B137-E27FBA4CD1AD}" name="Sample 4" totalsRowFunction="custom" dataDxfId="7" totalsRowDxfId="8">
      <totalsRowFormula>SUM(Tabela2527[Sample 4])</totalsRowFormula>
    </tableColumn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0C7A8E2-DA42-1B4C-B15B-E4A341CDEDE9}" name="Tabela28" displayName="Tabela28" ref="N116:R123" totalsRowShown="0" headerRowDxfId="6" tableBorderDxfId="5">
  <autoFilter ref="N116:R123" xr:uid="{C0C7A8E2-DA42-1B4C-B15B-E4A341CDEDE9}"/>
  <tableColumns count="5">
    <tableColumn id="1" xr3:uid="{5AB1606C-B85E-E94E-946F-6773C629997B}" name="Repair round" dataDxfId="4"/>
    <tableColumn id="2" xr3:uid="{BC5693C4-153E-DA4C-8A42-E8644F192F8F}" name="Sample 1" dataDxfId="3"/>
    <tableColumn id="3" xr3:uid="{C198C53D-F32E-834C-89FA-1870D8ECD753}" name="Sample 2" dataDxfId="2"/>
    <tableColumn id="4" xr3:uid="{720731A3-13FA-6F4F-B62C-F078EB2076B8}" name="Sample 3" dataDxfId="1"/>
    <tableColumn id="5" xr3:uid="{E50FBEF0-C427-4747-A995-28149485FD10}" name="Sample 4" dataDxfId="0"/>
  </tableColumns>
  <tableStyleInfo name="TableStyleMedium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61998DB-2C66-9D4F-9F06-5AA56D2D3FD5}" name="Tabela29" displayName="Tabela29" ref="N149:S373" totalsRowShown="0" headerRowDxfId="28">
  <autoFilter ref="N149:S373" xr:uid="{E61998DB-2C66-9D4F-9F06-5AA56D2D3FD5}"/>
  <sortState xmlns:xlrd2="http://schemas.microsoft.com/office/spreadsheetml/2017/richdata2" ref="N150:S373">
    <sortCondition descending="1" ref="S149:S373"/>
  </sortState>
  <tableColumns count="6">
    <tableColumn id="1" xr3:uid="{6B12DF22-35CC-9E40-A064-B2AF1DC0B8C0}" name="Problem" dataDxfId="33"/>
    <tableColumn id="2" xr3:uid="{AEE154B5-8050-1A49-8C73-518D9EAA44D3}" name="Sample 1" dataDxfId="32"/>
    <tableColumn id="3" xr3:uid="{E7E3D24D-0A98-1C40-BE8F-C3622944E1EC}" name="Sample 2" dataDxfId="31"/>
    <tableColumn id="4" xr3:uid="{9C4E25B0-52CB-784B-A9D9-7D1AE0C3B646}" name="Sample 3" dataDxfId="30"/>
    <tableColumn id="5" xr3:uid="{7C07BB3A-3321-6C46-A086-080CDCECDB29}" name="Sample 4" dataDxfId="29"/>
    <tableColumn id="6" xr3:uid="{FB3C82E2-A8A2-ED4D-A918-1E49DC58712F}" name="avg">
      <calculatedColumnFormula>AVERAGE(O150:R150)</calculatedColumnFormula>
    </tableColumn>
  </tableColumns>
  <tableStyleInfo name="TableStyleMedium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BEA601A-0FBA-1B49-ADA1-D0E585AED7ED}" name="Tabela36" displayName="Tabela36" ref="N376:V403" totalsRowShown="0" headerRowDxfId="27" headerRowBorderDxfId="25" tableBorderDxfId="26">
  <autoFilter ref="N376:V403" xr:uid="{0BEA601A-0FBA-1B49-ADA1-D0E585AED7ED}"/>
  <tableColumns count="9">
    <tableColumn id="1" xr3:uid="{A2F45433-A027-2847-8AF9-46007EEB1C42}" name="Frequency"/>
    <tableColumn id="2" xr3:uid="{8C5839E2-8A1F-DC40-BF7D-70575C47BA42}" name="Sample 1" dataDxfId="24">
      <calculatedColumnFormula>COUNTIF(I$151:I$374,$N377)</calculatedColumnFormula>
    </tableColumn>
    <tableColumn id="3" xr3:uid="{938F5E18-81AD-064B-8B56-A20C45C415E2}" name="Sample 2">
      <calculatedColumnFormula>COUNTIF(J$151:J$374,$N377)</calculatedColumnFormula>
    </tableColumn>
    <tableColumn id="4" xr3:uid="{9F877087-4F6E-2643-B88D-2CBA3D878282}" name="Sample 3">
      <calculatedColumnFormula>COUNTIF(K$151:K$374,$N377)</calculatedColumnFormula>
    </tableColumn>
    <tableColumn id="5" xr3:uid="{BB9C6D50-04D5-B44C-9FDF-F1AD347456CF}" name="Sample 4">
      <calculatedColumnFormula>COUNTIF(L$151:L$374,$N377)</calculatedColumnFormula>
    </tableColumn>
    <tableColumn id="6" xr3:uid="{7F24E5B5-FC56-7A48-A554-438B6DD42CB2}" name="Sample 5"/>
    <tableColumn id="7" xr3:uid="{AD98BC50-637B-BE4A-924B-0DDC50372014}" name="Sample 6"/>
    <tableColumn id="8" xr3:uid="{E5D17201-E49A-3145-A2B0-1F6690E5E220}" name="Sample 7"/>
    <tableColumn id="9" xr3:uid="{43E1E5C6-149E-B14A-8830-0F33109C638F}" name="Sample 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drawing" Target="../drawings/drawing1.xml"/><Relationship Id="rId9" Type="http://schemas.openxmlformats.org/officeDocument/2006/relationships/table" Target="../tables/table2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A767-5C22-5B44-906C-7F98F7DDDE83}">
  <dimension ref="A1:P269"/>
  <sheetViews>
    <sheetView topLeftCell="A223" workbookViewId="0">
      <selection activeCell="M244" sqref="M244:P246"/>
    </sheetView>
  </sheetViews>
  <sheetFormatPr baseColWidth="10" defaultRowHeight="16" x14ac:dyDescent="0.2"/>
  <cols>
    <col min="1" max="1" width="10.1640625" customWidth="1"/>
    <col min="2" max="2" width="6.83203125" customWidth="1"/>
    <col min="3" max="3" width="6.6640625" customWidth="1"/>
    <col min="4" max="4" width="11.5" customWidth="1"/>
    <col min="5" max="5" width="10.1640625" customWidth="1"/>
    <col min="6" max="6" width="6.83203125" customWidth="1"/>
    <col min="7" max="7" width="6.6640625" customWidth="1"/>
    <col min="8" max="8" width="11.5" customWidth="1"/>
    <col min="9" max="9" width="10.1640625" customWidth="1"/>
    <col min="10" max="10" width="6.83203125" customWidth="1"/>
    <col min="11" max="11" width="6.6640625" customWidth="1"/>
    <col min="12" max="12" width="11.5" customWidth="1"/>
    <col min="13" max="13" width="10.1640625" customWidth="1"/>
    <col min="14" max="14" width="6.83203125" customWidth="1"/>
    <col min="15" max="15" width="6.6640625" customWidth="1"/>
    <col min="16" max="16" width="11.5" customWidth="1"/>
    <col min="17" max="17" width="10.1640625" customWidth="1"/>
    <col min="18" max="18" width="6.83203125" customWidth="1"/>
    <col min="19" max="19" width="6.6640625" customWidth="1"/>
    <col min="20" max="20" width="11.5" customWidth="1"/>
    <col min="21" max="21" width="10.1640625" customWidth="1"/>
    <col min="22" max="22" width="6.83203125" customWidth="1"/>
    <col min="23" max="23" width="6.6640625" customWidth="1"/>
    <col min="24" max="24" width="11.5" customWidth="1"/>
    <col min="25" max="25" width="10.1640625" customWidth="1"/>
    <col min="26" max="26" width="6.83203125" customWidth="1"/>
    <col min="27" max="27" width="6.6640625" customWidth="1"/>
    <col min="28" max="28" width="11.5" customWidth="1"/>
  </cols>
  <sheetData>
    <row r="1" spans="1:16" x14ac:dyDescent="0.2">
      <c r="A1" s="3" t="s">
        <v>168</v>
      </c>
      <c r="B1" s="3"/>
      <c r="C1" s="3"/>
      <c r="D1" s="2"/>
      <c r="E1" s="21" t="s">
        <v>219</v>
      </c>
      <c r="F1" s="20"/>
      <c r="G1" s="20"/>
      <c r="H1" s="20"/>
      <c r="I1" s="3" t="s">
        <v>239</v>
      </c>
      <c r="J1" s="3"/>
      <c r="K1" s="3"/>
      <c r="L1" s="2"/>
      <c r="M1" s="27" t="s">
        <v>244</v>
      </c>
      <c r="N1" s="28"/>
      <c r="O1" s="28"/>
      <c r="P1" s="28"/>
    </row>
    <row r="2" spans="1:16" x14ac:dyDescent="0.2">
      <c r="A2" s="1" t="s">
        <v>0</v>
      </c>
      <c r="B2" s="1" t="s">
        <v>1</v>
      </c>
      <c r="C2" s="1" t="s">
        <v>2</v>
      </c>
      <c r="D2" t="s">
        <v>3</v>
      </c>
      <c r="E2" s="1" t="s">
        <v>0</v>
      </c>
      <c r="F2" s="1" t="s">
        <v>1</v>
      </c>
      <c r="G2" s="1" t="s">
        <v>2</v>
      </c>
      <c r="H2" t="s">
        <v>3</v>
      </c>
      <c r="I2" s="1" t="s">
        <v>0</v>
      </c>
      <c r="J2" s="1" t="s">
        <v>1</v>
      </c>
      <c r="K2" s="1" t="s">
        <v>2</v>
      </c>
      <c r="L2" t="s">
        <v>3</v>
      </c>
      <c r="M2" s="1" t="s">
        <v>0</v>
      </c>
      <c r="N2" s="1" t="s">
        <v>1</v>
      </c>
      <c r="O2" s="1" t="s">
        <v>2</v>
      </c>
      <c r="P2" t="s">
        <v>3</v>
      </c>
    </row>
    <row r="3" spans="1:16" x14ac:dyDescent="0.2">
      <c r="A3" s="1" t="s">
        <v>95</v>
      </c>
      <c r="B3" s="1" t="s">
        <v>13</v>
      </c>
      <c r="C3" s="1" t="s">
        <v>6</v>
      </c>
      <c r="D3">
        <v>4</v>
      </c>
      <c r="E3" s="1" t="s">
        <v>4</v>
      </c>
      <c r="F3" s="1" t="s">
        <v>5</v>
      </c>
      <c r="G3" s="1" t="s">
        <v>6</v>
      </c>
      <c r="H3">
        <v>1</v>
      </c>
      <c r="I3" s="1" t="s">
        <v>4</v>
      </c>
      <c r="J3" s="1" t="s">
        <v>5</v>
      </c>
      <c r="K3" s="1" t="s">
        <v>6</v>
      </c>
      <c r="L3">
        <v>3</v>
      </c>
      <c r="M3" s="1" t="s">
        <v>4</v>
      </c>
      <c r="N3" s="1" t="s">
        <v>5</v>
      </c>
      <c r="O3" s="1" t="s">
        <v>6</v>
      </c>
      <c r="P3">
        <v>3</v>
      </c>
    </row>
    <row r="4" spans="1:16" x14ac:dyDescent="0.2">
      <c r="A4" s="1" t="s">
        <v>95</v>
      </c>
      <c r="B4" s="1" t="s">
        <v>5</v>
      </c>
      <c r="C4" s="1" t="s">
        <v>6</v>
      </c>
      <c r="D4">
        <v>3</v>
      </c>
      <c r="E4" s="1" t="s">
        <v>7</v>
      </c>
      <c r="F4" s="1" t="s">
        <v>5</v>
      </c>
      <c r="G4" s="1" t="s">
        <v>6</v>
      </c>
      <c r="H4">
        <v>1</v>
      </c>
      <c r="I4" s="1" t="s">
        <v>7</v>
      </c>
      <c r="J4" s="1" t="s">
        <v>5</v>
      </c>
      <c r="K4" s="1" t="s">
        <v>6</v>
      </c>
      <c r="L4">
        <v>1</v>
      </c>
      <c r="M4" s="1" t="s">
        <v>7</v>
      </c>
      <c r="N4" s="1" t="s">
        <v>5</v>
      </c>
      <c r="O4" s="1" t="s">
        <v>6</v>
      </c>
      <c r="P4">
        <v>1</v>
      </c>
    </row>
    <row r="5" spans="1:16" x14ac:dyDescent="0.2">
      <c r="A5" s="1" t="s">
        <v>145</v>
      </c>
      <c r="B5" s="1" t="s">
        <v>5</v>
      </c>
      <c r="C5" s="1" t="s">
        <v>6</v>
      </c>
      <c r="D5">
        <v>1</v>
      </c>
      <c r="E5" s="1" t="s">
        <v>8</v>
      </c>
      <c r="F5" s="1" t="s">
        <v>5</v>
      </c>
      <c r="G5" s="1" t="s">
        <v>6</v>
      </c>
      <c r="H5">
        <v>1</v>
      </c>
      <c r="I5" s="1" t="s">
        <v>8</v>
      </c>
      <c r="J5" s="1" t="s">
        <v>5</v>
      </c>
      <c r="K5" s="1" t="s">
        <v>6</v>
      </c>
      <c r="L5">
        <v>1</v>
      </c>
      <c r="M5" s="1" t="s">
        <v>8</v>
      </c>
      <c r="N5" s="1" t="s">
        <v>5</v>
      </c>
      <c r="O5" s="1" t="s">
        <v>6</v>
      </c>
      <c r="P5">
        <v>1</v>
      </c>
    </row>
    <row r="6" spans="1:16" x14ac:dyDescent="0.2">
      <c r="A6" s="1" t="s">
        <v>46</v>
      </c>
      <c r="B6" s="1" t="s">
        <v>30</v>
      </c>
      <c r="C6" s="1" t="s">
        <v>6</v>
      </c>
      <c r="D6">
        <v>2</v>
      </c>
      <c r="E6" s="1" t="s">
        <v>9</v>
      </c>
      <c r="F6" s="1" t="s">
        <v>5</v>
      </c>
      <c r="G6" s="1" t="s">
        <v>6</v>
      </c>
      <c r="H6">
        <v>2</v>
      </c>
      <c r="I6" s="1" t="s">
        <v>9</v>
      </c>
      <c r="J6" s="1" t="s">
        <v>42</v>
      </c>
      <c r="K6" s="1" t="s">
        <v>6</v>
      </c>
      <c r="L6">
        <v>1</v>
      </c>
      <c r="M6" s="1" t="s">
        <v>245</v>
      </c>
      <c r="N6" s="1" t="s">
        <v>5</v>
      </c>
      <c r="O6" s="1" t="s">
        <v>6</v>
      </c>
      <c r="P6">
        <v>2</v>
      </c>
    </row>
    <row r="7" spans="1:16" x14ac:dyDescent="0.2">
      <c r="A7" s="1" t="s">
        <v>46</v>
      </c>
      <c r="B7" s="1" t="s">
        <v>42</v>
      </c>
      <c r="C7" s="1" t="s">
        <v>6</v>
      </c>
      <c r="D7">
        <v>1</v>
      </c>
      <c r="E7" s="1" t="s">
        <v>10</v>
      </c>
      <c r="F7" s="1" t="s">
        <v>5</v>
      </c>
      <c r="G7" s="1" t="s">
        <v>6</v>
      </c>
      <c r="H7">
        <v>2</v>
      </c>
      <c r="I7" s="1" t="s">
        <v>10</v>
      </c>
      <c r="J7" s="1" t="s">
        <v>5</v>
      </c>
      <c r="K7" s="1" t="s">
        <v>6</v>
      </c>
      <c r="L7">
        <v>2</v>
      </c>
      <c r="M7" s="1" t="s">
        <v>10</v>
      </c>
      <c r="N7" s="1" t="s">
        <v>5</v>
      </c>
      <c r="O7" s="1" t="s">
        <v>6</v>
      </c>
      <c r="P7">
        <v>3</v>
      </c>
    </row>
    <row r="8" spans="1:16" x14ac:dyDescent="0.2">
      <c r="A8" s="1" t="s">
        <v>14</v>
      </c>
      <c r="B8" s="1" t="s">
        <v>5</v>
      </c>
      <c r="C8" s="1" t="s">
        <v>6</v>
      </c>
      <c r="D8">
        <v>2</v>
      </c>
      <c r="E8" s="1" t="s">
        <v>12</v>
      </c>
      <c r="F8" s="1" t="s">
        <v>13</v>
      </c>
      <c r="G8" s="1" t="s">
        <v>6</v>
      </c>
      <c r="H8">
        <v>2</v>
      </c>
      <c r="I8" s="1" t="s">
        <v>12</v>
      </c>
      <c r="J8" s="1" t="s">
        <v>13</v>
      </c>
      <c r="K8" s="1" t="s">
        <v>6</v>
      </c>
      <c r="L8">
        <v>2</v>
      </c>
      <c r="M8" s="1" t="s">
        <v>12</v>
      </c>
      <c r="N8" s="1" t="s">
        <v>13</v>
      </c>
      <c r="O8" s="1" t="s">
        <v>6</v>
      </c>
      <c r="P8">
        <v>2</v>
      </c>
    </row>
    <row r="9" spans="1:16" x14ac:dyDescent="0.2">
      <c r="A9" s="1" t="s">
        <v>69</v>
      </c>
      <c r="B9" s="1" t="s">
        <v>5</v>
      </c>
      <c r="C9" s="1" t="s">
        <v>6</v>
      </c>
      <c r="D9">
        <v>1</v>
      </c>
      <c r="E9" s="1" t="s">
        <v>12</v>
      </c>
      <c r="F9" s="1" t="s">
        <v>5</v>
      </c>
      <c r="G9" s="1" t="s">
        <v>6</v>
      </c>
      <c r="H9">
        <v>1</v>
      </c>
      <c r="I9" s="1" t="s">
        <v>12</v>
      </c>
      <c r="J9" s="1" t="s">
        <v>5</v>
      </c>
      <c r="K9" s="1" t="s">
        <v>6</v>
      </c>
      <c r="L9">
        <v>1</v>
      </c>
      <c r="M9" s="1" t="s">
        <v>12</v>
      </c>
      <c r="N9" s="1" t="s">
        <v>5</v>
      </c>
      <c r="O9" s="1" t="s">
        <v>6</v>
      </c>
      <c r="P9">
        <v>1</v>
      </c>
    </row>
    <row r="10" spans="1:16" x14ac:dyDescent="0.2">
      <c r="A10" s="1" t="s">
        <v>139</v>
      </c>
      <c r="B10" s="1" t="s">
        <v>5</v>
      </c>
      <c r="C10" s="1" t="s">
        <v>6</v>
      </c>
      <c r="D10">
        <v>1</v>
      </c>
      <c r="E10" s="1" t="s">
        <v>179</v>
      </c>
      <c r="F10" s="1" t="s">
        <v>5</v>
      </c>
      <c r="G10" s="1" t="s">
        <v>6</v>
      </c>
      <c r="H10">
        <v>2</v>
      </c>
      <c r="I10" s="1" t="s">
        <v>179</v>
      </c>
      <c r="J10" s="1" t="s">
        <v>5</v>
      </c>
      <c r="K10" s="1" t="s">
        <v>6</v>
      </c>
      <c r="L10">
        <v>2</v>
      </c>
      <c r="M10" s="1" t="s">
        <v>15</v>
      </c>
      <c r="N10" s="1" t="s">
        <v>5</v>
      </c>
      <c r="O10" s="1" t="s">
        <v>6</v>
      </c>
      <c r="P10">
        <v>1</v>
      </c>
    </row>
    <row r="11" spans="1:16" x14ac:dyDescent="0.2">
      <c r="A11" s="1" t="s">
        <v>47</v>
      </c>
      <c r="B11" s="1" t="s">
        <v>13</v>
      </c>
      <c r="C11" s="1" t="s">
        <v>6</v>
      </c>
      <c r="D11">
        <v>2</v>
      </c>
      <c r="E11" s="1" t="s">
        <v>14</v>
      </c>
      <c r="F11" s="1" t="s">
        <v>5</v>
      </c>
      <c r="G11" s="1" t="s">
        <v>6</v>
      </c>
      <c r="H11">
        <v>2</v>
      </c>
      <c r="I11" s="1" t="s">
        <v>14</v>
      </c>
      <c r="J11" s="1" t="s">
        <v>5</v>
      </c>
      <c r="K11" s="1" t="s">
        <v>6</v>
      </c>
      <c r="L11">
        <v>2</v>
      </c>
      <c r="M11" s="1" t="s">
        <v>16</v>
      </c>
      <c r="N11" s="1" t="s">
        <v>5</v>
      </c>
      <c r="O11" s="1" t="s">
        <v>6</v>
      </c>
      <c r="P11">
        <v>1</v>
      </c>
    </row>
    <row r="12" spans="1:16" x14ac:dyDescent="0.2">
      <c r="A12" s="1" t="s">
        <v>41</v>
      </c>
      <c r="B12" s="1" t="s">
        <v>13</v>
      </c>
      <c r="C12" s="1" t="s">
        <v>6</v>
      </c>
      <c r="D12">
        <v>1</v>
      </c>
      <c r="E12" s="1" t="s">
        <v>15</v>
      </c>
      <c r="F12" s="1" t="s">
        <v>5</v>
      </c>
      <c r="G12" s="1" t="s">
        <v>6</v>
      </c>
      <c r="H12">
        <v>1</v>
      </c>
      <c r="I12" s="1" t="s">
        <v>15</v>
      </c>
      <c r="J12" s="1" t="s">
        <v>5</v>
      </c>
      <c r="K12" s="1" t="s">
        <v>6</v>
      </c>
      <c r="L12">
        <v>1</v>
      </c>
      <c r="M12" s="1" t="s">
        <v>17</v>
      </c>
      <c r="N12" s="1" t="s">
        <v>5</v>
      </c>
      <c r="O12" s="1" t="s">
        <v>6</v>
      </c>
      <c r="P12">
        <v>3</v>
      </c>
    </row>
    <row r="13" spans="1:16" x14ac:dyDescent="0.2">
      <c r="A13" s="1" t="s">
        <v>66</v>
      </c>
      <c r="B13" s="1" t="s">
        <v>5</v>
      </c>
      <c r="C13" s="1" t="s">
        <v>6</v>
      </c>
      <c r="D13">
        <v>1</v>
      </c>
      <c r="E13" s="1" t="s">
        <v>16</v>
      </c>
      <c r="F13" s="1" t="s">
        <v>5</v>
      </c>
      <c r="G13" s="1" t="s">
        <v>6</v>
      </c>
      <c r="H13">
        <v>1</v>
      </c>
      <c r="I13" s="1" t="s">
        <v>16</v>
      </c>
      <c r="J13" s="1" t="s">
        <v>5</v>
      </c>
      <c r="K13" s="1" t="s">
        <v>6</v>
      </c>
      <c r="L13">
        <v>1</v>
      </c>
      <c r="M13" s="1" t="s">
        <v>18</v>
      </c>
      <c r="N13" s="1" t="s">
        <v>5</v>
      </c>
      <c r="O13" s="1" t="s">
        <v>6</v>
      </c>
      <c r="P13">
        <v>1</v>
      </c>
    </row>
    <row r="14" spans="1:16" x14ac:dyDescent="0.2">
      <c r="A14" s="1" t="s">
        <v>53</v>
      </c>
      <c r="B14" s="1" t="s">
        <v>28</v>
      </c>
      <c r="C14" s="1" t="s">
        <v>6</v>
      </c>
      <c r="D14">
        <v>3</v>
      </c>
      <c r="E14" s="1" t="s">
        <v>17</v>
      </c>
      <c r="F14" s="1" t="s">
        <v>5</v>
      </c>
      <c r="G14" s="1" t="s">
        <v>6</v>
      </c>
      <c r="H14">
        <v>2</v>
      </c>
      <c r="I14" s="1" t="s">
        <v>17</v>
      </c>
      <c r="J14" s="1" t="s">
        <v>5</v>
      </c>
      <c r="K14" s="1" t="s">
        <v>6</v>
      </c>
      <c r="L14">
        <v>2</v>
      </c>
      <c r="M14" s="1" t="s">
        <v>19</v>
      </c>
      <c r="N14" s="1" t="s">
        <v>5</v>
      </c>
      <c r="O14" s="1" t="s">
        <v>6</v>
      </c>
      <c r="P14">
        <v>1</v>
      </c>
    </row>
    <row r="15" spans="1:16" x14ac:dyDescent="0.2">
      <c r="A15" s="1" t="s">
        <v>48</v>
      </c>
      <c r="B15" s="1" t="s">
        <v>5</v>
      </c>
      <c r="C15" s="1" t="s">
        <v>6</v>
      </c>
      <c r="D15">
        <v>1</v>
      </c>
      <c r="E15" s="1" t="s">
        <v>20</v>
      </c>
      <c r="F15" s="1" t="s">
        <v>5</v>
      </c>
      <c r="G15" s="1" t="s">
        <v>6</v>
      </c>
      <c r="H15">
        <v>1</v>
      </c>
      <c r="I15" s="1" t="s">
        <v>18</v>
      </c>
      <c r="J15" s="1" t="s">
        <v>5</v>
      </c>
      <c r="K15" s="1" t="s">
        <v>6</v>
      </c>
      <c r="L15">
        <v>2</v>
      </c>
      <c r="M15" s="1" t="s">
        <v>20</v>
      </c>
      <c r="N15" s="1" t="s">
        <v>5</v>
      </c>
      <c r="O15" s="1" t="s">
        <v>6</v>
      </c>
      <c r="P15">
        <v>3</v>
      </c>
    </row>
    <row r="16" spans="1:16" x14ac:dyDescent="0.2">
      <c r="A16" s="1" t="s">
        <v>48</v>
      </c>
      <c r="B16" s="1" t="s">
        <v>28</v>
      </c>
      <c r="C16" s="1" t="s">
        <v>6</v>
      </c>
      <c r="D16">
        <v>1</v>
      </c>
      <c r="E16" s="1" t="s">
        <v>21</v>
      </c>
      <c r="F16" s="1" t="s">
        <v>5</v>
      </c>
      <c r="G16" s="1" t="s">
        <v>6</v>
      </c>
      <c r="H16">
        <v>1</v>
      </c>
      <c r="I16" s="1" t="s">
        <v>20</v>
      </c>
      <c r="J16" s="1" t="s">
        <v>5</v>
      </c>
      <c r="K16" s="1" t="s">
        <v>6</v>
      </c>
      <c r="L16">
        <v>1</v>
      </c>
      <c r="M16" s="1" t="s">
        <v>21</v>
      </c>
      <c r="N16" s="1" t="s">
        <v>5</v>
      </c>
      <c r="O16" s="1" t="s">
        <v>6</v>
      </c>
      <c r="P16">
        <v>1</v>
      </c>
    </row>
    <row r="17" spans="1:16" x14ac:dyDescent="0.2">
      <c r="A17" s="1" t="s">
        <v>29</v>
      </c>
      <c r="B17" s="1" t="s">
        <v>30</v>
      </c>
      <c r="C17" s="1" t="s">
        <v>6</v>
      </c>
      <c r="D17">
        <v>3</v>
      </c>
      <c r="E17" s="1" t="s">
        <v>22</v>
      </c>
      <c r="F17" s="1" t="s">
        <v>13</v>
      </c>
      <c r="G17" s="1" t="s">
        <v>6</v>
      </c>
      <c r="H17">
        <v>1</v>
      </c>
      <c r="I17" s="1" t="s">
        <v>21</v>
      </c>
      <c r="J17" s="1" t="s">
        <v>5</v>
      </c>
      <c r="K17" s="1" t="s">
        <v>6</v>
      </c>
      <c r="L17">
        <v>1</v>
      </c>
      <c r="M17" s="1" t="s">
        <v>22</v>
      </c>
      <c r="N17" s="1" t="s">
        <v>5</v>
      </c>
      <c r="O17" s="1" t="s">
        <v>6</v>
      </c>
      <c r="P17">
        <v>2</v>
      </c>
    </row>
    <row r="18" spans="1:16" x14ac:dyDescent="0.2">
      <c r="A18" s="1" t="s">
        <v>29</v>
      </c>
      <c r="B18" s="1" t="s">
        <v>5</v>
      </c>
      <c r="C18" s="1" t="s">
        <v>6</v>
      </c>
      <c r="D18">
        <v>1</v>
      </c>
      <c r="E18" s="1" t="s">
        <v>22</v>
      </c>
      <c r="F18" s="1" t="s">
        <v>5</v>
      </c>
      <c r="G18" s="1" t="s">
        <v>6</v>
      </c>
      <c r="H18">
        <v>2</v>
      </c>
      <c r="I18" s="1" t="s">
        <v>22</v>
      </c>
      <c r="J18" s="1" t="s">
        <v>5</v>
      </c>
      <c r="K18" s="1" t="s">
        <v>6</v>
      </c>
      <c r="L18">
        <v>2</v>
      </c>
      <c r="M18" s="1" t="s">
        <v>23</v>
      </c>
      <c r="N18" s="1" t="s">
        <v>5</v>
      </c>
      <c r="O18" s="1" t="s">
        <v>6</v>
      </c>
      <c r="P18">
        <v>3</v>
      </c>
    </row>
    <row r="19" spans="1:16" x14ac:dyDescent="0.2">
      <c r="A19" s="1" t="s">
        <v>127</v>
      </c>
      <c r="B19" s="1" t="s">
        <v>5</v>
      </c>
      <c r="C19" s="1" t="s">
        <v>6</v>
      </c>
      <c r="D19">
        <v>2</v>
      </c>
      <c r="E19" s="1" t="s">
        <v>22</v>
      </c>
      <c r="F19" s="1" t="s">
        <v>28</v>
      </c>
      <c r="G19" s="1" t="s">
        <v>6</v>
      </c>
      <c r="H19">
        <v>1</v>
      </c>
      <c r="I19" s="1" t="s">
        <v>23</v>
      </c>
      <c r="J19" s="1" t="s">
        <v>5</v>
      </c>
      <c r="K19" s="1" t="s">
        <v>6</v>
      </c>
      <c r="L19">
        <v>4</v>
      </c>
      <c r="M19" s="1" t="s">
        <v>23</v>
      </c>
      <c r="N19" s="1" t="s">
        <v>28</v>
      </c>
      <c r="O19" s="1" t="s">
        <v>6</v>
      </c>
      <c r="P19">
        <v>1</v>
      </c>
    </row>
    <row r="20" spans="1:16" x14ac:dyDescent="0.2">
      <c r="A20" s="1" t="s">
        <v>127</v>
      </c>
      <c r="B20" s="1" t="s">
        <v>28</v>
      </c>
      <c r="C20" s="1" t="s">
        <v>6</v>
      </c>
      <c r="D20">
        <v>1</v>
      </c>
      <c r="E20" s="1" t="s">
        <v>180</v>
      </c>
      <c r="F20" s="1" t="s">
        <v>5</v>
      </c>
      <c r="G20" s="1" t="s">
        <v>6</v>
      </c>
      <c r="H20">
        <v>1</v>
      </c>
      <c r="I20" s="1" t="s">
        <v>23</v>
      </c>
      <c r="J20" s="1" t="s">
        <v>28</v>
      </c>
      <c r="K20" s="1" t="s">
        <v>6</v>
      </c>
      <c r="L20">
        <v>1</v>
      </c>
      <c r="M20" s="1" t="s">
        <v>24</v>
      </c>
      <c r="N20" s="1" t="s">
        <v>5</v>
      </c>
      <c r="O20" s="1" t="s">
        <v>6</v>
      </c>
      <c r="P20">
        <v>1</v>
      </c>
    </row>
    <row r="21" spans="1:16" x14ac:dyDescent="0.2">
      <c r="A21" s="1" t="s">
        <v>126</v>
      </c>
      <c r="B21" s="1" t="s">
        <v>5</v>
      </c>
      <c r="C21" s="1" t="s">
        <v>6</v>
      </c>
      <c r="D21">
        <v>2</v>
      </c>
      <c r="E21" s="1" t="s">
        <v>23</v>
      </c>
      <c r="F21" s="1" t="s">
        <v>5</v>
      </c>
      <c r="G21" s="1" t="s">
        <v>6</v>
      </c>
      <c r="H21">
        <v>2</v>
      </c>
      <c r="I21" s="1" t="s">
        <v>23</v>
      </c>
      <c r="J21" s="1" t="s">
        <v>30</v>
      </c>
      <c r="K21" s="1" t="s">
        <v>6</v>
      </c>
      <c r="L21">
        <v>4</v>
      </c>
      <c r="M21" s="1" t="s">
        <v>25</v>
      </c>
      <c r="N21" s="1" t="s">
        <v>5</v>
      </c>
      <c r="O21" s="1" t="s">
        <v>6</v>
      </c>
      <c r="P21">
        <v>2</v>
      </c>
    </row>
    <row r="22" spans="1:16" x14ac:dyDescent="0.2">
      <c r="A22" s="1" t="s">
        <v>108</v>
      </c>
      <c r="B22" s="1" t="s">
        <v>5</v>
      </c>
      <c r="C22" s="1" t="s">
        <v>6</v>
      </c>
      <c r="D22">
        <v>1</v>
      </c>
      <c r="E22" s="1" t="s">
        <v>181</v>
      </c>
      <c r="F22" s="1" t="s">
        <v>13</v>
      </c>
      <c r="G22" s="1" t="s">
        <v>6</v>
      </c>
      <c r="H22">
        <v>2</v>
      </c>
      <c r="I22" s="1" t="s">
        <v>223</v>
      </c>
      <c r="J22" s="1" t="s">
        <v>5</v>
      </c>
      <c r="K22" s="1" t="s">
        <v>6</v>
      </c>
      <c r="L22">
        <v>1</v>
      </c>
      <c r="M22" s="1" t="s">
        <v>246</v>
      </c>
      <c r="N22" s="1" t="s">
        <v>13</v>
      </c>
      <c r="O22" s="1" t="s">
        <v>6</v>
      </c>
      <c r="P22">
        <v>4</v>
      </c>
    </row>
    <row r="23" spans="1:16" x14ac:dyDescent="0.2">
      <c r="A23" s="1" t="s">
        <v>61</v>
      </c>
      <c r="B23" s="1" t="s">
        <v>30</v>
      </c>
      <c r="C23" s="1" t="s">
        <v>6</v>
      </c>
      <c r="D23">
        <v>4</v>
      </c>
      <c r="E23" s="1" t="s">
        <v>182</v>
      </c>
      <c r="F23" s="1" t="s">
        <v>13</v>
      </c>
      <c r="G23" s="1" t="s">
        <v>6</v>
      </c>
      <c r="H23">
        <v>2</v>
      </c>
      <c r="I23" s="1" t="s">
        <v>182</v>
      </c>
      <c r="J23" s="1" t="s">
        <v>13</v>
      </c>
      <c r="K23" s="1" t="s">
        <v>6</v>
      </c>
      <c r="L23">
        <v>2</v>
      </c>
      <c r="M23" s="1" t="s">
        <v>27</v>
      </c>
      <c r="N23" s="1" t="s">
        <v>28</v>
      </c>
      <c r="O23" s="1" t="s">
        <v>6</v>
      </c>
      <c r="P23">
        <v>2</v>
      </c>
    </row>
    <row r="24" spans="1:16" x14ac:dyDescent="0.2">
      <c r="A24" s="1" t="s">
        <v>61</v>
      </c>
      <c r="B24" s="1" t="s">
        <v>5</v>
      </c>
      <c r="C24" s="1" t="s">
        <v>6</v>
      </c>
      <c r="D24">
        <v>2</v>
      </c>
      <c r="E24" s="1" t="s">
        <v>24</v>
      </c>
      <c r="F24" s="1" t="s">
        <v>5</v>
      </c>
      <c r="G24" s="1" t="s">
        <v>6</v>
      </c>
      <c r="H24">
        <v>1</v>
      </c>
      <c r="I24" s="1" t="s">
        <v>24</v>
      </c>
      <c r="J24" s="1" t="s">
        <v>5</v>
      </c>
      <c r="K24" s="1" t="s">
        <v>6</v>
      </c>
      <c r="L24">
        <v>1</v>
      </c>
      <c r="M24" s="1" t="s">
        <v>184</v>
      </c>
      <c r="N24" s="1" t="s">
        <v>5</v>
      </c>
      <c r="O24" s="1" t="s">
        <v>6</v>
      </c>
      <c r="P24">
        <v>1</v>
      </c>
    </row>
    <row r="25" spans="1:16" x14ac:dyDescent="0.2">
      <c r="A25" s="1" t="s">
        <v>72</v>
      </c>
      <c r="B25" s="1" t="s">
        <v>30</v>
      </c>
      <c r="C25" s="1" t="s">
        <v>6</v>
      </c>
      <c r="D25">
        <v>5</v>
      </c>
      <c r="E25" s="1" t="s">
        <v>25</v>
      </c>
      <c r="F25" s="1" t="s">
        <v>5</v>
      </c>
      <c r="G25" s="1" t="s">
        <v>6</v>
      </c>
      <c r="H25">
        <v>3</v>
      </c>
      <c r="I25" s="1" t="s">
        <v>25</v>
      </c>
      <c r="J25" s="1" t="s">
        <v>5</v>
      </c>
      <c r="K25" s="1" t="s">
        <v>6</v>
      </c>
      <c r="L25">
        <v>2</v>
      </c>
      <c r="M25" s="1" t="s">
        <v>29</v>
      </c>
      <c r="N25" s="1" t="s">
        <v>5</v>
      </c>
      <c r="O25" s="1" t="s">
        <v>6</v>
      </c>
      <c r="P25">
        <v>1</v>
      </c>
    </row>
    <row r="26" spans="1:16" x14ac:dyDescent="0.2">
      <c r="A26" s="1" t="s">
        <v>72</v>
      </c>
      <c r="B26" s="1" t="s">
        <v>5</v>
      </c>
      <c r="C26" s="1" t="s">
        <v>6</v>
      </c>
      <c r="D26">
        <v>2</v>
      </c>
      <c r="E26" s="1" t="s">
        <v>26</v>
      </c>
      <c r="F26" s="1" t="s">
        <v>13</v>
      </c>
      <c r="G26" s="1" t="s">
        <v>6</v>
      </c>
      <c r="H26">
        <v>4</v>
      </c>
      <c r="I26" s="1" t="s">
        <v>27</v>
      </c>
      <c r="J26" s="1" t="s">
        <v>28</v>
      </c>
      <c r="K26" s="1" t="s">
        <v>6</v>
      </c>
      <c r="L26">
        <v>2</v>
      </c>
      <c r="M26" s="1" t="s">
        <v>31</v>
      </c>
      <c r="N26" s="1" t="s">
        <v>28</v>
      </c>
      <c r="O26" s="1" t="s">
        <v>6</v>
      </c>
      <c r="P26">
        <v>3</v>
      </c>
    </row>
    <row r="27" spans="1:16" x14ac:dyDescent="0.2">
      <c r="A27" s="1" t="s">
        <v>166</v>
      </c>
      <c r="B27" s="1" t="s">
        <v>5</v>
      </c>
      <c r="C27" s="1" t="s">
        <v>6</v>
      </c>
      <c r="D27">
        <v>3</v>
      </c>
      <c r="E27" s="1" t="s">
        <v>26</v>
      </c>
      <c r="F27" s="1" t="s">
        <v>5</v>
      </c>
      <c r="G27" s="1" t="s">
        <v>6</v>
      </c>
      <c r="H27">
        <v>3</v>
      </c>
      <c r="I27" s="1" t="s">
        <v>184</v>
      </c>
      <c r="J27" s="1" t="s">
        <v>5</v>
      </c>
      <c r="K27" s="1" t="s">
        <v>6</v>
      </c>
      <c r="L27">
        <v>1</v>
      </c>
      <c r="M27" s="1" t="s">
        <v>185</v>
      </c>
      <c r="N27" s="1" t="s">
        <v>13</v>
      </c>
      <c r="O27" s="1" t="s">
        <v>6</v>
      </c>
      <c r="P27">
        <v>1</v>
      </c>
    </row>
    <row r="28" spans="1:16" x14ac:dyDescent="0.2">
      <c r="A28" s="1" t="s">
        <v>100</v>
      </c>
      <c r="B28" s="1" t="s">
        <v>5</v>
      </c>
      <c r="C28" s="1" t="s">
        <v>6</v>
      </c>
      <c r="D28">
        <v>2</v>
      </c>
      <c r="E28" s="1" t="s">
        <v>27</v>
      </c>
      <c r="F28" s="1" t="s">
        <v>28</v>
      </c>
      <c r="G28" s="1" t="s">
        <v>6</v>
      </c>
      <c r="H28">
        <v>2</v>
      </c>
      <c r="I28" s="1" t="s">
        <v>29</v>
      </c>
      <c r="J28" s="1" t="s">
        <v>5</v>
      </c>
      <c r="K28" s="1" t="s">
        <v>6</v>
      </c>
      <c r="L28">
        <v>1</v>
      </c>
      <c r="M28" s="1" t="s">
        <v>32</v>
      </c>
      <c r="N28" s="1" t="s">
        <v>5</v>
      </c>
      <c r="O28" s="1" t="s">
        <v>6</v>
      </c>
      <c r="P28">
        <v>2</v>
      </c>
    </row>
    <row r="29" spans="1:16" x14ac:dyDescent="0.2">
      <c r="A29" s="1" t="s">
        <v>109</v>
      </c>
      <c r="B29" s="1" t="s">
        <v>13</v>
      </c>
      <c r="C29" s="1" t="s">
        <v>6</v>
      </c>
      <c r="D29">
        <v>1</v>
      </c>
      <c r="E29" s="1" t="s">
        <v>183</v>
      </c>
      <c r="F29" s="1" t="s">
        <v>13</v>
      </c>
      <c r="G29" s="1" t="s">
        <v>6</v>
      </c>
      <c r="H29">
        <v>2</v>
      </c>
      <c r="I29" s="1" t="s">
        <v>31</v>
      </c>
      <c r="J29" s="1" t="s">
        <v>5</v>
      </c>
      <c r="K29" s="1" t="s">
        <v>6</v>
      </c>
      <c r="L29">
        <v>2</v>
      </c>
      <c r="M29" s="1" t="s">
        <v>186</v>
      </c>
      <c r="N29" s="1" t="s">
        <v>5</v>
      </c>
      <c r="O29" s="1" t="s">
        <v>6</v>
      </c>
      <c r="P29">
        <v>2</v>
      </c>
    </row>
    <row r="30" spans="1:16" x14ac:dyDescent="0.2">
      <c r="A30" s="1" t="s">
        <v>131</v>
      </c>
      <c r="B30" s="1" t="s">
        <v>5</v>
      </c>
      <c r="C30" s="1" t="s">
        <v>6</v>
      </c>
      <c r="D30">
        <v>3</v>
      </c>
      <c r="E30" s="1" t="s">
        <v>184</v>
      </c>
      <c r="F30" s="1" t="s">
        <v>5</v>
      </c>
      <c r="G30" s="1" t="s">
        <v>6</v>
      </c>
      <c r="H30">
        <v>1</v>
      </c>
      <c r="I30" s="1" t="s">
        <v>31</v>
      </c>
      <c r="J30" s="1" t="s">
        <v>28</v>
      </c>
      <c r="K30" s="1" t="s">
        <v>6</v>
      </c>
      <c r="L30">
        <v>1</v>
      </c>
      <c r="M30" s="1" t="s">
        <v>186</v>
      </c>
      <c r="N30" s="1" t="s">
        <v>30</v>
      </c>
      <c r="O30" s="1" t="s">
        <v>6</v>
      </c>
      <c r="P30">
        <v>4</v>
      </c>
    </row>
    <row r="31" spans="1:16" x14ac:dyDescent="0.2">
      <c r="A31" s="1" t="s">
        <v>155</v>
      </c>
      <c r="B31" s="1" t="s">
        <v>13</v>
      </c>
      <c r="C31" s="1" t="s">
        <v>6</v>
      </c>
      <c r="D31">
        <v>1</v>
      </c>
      <c r="E31" s="1" t="s">
        <v>29</v>
      </c>
      <c r="F31" s="1" t="s">
        <v>5</v>
      </c>
      <c r="G31" s="1" t="s">
        <v>6</v>
      </c>
      <c r="H31">
        <v>1</v>
      </c>
      <c r="I31" s="1" t="s">
        <v>32</v>
      </c>
      <c r="J31" s="1" t="s">
        <v>5</v>
      </c>
      <c r="K31" s="1" t="s">
        <v>6</v>
      </c>
      <c r="L31">
        <v>1</v>
      </c>
      <c r="M31" s="1" t="s">
        <v>33</v>
      </c>
      <c r="N31" s="1" t="s">
        <v>5</v>
      </c>
      <c r="O31" s="1" t="s">
        <v>6</v>
      </c>
      <c r="P31">
        <v>2</v>
      </c>
    </row>
    <row r="32" spans="1:16" x14ac:dyDescent="0.2">
      <c r="A32" s="1" t="s">
        <v>74</v>
      </c>
      <c r="B32" s="1" t="s">
        <v>5</v>
      </c>
      <c r="C32" s="1" t="s">
        <v>6</v>
      </c>
      <c r="D32">
        <v>4</v>
      </c>
      <c r="E32" s="1" t="s">
        <v>185</v>
      </c>
      <c r="F32" s="1" t="s">
        <v>13</v>
      </c>
      <c r="G32" s="1" t="s">
        <v>6</v>
      </c>
      <c r="H32">
        <v>1</v>
      </c>
      <c r="I32" s="1" t="s">
        <v>13</v>
      </c>
      <c r="J32" s="1" t="s">
        <v>5</v>
      </c>
      <c r="K32" s="1" t="s">
        <v>6</v>
      </c>
      <c r="L32">
        <v>1</v>
      </c>
      <c r="M32" s="1" t="s">
        <v>34</v>
      </c>
      <c r="N32" s="1" t="s">
        <v>28</v>
      </c>
      <c r="O32" s="1" t="s">
        <v>6</v>
      </c>
      <c r="P32">
        <v>2</v>
      </c>
    </row>
    <row r="33" spans="1:16" x14ac:dyDescent="0.2">
      <c r="A33" s="1" t="s">
        <v>121</v>
      </c>
      <c r="B33" s="1" t="s">
        <v>40</v>
      </c>
      <c r="C33" s="1" t="s">
        <v>6</v>
      </c>
      <c r="D33">
        <v>2</v>
      </c>
      <c r="E33" s="1" t="s">
        <v>32</v>
      </c>
      <c r="F33" s="1" t="s">
        <v>5</v>
      </c>
      <c r="G33" s="1" t="s">
        <v>6</v>
      </c>
      <c r="H33">
        <v>2</v>
      </c>
      <c r="I33" s="1" t="s">
        <v>224</v>
      </c>
      <c r="J33" s="1" t="s">
        <v>13</v>
      </c>
      <c r="K33" s="1" t="s">
        <v>6</v>
      </c>
      <c r="L33">
        <v>4</v>
      </c>
      <c r="M33" s="1" t="s">
        <v>35</v>
      </c>
      <c r="N33" s="1" t="s">
        <v>5</v>
      </c>
      <c r="O33" s="1" t="s">
        <v>6</v>
      </c>
      <c r="P33">
        <v>1</v>
      </c>
    </row>
    <row r="34" spans="1:16" x14ac:dyDescent="0.2">
      <c r="A34" s="1" t="s">
        <v>121</v>
      </c>
      <c r="B34" s="1" t="s">
        <v>41</v>
      </c>
      <c r="C34" s="1" t="s">
        <v>6</v>
      </c>
      <c r="D34">
        <v>2</v>
      </c>
      <c r="E34" s="1" t="s">
        <v>186</v>
      </c>
      <c r="F34" s="1" t="s">
        <v>5</v>
      </c>
      <c r="G34" s="1" t="s">
        <v>6</v>
      </c>
      <c r="H34">
        <v>2</v>
      </c>
      <c r="I34" s="1" t="s">
        <v>224</v>
      </c>
      <c r="J34" s="1" t="s">
        <v>5</v>
      </c>
      <c r="K34" s="1" t="s">
        <v>6</v>
      </c>
      <c r="L34">
        <v>2</v>
      </c>
      <c r="M34" s="1" t="s">
        <v>36</v>
      </c>
      <c r="N34" s="1" t="s">
        <v>5</v>
      </c>
      <c r="O34" s="1" t="s">
        <v>6</v>
      </c>
      <c r="P34">
        <v>2</v>
      </c>
    </row>
    <row r="35" spans="1:16" x14ac:dyDescent="0.2">
      <c r="A35" s="1" t="s">
        <v>121</v>
      </c>
      <c r="B35" s="1" t="s">
        <v>28</v>
      </c>
      <c r="C35" s="1" t="s">
        <v>6</v>
      </c>
      <c r="D35">
        <v>1</v>
      </c>
      <c r="E35" s="1" t="s">
        <v>186</v>
      </c>
      <c r="F35" s="1" t="s">
        <v>30</v>
      </c>
      <c r="G35" s="1" t="s">
        <v>6</v>
      </c>
      <c r="H35">
        <v>4</v>
      </c>
      <c r="I35" s="1" t="s">
        <v>33</v>
      </c>
      <c r="J35" s="1" t="s">
        <v>5</v>
      </c>
      <c r="K35" s="1" t="s">
        <v>6</v>
      </c>
      <c r="L35">
        <v>2</v>
      </c>
      <c r="M35" s="1" t="s">
        <v>38</v>
      </c>
      <c r="N35" s="1" t="s">
        <v>5</v>
      </c>
      <c r="O35" s="1" t="s">
        <v>6</v>
      </c>
      <c r="P35">
        <v>1</v>
      </c>
    </row>
    <row r="36" spans="1:16" x14ac:dyDescent="0.2">
      <c r="A36" s="1" t="s">
        <v>153</v>
      </c>
      <c r="B36" s="1" t="s">
        <v>5</v>
      </c>
      <c r="C36" s="1" t="s">
        <v>6</v>
      </c>
      <c r="D36">
        <v>1</v>
      </c>
      <c r="E36" s="1" t="s">
        <v>187</v>
      </c>
      <c r="F36" s="1" t="s">
        <v>5</v>
      </c>
      <c r="G36" s="1" t="s">
        <v>6</v>
      </c>
      <c r="H36">
        <v>1</v>
      </c>
      <c r="I36" s="1" t="s">
        <v>34</v>
      </c>
      <c r="J36" s="1" t="s">
        <v>28</v>
      </c>
      <c r="K36" s="1" t="s">
        <v>6</v>
      </c>
      <c r="L36">
        <v>2</v>
      </c>
      <c r="M36" s="1" t="s">
        <v>39</v>
      </c>
      <c r="N36" s="1" t="s">
        <v>5</v>
      </c>
      <c r="O36" s="1" t="s">
        <v>6</v>
      </c>
      <c r="P36">
        <v>1</v>
      </c>
    </row>
    <row r="37" spans="1:16" x14ac:dyDescent="0.2">
      <c r="A37" s="1" t="s">
        <v>22</v>
      </c>
      <c r="B37" s="1" t="s">
        <v>5</v>
      </c>
      <c r="C37" s="1" t="s">
        <v>6</v>
      </c>
      <c r="D37">
        <v>2</v>
      </c>
      <c r="E37" s="1" t="s">
        <v>33</v>
      </c>
      <c r="F37" s="1" t="s">
        <v>5</v>
      </c>
      <c r="G37" s="1" t="s">
        <v>6</v>
      </c>
      <c r="H37">
        <v>2</v>
      </c>
      <c r="I37" s="1" t="s">
        <v>35</v>
      </c>
      <c r="J37" s="1" t="s">
        <v>5</v>
      </c>
      <c r="K37" s="1" t="s">
        <v>6</v>
      </c>
      <c r="L37">
        <v>1</v>
      </c>
      <c r="M37" s="1" t="s">
        <v>247</v>
      </c>
      <c r="N37" s="1" t="s">
        <v>13</v>
      </c>
      <c r="O37" s="1" t="s">
        <v>6</v>
      </c>
      <c r="P37">
        <v>2</v>
      </c>
    </row>
    <row r="38" spans="1:16" x14ac:dyDescent="0.2">
      <c r="A38" s="1" t="s">
        <v>141</v>
      </c>
      <c r="B38" s="1" t="s">
        <v>5</v>
      </c>
      <c r="C38" s="1" t="s">
        <v>6</v>
      </c>
      <c r="D38">
        <v>1</v>
      </c>
      <c r="E38" s="1" t="s">
        <v>34</v>
      </c>
      <c r="F38" s="1" t="s">
        <v>28</v>
      </c>
      <c r="G38" s="1" t="s">
        <v>6</v>
      </c>
      <c r="H38">
        <v>2</v>
      </c>
      <c r="I38" s="1" t="s">
        <v>36</v>
      </c>
      <c r="J38" s="1" t="s">
        <v>5</v>
      </c>
      <c r="K38" s="1" t="s">
        <v>6</v>
      </c>
      <c r="L38">
        <v>1</v>
      </c>
      <c r="M38" s="1" t="s">
        <v>226</v>
      </c>
      <c r="N38" s="1" t="s">
        <v>5</v>
      </c>
      <c r="O38" s="1" t="s">
        <v>6</v>
      </c>
      <c r="P38">
        <v>1</v>
      </c>
    </row>
    <row r="39" spans="1:16" x14ac:dyDescent="0.2">
      <c r="A39" s="1" t="s">
        <v>89</v>
      </c>
      <c r="B39" s="1" t="s">
        <v>5</v>
      </c>
      <c r="C39" s="1" t="s">
        <v>6</v>
      </c>
      <c r="D39">
        <v>1</v>
      </c>
      <c r="E39" s="1" t="s">
        <v>35</v>
      </c>
      <c r="F39" s="1" t="s">
        <v>5</v>
      </c>
      <c r="G39" s="1" t="s">
        <v>6</v>
      </c>
      <c r="H39">
        <v>1</v>
      </c>
      <c r="I39" s="1" t="s">
        <v>225</v>
      </c>
      <c r="J39" s="1" t="s">
        <v>5</v>
      </c>
      <c r="K39" s="1" t="s">
        <v>6</v>
      </c>
      <c r="L39">
        <v>1</v>
      </c>
      <c r="M39" s="1" t="s">
        <v>189</v>
      </c>
      <c r="N39" s="1" t="s">
        <v>5</v>
      </c>
      <c r="O39" s="1" t="s">
        <v>6</v>
      </c>
      <c r="P39">
        <v>4</v>
      </c>
    </row>
    <row r="40" spans="1:16" x14ac:dyDescent="0.2">
      <c r="A40" s="1" t="s">
        <v>59</v>
      </c>
      <c r="B40" s="1" t="s">
        <v>28</v>
      </c>
      <c r="C40" s="1" t="s">
        <v>6</v>
      </c>
      <c r="D40">
        <v>2</v>
      </c>
      <c r="E40" s="1" t="s">
        <v>36</v>
      </c>
      <c r="F40" s="1" t="s">
        <v>42</v>
      </c>
      <c r="G40" s="1" t="s">
        <v>6</v>
      </c>
      <c r="H40">
        <v>4</v>
      </c>
      <c r="I40" s="1" t="s">
        <v>37</v>
      </c>
      <c r="J40" s="1" t="s">
        <v>5</v>
      </c>
      <c r="K40" s="1" t="s">
        <v>6</v>
      </c>
      <c r="L40">
        <v>1</v>
      </c>
      <c r="M40" s="1" t="s">
        <v>189</v>
      </c>
      <c r="N40" s="1" t="s">
        <v>28</v>
      </c>
      <c r="O40" s="1" t="s">
        <v>6</v>
      </c>
      <c r="P40">
        <v>2</v>
      </c>
    </row>
    <row r="41" spans="1:16" x14ac:dyDescent="0.2">
      <c r="A41" s="1" t="s">
        <v>45</v>
      </c>
      <c r="B41" s="1" t="s">
        <v>5</v>
      </c>
      <c r="C41" s="1" t="s">
        <v>6</v>
      </c>
      <c r="D41">
        <v>1</v>
      </c>
      <c r="E41" s="1" t="s">
        <v>188</v>
      </c>
      <c r="F41" s="1" t="s">
        <v>13</v>
      </c>
      <c r="G41" s="1" t="s">
        <v>6</v>
      </c>
      <c r="H41">
        <v>1</v>
      </c>
      <c r="I41" s="1" t="s">
        <v>37</v>
      </c>
      <c r="J41" s="1" t="s">
        <v>30</v>
      </c>
      <c r="K41" s="1" t="s">
        <v>6</v>
      </c>
      <c r="L41">
        <v>1</v>
      </c>
      <c r="M41" s="1" t="s">
        <v>43</v>
      </c>
      <c r="N41" s="1" t="s">
        <v>5</v>
      </c>
      <c r="O41" s="1" t="s">
        <v>6</v>
      </c>
      <c r="P41">
        <v>1</v>
      </c>
    </row>
    <row r="42" spans="1:16" x14ac:dyDescent="0.2">
      <c r="A42" s="1" t="s">
        <v>107</v>
      </c>
      <c r="B42" s="1" t="s">
        <v>5</v>
      </c>
      <c r="C42" s="1" t="s">
        <v>6</v>
      </c>
      <c r="D42">
        <v>1</v>
      </c>
      <c r="E42" s="1" t="s">
        <v>38</v>
      </c>
      <c r="F42" s="1" t="s">
        <v>5</v>
      </c>
      <c r="G42" s="1" t="s">
        <v>6</v>
      </c>
      <c r="H42">
        <v>1</v>
      </c>
      <c r="I42" s="1" t="s">
        <v>188</v>
      </c>
      <c r="J42" s="1" t="s">
        <v>13</v>
      </c>
      <c r="K42" s="1" t="s">
        <v>6</v>
      </c>
      <c r="L42">
        <v>1</v>
      </c>
      <c r="M42" s="1" t="s">
        <v>44</v>
      </c>
      <c r="N42" s="1" t="s">
        <v>5</v>
      </c>
      <c r="O42" s="1" t="s">
        <v>6</v>
      </c>
      <c r="P42">
        <v>1</v>
      </c>
    </row>
    <row r="43" spans="1:16" x14ac:dyDescent="0.2">
      <c r="A43" s="1" t="s">
        <v>123</v>
      </c>
      <c r="B43" s="1" t="s">
        <v>124</v>
      </c>
      <c r="C43" s="1" t="s">
        <v>6</v>
      </c>
      <c r="D43">
        <v>9</v>
      </c>
      <c r="E43" s="1" t="s">
        <v>39</v>
      </c>
      <c r="F43" s="1" t="s">
        <v>5</v>
      </c>
      <c r="G43" s="1" t="s">
        <v>6</v>
      </c>
      <c r="H43">
        <v>1</v>
      </c>
      <c r="I43" s="1" t="s">
        <v>38</v>
      </c>
      <c r="J43" s="1" t="s">
        <v>5</v>
      </c>
      <c r="K43" s="1" t="s">
        <v>6</v>
      </c>
      <c r="L43">
        <v>1</v>
      </c>
      <c r="M43" s="1" t="s">
        <v>45</v>
      </c>
      <c r="N43" s="1" t="s">
        <v>5</v>
      </c>
      <c r="O43" s="1" t="s">
        <v>6</v>
      </c>
      <c r="P43">
        <v>1</v>
      </c>
    </row>
    <row r="44" spans="1:16" x14ac:dyDescent="0.2">
      <c r="A44" s="1" t="s">
        <v>44</v>
      </c>
      <c r="B44" s="1" t="s">
        <v>5</v>
      </c>
      <c r="C44" s="1" t="s">
        <v>6</v>
      </c>
      <c r="D44">
        <v>2</v>
      </c>
      <c r="E44" s="1" t="s">
        <v>189</v>
      </c>
      <c r="F44" s="1" t="s">
        <v>5</v>
      </c>
      <c r="G44" s="1" t="s">
        <v>6</v>
      </c>
      <c r="H44">
        <v>4</v>
      </c>
      <c r="I44" s="1" t="s">
        <v>226</v>
      </c>
      <c r="J44" s="1" t="s">
        <v>5</v>
      </c>
      <c r="K44" s="1" t="s">
        <v>6</v>
      </c>
      <c r="L44">
        <v>1</v>
      </c>
      <c r="M44" s="1" t="s">
        <v>46</v>
      </c>
      <c r="N44" s="1" t="s">
        <v>5</v>
      </c>
      <c r="O44" s="1" t="s">
        <v>6</v>
      </c>
      <c r="P44">
        <v>1</v>
      </c>
    </row>
    <row r="45" spans="1:16" x14ac:dyDescent="0.2">
      <c r="A45" s="1" t="s">
        <v>135</v>
      </c>
      <c r="B45" s="1" t="s">
        <v>5</v>
      </c>
      <c r="C45" s="1" t="s">
        <v>6</v>
      </c>
      <c r="D45">
        <v>1</v>
      </c>
      <c r="E45" s="1" t="s">
        <v>189</v>
      </c>
      <c r="F45" s="1" t="s">
        <v>28</v>
      </c>
      <c r="G45" s="1" t="s">
        <v>6</v>
      </c>
      <c r="H45">
        <v>2</v>
      </c>
      <c r="I45" s="1" t="s">
        <v>189</v>
      </c>
      <c r="J45" s="1" t="s">
        <v>5</v>
      </c>
      <c r="K45" s="1" t="s">
        <v>6</v>
      </c>
      <c r="L45">
        <v>4</v>
      </c>
      <c r="M45" s="1" t="s">
        <v>190</v>
      </c>
      <c r="N45" s="1" t="s">
        <v>5</v>
      </c>
      <c r="O45" s="1" t="s">
        <v>6</v>
      </c>
      <c r="P45">
        <v>1</v>
      </c>
    </row>
    <row r="46" spans="1:16" x14ac:dyDescent="0.2">
      <c r="A46" s="1" t="s">
        <v>165</v>
      </c>
      <c r="B46" s="1" t="s">
        <v>5</v>
      </c>
      <c r="C46" s="1" t="s">
        <v>6</v>
      </c>
      <c r="D46">
        <v>1</v>
      </c>
      <c r="E46" s="1" t="s">
        <v>43</v>
      </c>
      <c r="F46" s="1" t="s">
        <v>5</v>
      </c>
      <c r="G46" s="1" t="s">
        <v>6</v>
      </c>
      <c r="H46">
        <v>1</v>
      </c>
      <c r="I46" s="1" t="s">
        <v>189</v>
      </c>
      <c r="J46" s="1" t="s">
        <v>28</v>
      </c>
      <c r="K46" s="1" t="s">
        <v>6</v>
      </c>
      <c r="L46">
        <v>2</v>
      </c>
      <c r="M46" s="1" t="s">
        <v>190</v>
      </c>
      <c r="N46" s="1" t="s">
        <v>28</v>
      </c>
      <c r="O46" s="1" t="s">
        <v>6</v>
      </c>
      <c r="P46">
        <v>1</v>
      </c>
    </row>
    <row r="47" spans="1:16" x14ac:dyDescent="0.2">
      <c r="A47" s="1" t="s">
        <v>103</v>
      </c>
      <c r="B47" s="1" t="s">
        <v>5</v>
      </c>
      <c r="C47" s="1" t="s">
        <v>6</v>
      </c>
      <c r="D47">
        <v>4</v>
      </c>
      <c r="E47" s="1" t="s">
        <v>44</v>
      </c>
      <c r="F47" s="1" t="s">
        <v>5</v>
      </c>
      <c r="G47" s="1" t="s">
        <v>6</v>
      </c>
      <c r="H47">
        <v>1</v>
      </c>
      <c r="I47" s="1" t="s">
        <v>43</v>
      </c>
      <c r="J47" s="1" t="s">
        <v>5</v>
      </c>
      <c r="K47" s="1" t="s">
        <v>6</v>
      </c>
      <c r="L47">
        <v>1</v>
      </c>
      <c r="M47" s="1" t="s">
        <v>47</v>
      </c>
      <c r="N47" s="1" t="s">
        <v>13</v>
      </c>
      <c r="O47" s="1" t="s">
        <v>6</v>
      </c>
      <c r="P47">
        <v>2</v>
      </c>
    </row>
    <row r="48" spans="1:16" x14ac:dyDescent="0.2">
      <c r="A48" s="1" t="s">
        <v>8</v>
      </c>
      <c r="B48" s="1" t="s">
        <v>5</v>
      </c>
      <c r="C48" s="1" t="s">
        <v>6</v>
      </c>
      <c r="D48">
        <v>1</v>
      </c>
      <c r="E48" s="1" t="s">
        <v>44</v>
      </c>
      <c r="F48" s="1" t="s">
        <v>28</v>
      </c>
      <c r="G48" s="1" t="s">
        <v>6</v>
      </c>
      <c r="H48">
        <v>1</v>
      </c>
      <c r="I48" s="1" t="s">
        <v>44</v>
      </c>
      <c r="J48" s="1" t="s">
        <v>5</v>
      </c>
      <c r="K48" s="1" t="s">
        <v>6</v>
      </c>
      <c r="L48">
        <v>2</v>
      </c>
      <c r="M48" s="1" t="s">
        <v>48</v>
      </c>
      <c r="N48" s="1" t="s">
        <v>5</v>
      </c>
      <c r="O48" s="1" t="s">
        <v>6</v>
      </c>
      <c r="P48">
        <v>1</v>
      </c>
    </row>
    <row r="49" spans="1:16" x14ac:dyDescent="0.2">
      <c r="A49" s="1" t="s">
        <v>120</v>
      </c>
      <c r="B49" s="1" t="s">
        <v>5</v>
      </c>
      <c r="C49" s="1" t="s">
        <v>6</v>
      </c>
      <c r="D49">
        <v>1</v>
      </c>
      <c r="E49" s="1" t="s">
        <v>45</v>
      </c>
      <c r="F49" s="1" t="s">
        <v>5</v>
      </c>
      <c r="G49" s="1" t="s">
        <v>6</v>
      </c>
      <c r="H49">
        <v>1</v>
      </c>
      <c r="I49" s="1" t="s">
        <v>45</v>
      </c>
      <c r="J49" s="1" t="s">
        <v>5</v>
      </c>
      <c r="K49" s="1" t="s">
        <v>6</v>
      </c>
      <c r="L49">
        <v>1</v>
      </c>
      <c r="M49" s="1" t="s">
        <v>48</v>
      </c>
      <c r="N49" s="1" t="s">
        <v>28</v>
      </c>
      <c r="O49" s="1" t="s">
        <v>6</v>
      </c>
      <c r="P49">
        <v>1</v>
      </c>
    </row>
    <row r="50" spans="1:16" x14ac:dyDescent="0.2">
      <c r="A50" s="1" t="s">
        <v>23</v>
      </c>
      <c r="B50" s="1" t="s">
        <v>5</v>
      </c>
      <c r="C50" s="1" t="s">
        <v>6</v>
      </c>
      <c r="D50">
        <v>2</v>
      </c>
      <c r="E50" s="1" t="s">
        <v>46</v>
      </c>
      <c r="F50" s="1" t="s">
        <v>30</v>
      </c>
      <c r="G50" s="1" t="s">
        <v>6</v>
      </c>
      <c r="H50">
        <v>1</v>
      </c>
      <c r="I50" s="1" t="s">
        <v>46</v>
      </c>
      <c r="J50" s="1" t="s">
        <v>5</v>
      </c>
      <c r="K50" s="1" t="s">
        <v>6</v>
      </c>
      <c r="L50">
        <v>1</v>
      </c>
      <c r="M50" s="1" t="s">
        <v>227</v>
      </c>
      <c r="N50" s="1" t="s">
        <v>13</v>
      </c>
      <c r="O50" s="1" t="s">
        <v>6</v>
      </c>
      <c r="P50">
        <v>2</v>
      </c>
    </row>
    <row r="51" spans="1:16" x14ac:dyDescent="0.2">
      <c r="A51" s="1" t="s">
        <v>79</v>
      </c>
      <c r="B51" s="1" t="s">
        <v>5</v>
      </c>
      <c r="C51" s="1" t="s">
        <v>6</v>
      </c>
      <c r="D51">
        <v>1</v>
      </c>
      <c r="E51" s="1" t="s">
        <v>190</v>
      </c>
      <c r="F51" s="1" t="s">
        <v>5</v>
      </c>
      <c r="G51" s="1" t="s">
        <v>6</v>
      </c>
      <c r="H51">
        <v>1</v>
      </c>
      <c r="I51" s="1" t="s">
        <v>47</v>
      </c>
      <c r="J51" s="1" t="s">
        <v>13</v>
      </c>
      <c r="K51" s="1" t="s">
        <v>6</v>
      </c>
      <c r="L51">
        <v>2</v>
      </c>
      <c r="M51" s="1" t="s">
        <v>49</v>
      </c>
      <c r="N51" s="1" t="s">
        <v>13</v>
      </c>
      <c r="O51" s="1" t="s">
        <v>6</v>
      </c>
      <c r="P51">
        <v>3</v>
      </c>
    </row>
    <row r="52" spans="1:16" x14ac:dyDescent="0.2">
      <c r="A52" s="1" t="s">
        <v>86</v>
      </c>
      <c r="B52" s="1" t="s">
        <v>13</v>
      </c>
      <c r="C52" s="1" t="s">
        <v>6</v>
      </c>
      <c r="D52">
        <v>1</v>
      </c>
      <c r="E52" s="1" t="s">
        <v>190</v>
      </c>
      <c r="F52" s="1" t="s">
        <v>28</v>
      </c>
      <c r="G52" s="1" t="s">
        <v>6</v>
      </c>
      <c r="H52">
        <v>1</v>
      </c>
      <c r="I52" s="1" t="s">
        <v>48</v>
      </c>
      <c r="J52" s="1" t="s">
        <v>5</v>
      </c>
      <c r="K52" s="1" t="s">
        <v>6</v>
      </c>
      <c r="L52">
        <v>1</v>
      </c>
      <c r="M52" s="1" t="s">
        <v>49</v>
      </c>
      <c r="N52" s="1" t="s">
        <v>5</v>
      </c>
      <c r="O52" s="1" t="s">
        <v>6</v>
      </c>
      <c r="P52">
        <v>1</v>
      </c>
    </row>
    <row r="53" spans="1:16" x14ac:dyDescent="0.2">
      <c r="A53" s="1" t="s">
        <v>147</v>
      </c>
      <c r="B53" s="1" t="s">
        <v>42</v>
      </c>
      <c r="C53" s="1" t="s">
        <v>6</v>
      </c>
      <c r="D53">
        <v>6</v>
      </c>
      <c r="E53" s="1" t="s">
        <v>47</v>
      </c>
      <c r="F53" s="1" t="s">
        <v>13</v>
      </c>
      <c r="G53" s="1" t="s">
        <v>6</v>
      </c>
      <c r="H53">
        <v>2</v>
      </c>
      <c r="I53" s="1" t="s">
        <v>48</v>
      </c>
      <c r="J53" s="1" t="s">
        <v>28</v>
      </c>
      <c r="K53" s="1" t="s">
        <v>6</v>
      </c>
      <c r="L53">
        <v>1</v>
      </c>
      <c r="M53" s="1" t="s">
        <v>191</v>
      </c>
      <c r="N53" s="1" t="s">
        <v>13</v>
      </c>
      <c r="O53" s="1" t="s">
        <v>6</v>
      </c>
      <c r="P53">
        <v>4</v>
      </c>
    </row>
    <row r="54" spans="1:16" x14ac:dyDescent="0.2">
      <c r="A54" s="1" t="s">
        <v>147</v>
      </c>
      <c r="B54" s="1" t="s">
        <v>30</v>
      </c>
      <c r="C54" s="1" t="s">
        <v>6</v>
      </c>
      <c r="D54">
        <v>3</v>
      </c>
      <c r="E54" s="1" t="s">
        <v>48</v>
      </c>
      <c r="F54" s="1" t="s">
        <v>5</v>
      </c>
      <c r="G54" s="1" t="s">
        <v>6</v>
      </c>
      <c r="H54">
        <v>1</v>
      </c>
      <c r="I54" s="1" t="s">
        <v>227</v>
      </c>
      <c r="J54" s="1" t="s">
        <v>13</v>
      </c>
      <c r="K54" s="1" t="s">
        <v>6</v>
      </c>
      <c r="L54">
        <v>2</v>
      </c>
      <c r="M54" s="1" t="s">
        <v>191</v>
      </c>
      <c r="N54" s="1" t="s">
        <v>5</v>
      </c>
      <c r="O54" s="1" t="s">
        <v>6</v>
      </c>
      <c r="P54">
        <v>1</v>
      </c>
    </row>
    <row r="55" spans="1:16" x14ac:dyDescent="0.2">
      <c r="A55" s="1" t="s">
        <v>113</v>
      </c>
      <c r="B55" s="1" t="s">
        <v>28</v>
      </c>
      <c r="C55" s="1" t="s">
        <v>6</v>
      </c>
      <c r="D55">
        <v>1</v>
      </c>
      <c r="E55" s="1" t="s">
        <v>49</v>
      </c>
      <c r="F55" s="1" t="s">
        <v>13</v>
      </c>
      <c r="G55" s="1" t="s">
        <v>6</v>
      </c>
      <c r="H55">
        <v>4</v>
      </c>
      <c r="I55" s="1" t="s">
        <v>49</v>
      </c>
      <c r="J55" s="1" t="s">
        <v>13</v>
      </c>
      <c r="K55" s="1" t="s">
        <v>6</v>
      </c>
      <c r="L55">
        <v>4</v>
      </c>
      <c r="M55" s="1" t="s">
        <v>248</v>
      </c>
      <c r="N55" s="1" t="s">
        <v>13</v>
      </c>
      <c r="O55" s="1" t="s">
        <v>6</v>
      </c>
      <c r="P55">
        <v>4</v>
      </c>
    </row>
    <row r="56" spans="1:16" x14ac:dyDescent="0.2">
      <c r="A56" s="1" t="s">
        <v>113</v>
      </c>
      <c r="B56" s="1" t="s">
        <v>5</v>
      </c>
      <c r="C56" s="1" t="s">
        <v>6</v>
      </c>
      <c r="D56">
        <v>1</v>
      </c>
      <c r="E56" s="1" t="s">
        <v>49</v>
      </c>
      <c r="F56" s="1" t="s">
        <v>5</v>
      </c>
      <c r="G56" s="1" t="s">
        <v>6</v>
      </c>
      <c r="H56">
        <v>3</v>
      </c>
      <c r="I56" s="1" t="s">
        <v>49</v>
      </c>
      <c r="J56" s="1" t="s">
        <v>5</v>
      </c>
      <c r="K56" s="1" t="s">
        <v>6</v>
      </c>
      <c r="L56">
        <v>3</v>
      </c>
      <c r="M56" s="1" t="s">
        <v>50</v>
      </c>
      <c r="N56" s="1" t="s">
        <v>13</v>
      </c>
      <c r="O56" s="1" t="s">
        <v>6</v>
      </c>
      <c r="P56">
        <v>2</v>
      </c>
    </row>
    <row r="57" spans="1:16" x14ac:dyDescent="0.2">
      <c r="A57" s="1" t="s">
        <v>64</v>
      </c>
      <c r="B57" s="1" t="s">
        <v>52</v>
      </c>
      <c r="C57" s="1" t="s">
        <v>6</v>
      </c>
      <c r="D57">
        <v>1</v>
      </c>
      <c r="E57" s="1" t="s">
        <v>191</v>
      </c>
      <c r="F57" s="1" t="s">
        <v>13</v>
      </c>
      <c r="G57" s="1" t="s">
        <v>6</v>
      </c>
      <c r="H57">
        <v>4</v>
      </c>
      <c r="I57" s="1" t="s">
        <v>191</v>
      </c>
      <c r="J57" s="1" t="s">
        <v>13</v>
      </c>
      <c r="K57" s="1" t="s">
        <v>6</v>
      </c>
      <c r="L57">
        <v>4</v>
      </c>
      <c r="M57" s="1" t="s">
        <v>51</v>
      </c>
      <c r="N57" s="1" t="s">
        <v>5</v>
      </c>
      <c r="O57" s="1" t="s">
        <v>6</v>
      </c>
      <c r="P57">
        <v>1</v>
      </c>
    </row>
    <row r="58" spans="1:16" x14ac:dyDescent="0.2">
      <c r="A58" s="1" t="s">
        <v>152</v>
      </c>
      <c r="B58" s="1" t="s">
        <v>5</v>
      </c>
      <c r="C58" s="1" t="s">
        <v>6</v>
      </c>
      <c r="D58">
        <v>1</v>
      </c>
      <c r="E58" s="1" t="s">
        <v>191</v>
      </c>
      <c r="F58" s="1" t="s">
        <v>5</v>
      </c>
      <c r="G58" s="1" t="s">
        <v>6</v>
      </c>
      <c r="H58">
        <v>2</v>
      </c>
      <c r="I58" s="1" t="s">
        <v>191</v>
      </c>
      <c r="J58" s="1" t="s">
        <v>5</v>
      </c>
      <c r="K58" s="1" t="s">
        <v>6</v>
      </c>
      <c r="L58">
        <v>1</v>
      </c>
      <c r="M58" s="1" t="s">
        <v>52</v>
      </c>
      <c r="N58" s="1" t="s">
        <v>13</v>
      </c>
      <c r="O58" s="1" t="s">
        <v>6</v>
      </c>
      <c r="P58">
        <v>2</v>
      </c>
    </row>
    <row r="59" spans="1:16" x14ac:dyDescent="0.2">
      <c r="A59" s="1" t="s">
        <v>114</v>
      </c>
      <c r="B59" s="1" t="s">
        <v>13</v>
      </c>
      <c r="C59" s="1" t="s">
        <v>6</v>
      </c>
      <c r="D59">
        <v>4</v>
      </c>
      <c r="E59" s="1" t="s">
        <v>192</v>
      </c>
      <c r="F59" s="1" t="s">
        <v>5</v>
      </c>
      <c r="G59" s="1" t="s">
        <v>6</v>
      </c>
      <c r="H59">
        <v>1</v>
      </c>
      <c r="I59" s="1" t="s">
        <v>50</v>
      </c>
      <c r="J59" s="1" t="s">
        <v>13</v>
      </c>
      <c r="K59" s="1" t="s">
        <v>6</v>
      </c>
      <c r="L59">
        <v>2</v>
      </c>
      <c r="M59" s="1" t="s">
        <v>52</v>
      </c>
      <c r="N59" s="1" t="s">
        <v>5</v>
      </c>
      <c r="O59" s="1" t="s">
        <v>6</v>
      </c>
      <c r="P59">
        <v>1</v>
      </c>
    </row>
    <row r="60" spans="1:16" x14ac:dyDescent="0.2">
      <c r="A60" s="1" t="s">
        <v>114</v>
      </c>
      <c r="B60" s="1" t="s">
        <v>5</v>
      </c>
      <c r="C60" s="1" t="s">
        <v>6</v>
      </c>
      <c r="D60">
        <v>2</v>
      </c>
      <c r="E60" s="1" t="s">
        <v>50</v>
      </c>
      <c r="F60" s="1" t="s">
        <v>13</v>
      </c>
      <c r="G60" s="1" t="s">
        <v>6</v>
      </c>
      <c r="H60">
        <v>2</v>
      </c>
      <c r="I60" s="1" t="s">
        <v>193</v>
      </c>
      <c r="J60" s="1" t="s">
        <v>5</v>
      </c>
      <c r="K60" s="1" t="s">
        <v>6</v>
      </c>
      <c r="L60">
        <v>3</v>
      </c>
      <c r="M60" s="1" t="s">
        <v>53</v>
      </c>
      <c r="N60" s="1" t="s">
        <v>28</v>
      </c>
      <c r="O60" s="1" t="s">
        <v>6</v>
      </c>
      <c r="P60">
        <v>3</v>
      </c>
    </row>
    <row r="61" spans="1:16" x14ac:dyDescent="0.2">
      <c r="A61" s="1" t="s">
        <v>164</v>
      </c>
      <c r="B61" s="1" t="s">
        <v>5</v>
      </c>
      <c r="C61" s="1" t="s">
        <v>6</v>
      </c>
      <c r="D61">
        <v>2</v>
      </c>
      <c r="E61" s="1" t="s">
        <v>193</v>
      </c>
      <c r="F61" s="1" t="s">
        <v>5</v>
      </c>
      <c r="G61" s="1" t="s">
        <v>6</v>
      </c>
      <c r="H61">
        <v>3</v>
      </c>
      <c r="I61" s="1" t="s">
        <v>194</v>
      </c>
      <c r="J61" s="1" t="s">
        <v>5</v>
      </c>
      <c r="K61" s="1" t="s">
        <v>6</v>
      </c>
      <c r="L61">
        <v>1</v>
      </c>
      <c r="M61" s="1" t="s">
        <v>54</v>
      </c>
      <c r="N61" s="1" t="s">
        <v>13</v>
      </c>
      <c r="O61" s="1" t="s">
        <v>6</v>
      </c>
      <c r="P61">
        <v>1</v>
      </c>
    </row>
    <row r="62" spans="1:16" x14ac:dyDescent="0.2">
      <c r="A62" s="1" t="s">
        <v>88</v>
      </c>
      <c r="B62" s="1" t="s">
        <v>28</v>
      </c>
      <c r="C62" s="1" t="s">
        <v>6</v>
      </c>
      <c r="D62">
        <v>2</v>
      </c>
      <c r="E62" s="1" t="s">
        <v>194</v>
      </c>
      <c r="F62" s="1" t="s">
        <v>5</v>
      </c>
      <c r="G62" s="1" t="s">
        <v>6</v>
      </c>
      <c r="H62">
        <v>3</v>
      </c>
      <c r="I62" s="1" t="s">
        <v>52</v>
      </c>
      <c r="J62" s="1" t="s">
        <v>13</v>
      </c>
      <c r="K62" s="1" t="s">
        <v>6</v>
      </c>
      <c r="L62">
        <v>2</v>
      </c>
      <c r="M62" s="1" t="s">
        <v>228</v>
      </c>
      <c r="N62" s="1" t="s">
        <v>5</v>
      </c>
      <c r="O62" s="1" t="s">
        <v>6</v>
      </c>
      <c r="P62">
        <v>1</v>
      </c>
    </row>
    <row r="63" spans="1:16" x14ac:dyDescent="0.2">
      <c r="A63" s="1" t="s">
        <v>33</v>
      </c>
      <c r="B63" s="1" t="s">
        <v>5</v>
      </c>
      <c r="C63" s="1" t="s">
        <v>6</v>
      </c>
      <c r="D63">
        <v>2</v>
      </c>
      <c r="E63" s="1" t="s">
        <v>51</v>
      </c>
      <c r="F63" s="1" t="s">
        <v>5</v>
      </c>
      <c r="G63" s="1" t="s">
        <v>6</v>
      </c>
      <c r="H63">
        <v>1</v>
      </c>
      <c r="I63" s="1" t="s">
        <v>52</v>
      </c>
      <c r="J63" s="1" t="s">
        <v>5</v>
      </c>
      <c r="K63" s="1" t="s">
        <v>6</v>
      </c>
      <c r="L63">
        <v>1</v>
      </c>
      <c r="M63" s="1" t="s">
        <v>56</v>
      </c>
      <c r="N63" s="1" t="s">
        <v>13</v>
      </c>
      <c r="O63" s="1" t="s">
        <v>6</v>
      </c>
      <c r="P63">
        <v>2</v>
      </c>
    </row>
    <row r="64" spans="1:16" x14ac:dyDescent="0.2">
      <c r="A64" s="1" t="s">
        <v>85</v>
      </c>
      <c r="B64" s="1" t="s">
        <v>5</v>
      </c>
      <c r="C64" s="1" t="s">
        <v>6</v>
      </c>
      <c r="D64">
        <v>1</v>
      </c>
      <c r="E64" s="1" t="s">
        <v>52</v>
      </c>
      <c r="F64" s="1" t="s">
        <v>13</v>
      </c>
      <c r="G64" s="1" t="s">
        <v>6</v>
      </c>
      <c r="H64">
        <v>2</v>
      </c>
      <c r="I64" s="1" t="s">
        <v>53</v>
      </c>
      <c r="J64" s="1" t="s">
        <v>28</v>
      </c>
      <c r="K64" s="1" t="s">
        <v>6</v>
      </c>
      <c r="L64">
        <v>3</v>
      </c>
      <c r="M64" s="1" t="s">
        <v>196</v>
      </c>
      <c r="N64" s="1" t="s">
        <v>5</v>
      </c>
      <c r="O64" s="1" t="s">
        <v>6</v>
      </c>
      <c r="P64">
        <v>1</v>
      </c>
    </row>
    <row r="65" spans="1:16" x14ac:dyDescent="0.2">
      <c r="A65" s="1" t="s">
        <v>143</v>
      </c>
      <c r="B65" s="1" t="s">
        <v>5</v>
      </c>
      <c r="C65" s="1" t="s">
        <v>6</v>
      </c>
      <c r="D65">
        <v>2</v>
      </c>
      <c r="E65" s="1" t="s">
        <v>52</v>
      </c>
      <c r="F65" s="1" t="s">
        <v>5</v>
      </c>
      <c r="G65" s="1" t="s">
        <v>6</v>
      </c>
      <c r="H65">
        <v>1</v>
      </c>
      <c r="I65" s="1" t="s">
        <v>54</v>
      </c>
      <c r="J65" s="1" t="s">
        <v>13</v>
      </c>
      <c r="K65" s="1" t="s">
        <v>6</v>
      </c>
      <c r="L65">
        <v>1</v>
      </c>
      <c r="M65" s="1" t="s">
        <v>57</v>
      </c>
      <c r="N65" s="1" t="s">
        <v>5</v>
      </c>
      <c r="O65" s="1" t="s">
        <v>6</v>
      </c>
      <c r="P65">
        <v>1</v>
      </c>
    </row>
    <row r="66" spans="1:16" x14ac:dyDescent="0.2">
      <c r="A66" s="1" t="s">
        <v>150</v>
      </c>
      <c r="B66" s="1" t="s">
        <v>5</v>
      </c>
      <c r="C66" s="1" t="s">
        <v>6</v>
      </c>
      <c r="D66">
        <v>1</v>
      </c>
      <c r="E66" s="1" t="s">
        <v>53</v>
      </c>
      <c r="F66" s="1" t="s">
        <v>28</v>
      </c>
      <c r="G66" s="1" t="s">
        <v>6</v>
      </c>
      <c r="H66">
        <v>3</v>
      </c>
      <c r="I66" s="1" t="s">
        <v>195</v>
      </c>
      <c r="J66" s="1" t="s">
        <v>13</v>
      </c>
      <c r="K66" s="1" t="s">
        <v>6</v>
      </c>
      <c r="L66">
        <v>1</v>
      </c>
      <c r="M66" s="1" t="s">
        <v>58</v>
      </c>
      <c r="N66" s="1" t="s">
        <v>5</v>
      </c>
      <c r="O66" s="1" t="s">
        <v>6</v>
      </c>
      <c r="P66">
        <v>1</v>
      </c>
    </row>
    <row r="67" spans="1:16" x14ac:dyDescent="0.2">
      <c r="A67" s="1" t="s">
        <v>92</v>
      </c>
      <c r="B67" s="1" t="s">
        <v>13</v>
      </c>
      <c r="C67" s="1" t="s">
        <v>6</v>
      </c>
      <c r="D67">
        <v>2</v>
      </c>
      <c r="E67" s="1" t="s">
        <v>54</v>
      </c>
      <c r="F67" s="1" t="s">
        <v>13</v>
      </c>
      <c r="G67" s="1" t="s">
        <v>6</v>
      </c>
      <c r="H67">
        <v>1</v>
      </c>
      <c r="I67" s="1" t="s">
        <v>228</v>
      </c>
      <c r="J67" s="1" t="s">
        <v>5</v>
      </c>
      <c r="K67" s="1" t="s">
        <v>6</v>
      </c>
      <c r="L67">
        <v>1</v>
      </c>
      <c r="M67" s="1" t="s">
        <v>59</v>
      </c>
      <c r="N67" s="1" t="s">
        <v>28</v>
      </c>
      <c r="O67" s="1" t="s">
        <v>6</v>
      </c>
      <c r="P67">
        <v>2</v>
      </c>
    </row>
    <row r="68" spans="1:16" x14ac:dyDescent="0.2">
      <c r="A68" s="1" t="s">
        <v>92</v>
      </c>
      <c r="B68" s="1" t="s">
        <v>5</v>
      </c>
      <c r="C68" s="1" t="s">
        <v>6</v>
      </c>
      <c r="D68">
        <v>1</v>
      </c>
      <c r="E68" s="1" t="s">
        <v>195</v>
      </c>
      <c r="F68" s="1" t="s">
        <v>13</v>
      </c>
      <c r="G68" s="1" t="s">
        <v>6</v>
      </c>
      <c r="H68">
        <v>1</v>
      </c>
      <c r="I68" s="1" t="s">
        <v>229</v>
      </c>
      <c r="J68" s="1" t="s">
        <v>5</v>
      </c>
      <c r="K68" s="1" t="s">
        <v>6</v>
      </c>
      <c r="L68">
        <v>1</v>
      </c>
      <c r="M68" s="1" t="s">
        <v>28</v>
      </c>
      <c r="N68" s="1" t="s">
        <v>5</v>
      </c>
      <c r="O68" s="1" t="s">
        <v>6</v>
      </c>
      <c r="P68">
        <v>1</v>
      </c>
    </row>
    <row r="69" spans="1:16" x14ac:dyDescent="0.2">
      <c r="A69" s="1" t="s">
        <v>21</v>
      </c>
      <c r="B69" s="1" t="s">
        <v>5</v>
      </c>
      <c r="C69" s="1" t="s">
        <v>6</v>
      </c>
      <c r="D69">
        <v>1</v>
      </c>
      <c r="E69" s="1" t="s">
        <v>196</v>
      </c>
      <c r="F69" s="1" t="s">
        <v>5</v>
      </c>
      <c r="G69" s="1" t="s">
        <v>6</v>
      </c>
      <c r="H69">
        <v>1</v>
      </c>
      <c r="I69" s="1" t="s">
        <v>55</v>
      </c>
      <c r="J69" s="1" t="s">
        <v>5</v>
      </c>
      <c r="K69" s="1" t="s">
        <v>6</v>
      </c>
      <c r="L69">
        <v>1</v>
      </c>
      <c r="M69" s="1" t="s">
        <v>60</v>
      </c>
      <c r="N69" s="1" t="s">
        <v>13</v>
      </c>
      <c r="O69" s="1" t="s">
        <v>6</v>
      </c>
      <c r="P69">
        <v>1</v>
      </c>
    </row>
    <row r="70" spans="1:16" x14ac:dyDescent="0.2">
      <c r="A70" s="1" t="s">
        <v>19</v>
      </c>
      <c r="B70" s="1" t="s">
        <v>5</v>
      </c>
      <c r="C70" s="1" t="s">
        <v>6</v>
      </c>
      <c r="D70">
        <v>1</v>
      </c>
      <c r="E70" s="1" t="s">
        <v>57</v>
      </c>
      <c r="F70" s="1" t="s">
        <v>5</v>
      </c>
      <c r="G70" s="1" t="s">
        <v>6</v>
      </c>
      <c r="H70">
        <v>1</v>
      </c>
      <c r="I70" s="1" t="s">
        <v>56</v>
      </c>
      <c r="J70" s="1" t="s">
        <v>13</v>
      </c>
      <c r="K70" s="1" t="s">
        <v>6</v>
      </c>
      <c r="L70">
        <v>2</v>
      </c>
      <c r="M70" s="1" t="s">
        <v>61</v>
      </c>
      <c r="N70" s="1" t="s">
        <v>5</v>
      </c>
      <c r="O70" s="1" t="s">
        <v>6</v>
      </c>
      <c r="P70">
        <v>2</v>
      </c>
    </row>
    <row r="71" spans="1:16" x14ac:dyDescent="0.2">
      <c r="A71" s="1" t="s">
        <v>26</v>
      </c>
      <c r="B71" s="1" t="s">
        <v>13</v>
      </c>
      <c r="C71" s="1" t="s">
        <v>6</v>
      </c>
      <c r="D71">
        <v>4</v>
      </c>
      <c r="E71" s="1" t="s">
        <v>58</v>
      </c>
      <c r="F71" s="1" t="s">
        <v>13</v>
      </c>
      <c r="G71" s="1" t="s">
        <v>6</v>
      </c>
      <c r="H71">
        <v>2</v>
      </c>
      <c r="I71" s="1" t="s">
        <v>196</v>
      </c>
      <c r="J71" s="1" t="s">
        <v>5</v>
      </c>
      <c r="K71" s="1" t="s">
        <v>6</v>
      </c>
      <c r="L71">
        <v>1</v>
      </c>
      <c r="M71" s="1" t="s">
        <v>62</v>
      </c>
      <c r="N71" s="1" t="s">
        <v>5</v>
      </c>
      <c r="O71" s="1" t="s">
        <v>6</v>
      </c>
      <c r="P71">
        <v>1</v>
      </c>
    </row>
    <row r="72" spans="1:16" x14ac:dyDescent="0.2">
      <c r="A72" s="1" t="s">
        <v>26</v>
      </c>
      <c r="B72" s="1" t="s">
        <v>5</v>
      </c>
      <c r="C72" s="1" t="s">
        <v>6</v>
      </c>
      <c r="D72">
        <v>3</v>
      </c>
      <c r="E72" s="1" t="s">
        <v>58</v>
      </c>
      <c r="F72" s="1" t="s">
        <v>5</v>
      </c>
      <c r="G72" s="1" t="s">
        <v>6</v>
      </c>
      <c r="H72">
        <v>1</v>
      </c>
      <c r="I72" s="1" t="s">
        <v>57</v>
      </c>
      <c r="J72" s="1" t="s">
        <v>5</v>
      </c>
      <c r="K72" s="1" t="s">
        <v>6</v>
      </c>
      <c r="L72">
        <v>1</v>
      </c>
      <c r="M72" s="1" t="s">
        <v>66</v>
      </c>
      <c r="N72" s="1" t="s">
        <v>5</v>
      </c>
      <c r="O72" s="1" t="s">
        <v>6</v>
      </c>
      <c r="P72">
        <v>1</v>
      </c>
    </row>
    <row r="73" spans="1:16" x14ac:dyDescent="0.2">
      <c r="A73" s="1" t="s">
        <v>77</v>
      </c>
      <c r="B73" s="1" t="s">
        <v>5</v>
      </c>
      <c r="C73" s="1" t="s">
        <v>6</v>
      </c>
      <c r="D73">
        <v>1</v>
      </c>
      <c r="E73" s="1" t="s">
        <v>59</v>
      </c>
      <c r="F73" s="1" t="s">
        <v>28</v>
      </c>
      <c r="G73" s="1" t="s">
        <v>6</v>
      </c>
      <c r="H73">
        <v>2</v>
      </c>
      <c r="I73" s="1" t="s">
        <v>59</v>
      </c>
      <c r="J73" s="1" t="s">
        <v>28</v>
      </c>
      <c r="K73" s="1" t="s">
        <v>6</v>
      </c>
      <c r="L73">
        <v>2</v>
      </c>
      <c r="M73" s="1" t="s">
        <v>67</v>
      </c>
      <c r="N73" s="1" t="s">
        <v>5</v>
      </c>
      <c r="O73" s="1" t="s">
        <v>6</v>
      </c>
      <c r="P73">
        <v>3</v>
      </c>
    </row>
    <row r="74" spans="1:16" x14ac:dyDescent="0.2">
      <c r="A74" s="1" t="s">
        <v>151</v>
      </c>
      <c r="B74" s="1" t="s">
        <v>13</v>
      </c>
      <c r="C74" s="1" t="s">
        <v>6</v>
      </c>
      <c r="D74">
        <v>1</v>
      </c>
      <c r="E74" s="1" t="s">
        <v>28</v>
      </c>
      <c r="F74" s="1" t="s">
        <v>5</v>
      </c>
      <c r="G74" s="1" t="s">
        <v>6</v>
      </c>
      <c r="H74">
        <v>1</v>
      </c>
      <c r="I74" s="1" t="s">
        <v>28</v>
      </c>
      <c r="J74" s="1" t="s">
        <v>5</v>
      </c>
      <c r="K74" s="1" t="s">
        <v>6</v>
      </c>
      <c r="L74">
        <v>1</v>
      </c>
      <c r="M74" s="1" t="s">
        <v>67</v>
      </c>
      <c r="N74" s="1" t="s">
        <v>28</v>
      </c>
      <c r="O74" s="1" t="s">
        <v>6</v>
      </c>
      <c r="P74">
        <v>3</v>
      </c>
    </row>
    <row r="75" spans="1:16" x14ac:dyDescent="0.2">
      <c r="A75" s="1" t="s">
        <v>38</v>
      </c>
      <c r="B75" s="1" t="s">
        <v>5</v>
      </c>
      <c r="C75" s="1" t="s">
        <v>6</v>
      </c>
      <c r="D75">
        <v>1</v>
      </c>
      <c r="E75" s="1" t="s">
        <v>60</v>
      </c>
      <c r="F75" s="1" t="s">
        <v>13</v>
      </c>
      <c r="G75" s="1" t="s">
        <v>6</v>
      </c>
      <c r="H75">
        <v>1</v>
      </c>
      <c r="I75" s="1" t="s">
        <v>60</v>
      </c>
      <c r="J75" s="1" t="s">
        <v>13</v>
      </c>
      <c r="K75" s="1" t="s">
        <v>6</v>
      </c>
      <c r="L75">
        <v>1</v>
      </c>
      <c r="M75" s="1" t="s">
        <v>68</v>
      </c>
      <c r="N75" s="1" t="s">
        <v>5</v>
      </c>
      <c r="O75" s="1" t="s">
        <v>6</v>
      </c>
      <c r="P75">
        <v>1</v>
      </c>
    </row>
    <row r="76" spans="1:16" x14ac:dyDescent="0.2">
      <c r="A76" s="1" t="s">
        <v>158</v>
      </c>
      <c r="B76" s="1" t="s">
        <v>13</v>
      </c>
      <c r="C76" s="1" t="s">
        <v>6</v>
      </c>
      <c r="D76">
        <v>2</v>
      </c>
      <c r="E76" s="1" t="s">
        <v>61</v>
      </c>
      <c r="F76" s="1" t="s">
        <v>5</v>
      </c>
      <c r="G76" s="1" t="s">
        <v>6</v>
      </c>
      <c r="H76">
        <v>2</v>
      </c>
      <c r="I76" s="1" t="s">
        <v>61</v>
      </c>
      <c r="J76" s="1" t="s">
        <v>5</v>
      </c>
      <c r="K76" s="1" t="s">
        <v>6</v>
      </c>
      <c r="L76">
        <v>2</v>
      </c>
      <c r="M76" s="1" t="s">
        <v>68</v>
      </c>
      <c r="N76" s="1" t="s">
        <v>30</v>
      </c>
      <c r="O76" s="1" t="s">
        <v>6</v>
      </c>
      <c r="P76">
        <v>1</v>
      </c>
    </row>
    <row r="77" spans="1:16" x14ac:dyDescent="0.2">
      <c r="A77" s="1" t="s">
        <v>58</v>
      </c>
      <c r="B77" s="1" t="s">
        <v>13</v>
      </c>
      <c r="C77" s="1" t="s">
        <v>6</v>
      </c>
      <c r="D77">
        <v>2</v>
      </c>
      <c r="E77" s="1" t="s">
        <v>62</v>
      </c>
      <c r="F77" s="1" t="s">
        <v>5</v>
      </c>
      <c r="G77" s="1" t="s">
        <v>6</v>
      </c>
      <c r="H77">
        <v>1</v>
      </c>
      <c r="I77" s="1" t="s">
        <v>61</v>
      </c>
      <c r="J77" s="1" t="s">
        <v>30</v>
      </c>
      <c r="K77" s="1" t="s">
        <v>6</v>
      </c>
      <c r="L77">
        <v>1</v>
      </c>
      <c r="M77" s="1" t="s">
        <v>69</v>
      </c>
      <c r="N77" s="1" t="s">
        <v>5</v>
      </c>
      <c r="O77" s="1" t="s">
        <v>6</v>
      </c>
      <c r="P77">
        <v>1</v>
      </c>
    </row>
    <row r="78" spans="1:16" x14ac:dyDescent="0.2">
      <c r="A78" s="1" t="s">
        <v>58</v>
      </c>
      <c r="B78" s="1" t="s">
        <v>5</v>
      </c>
      <c r="C78" s="1" t="s">
        <v>6</v>
      </c>
      <c r="D78">
        <v>1</v>
      </c>
      <c r="E78" s="1" t="s">
        <v>63</v>
      </c>
      <c r="F78" s="1" t="s">
        <v>5</v>
      </c>
      <c r="G78" s="1" t="s">
        <v>6</v>
      </c>
      <c r="H78">
        <v>2</v>
      </c>
      <c r="I78" s="1" t="s">
        <v>62</v>
      </c>
      <c r="J78" s="1" t="s">
        <v>5</v>
      </c>
      <c r="K78" s="1" t="s">
        <v>6</v>
      </c>
      <c r="L78">
        <v>1</v>
      </c>
      <c r="M78" s="1" t="s">
        <v>70</v>
      </c>
      <c r="N78" s="1" t="s">
        <v>13</v>
      </c>
      <c r="O78" s="1" t="s">
        <v>6</v>
      </c>
      <c r="P78">
        <v>5</v>
      </c>
    </row>
    <row r="79" spans="1:16" x14ac:dyDescent="0.2">
      <c r="A79" s="1" t="s">
        <v>10</v>
      </c>
      <c r="B79" s="1" t="s">
        <v>5</v>
      </c>
      <c r="C79" s="1" t="s">
        <v>6</v>
      </c>
      <c r="D79">
        <v>3</v>
      </c>
      <c r="E79" s="1" t="s">
        <v>64</v>
      </c>
      <c r="F79" s="1" t="s">
        <v>52</v>
      </c>
      <c r="G79" s="1" t="s">
        <v>6</v>
      </c>
      <c r="H79">
        <v>1</v>
      </c>
      <c r="I79" s="1" t="s">
        <v>64</v>
      </c>
      <c r="J79" s="1" t="s">
        <v>52</v>
      </c>
      <c r="K79" s="1" t="s">
        <v>6</v>
      </c>
      <c r="L79">
        <v>1</v>
      </c>
      <c r="M79" s="1" t="s">
        <v>70</v>
      </c>
      <c r="N79" s="1" t="s">
        <v>5</v>
      </c>
      <c r="O79" s="1" t="s">
        <v>6</v>
      </c>
      <c r="P79">
        <v>4</v>
      </c>
    </row>
    <row r="80" spans="1:16" x14ac:dyDescent="0.2">
      <c r="A80" s="1" t="s">
        <v>128</v>
      </c>
      <c r="B80" s="1" t="s">
        <v>40</v>
      </c>
      <c r="C80" s="1" t="s">
        <v>6</v>
      </c>
      <c r="D80">
        <v>4</v>
      </c>
      <c r="E80" s="1" t="s">
        <v>64</v>
      </c>
      <c r="F80" s="1" t="s">
        <v>5</v>
      </c>
      <c r="G80" s="1" t="s">
        <v>6</v>
      </c>
      <c r="H80">
        <v>1</v>
      </c>
      <c r="I80" s="1" t="s">
        <v>66</v>
      </c>
      <c r="J80" s="1" t="s">
        <v>5</v>
      </c>
      <c r="K80" s="1" t="s">
        <v>6</v>
      </c>
      <c r="L80">
        <v>1</v>
      </c>
      <c r="M80" s="1" t="s">
        <v>197</v>
      </c>
      <c r="N80" s="1" t="s">
        <v>5</v>
      </c>
      <c r="O80" s="1" t="s">
        <v>6</v>
      </c>
      <c r="P80">
        <v>3</v>
      </c>
    </row>
    <row r="81" spans="1:16" x14ac:dyDescent="0.2">
      <c r="A81" s="1" t="s">
        <v>128</v>
      </c>
      <c r="B81" s="1" t="s">
        <v>41</v>
      </c>
      <c r="C81" s="1" t="s">
        <v>6</v>
      </c>
      <c r="D81">
        <v>4</v>
      </c>
      <c r="E81" s="1" t="s">
        <v>66</v>
      </c>
      <c r="F81" s="1" t="s">
        <v>5</v>
      </c>
      <c r="G81" s="1" t="s">
        <v>6</v>
      </c>
      <c r="H81">
        <v>1</v>
      </c>
      <c r="I81" s="1" t="s">
        <v>68</v>
      </c>
      <c r="J81" s="1" t="s">
        <v>5</v>
      </c>
      <c r="K81" s="1" t="s">
        <v>6</v>
      </c>
      <c r="L81">
        <v>2</v>
      </c>
      <c r="M81" s="1" t="s">
        <v>72</v>
      </c>
      <c r="N81" s="1" t="s">
        <v>5</v>
      </c>
      <c r="O81" s="1" t="s">
        <v>6</v>
      </c>
      <c r="P81">
        <v>2</v>
      </c>
    </row>
    <row r="82" spans="1:16" x14ac:dyDescent="0.2">
      <c r="A82" s="1" t="s">
        <v>128</v>
      </c>
      <c r="B82" s="1" t="s">
        <v>30</v>
      </c>
      <c r="C82" s="1" t="s">
        <v>6</v>
      </c>
      <c r="D82">
        <v>3</v>
      </c>
      <c r="E82" s="1" t="s">
        <v>67</v>
      </c>
      <c r="F82" s="1" t="s">
        <v>5</v>
      </c>
      <c r="G82" s="1" t="s">
        <v>6</v>
      </c>
      <c r="H82">
        <v>2</v>
      </c>
      <c r="I82" s="1" t="s">
        <v>69</v>
      </c>
      <c r="J82" s="1" t="s">
        <v>5</v>
      </c>
      <c r="K82" s="1" t="s">
        <v>6</v>
      </c>
      <c r="L82">
        <v>1</v>
      </c>
      <c r="M82" s="1" t="s">
        <v>72</v>
      </c>
      <c r="N82" s="1" t="s">
        <v>30</v>
      </c>
      <c r="O82" s="1" t="s">
        <v>6</v>
      </c>
      <c r="P82">
        <v>4</v>
      </c>
    </row>
    <row r="83" spans="1:16" x14ac:dyDescent="0.2">
      <c r="A83" s="1" t="s">
        <v>128</v>
      </c>
      <c r="B83" s="1" t="s">
        <v>5</v>
      </c>
      <c r="C83" s="1" t="s">
        <v>6</v>
      </c>
      <c r="D83">
        <v>1</v>
      </c>
      <c r="E83" s="1" t="s">
        <v>67</v>
      </c>
      <c r="F83" s="1" t="s">
        <v>28</v>
      </c>
      <c r="G83" s="1" t="s">
        <v>6</v>
      </c>
      <c r="H83">
        <v>2</v>
      </c>
      <c r="I83" s="1" t="s">
        <v>70</v>
      </c>
      <c r="J83" s="1" t="s">
        <v>13</v>
      </c>
      <c r="K83" s="1" t="s">
        <v>6</v>
      </c>
      <c r="L83">
        <v>5</v>
      </c>
      <c r="M83" s="1" t="s">
        <v>249</v>
      </c>
      <c r="N83" s="1" t="s">
        <v>5</v>
      </c>
      <c r="O83" s="1" t="s">
        <v>6</v>
      </c>
      <c r="P83">
        <v>1</v>
      </c>
    </row>
    <row r="84" spans="1:16" x14ac:dyDescent="0.2">
      <c r="A84" s="1" t="s">
        <v>128</v>
      </c>
      <c r="B84" s="1" t="s">
        <v>42</v>
      </c>
      <c r="C84" s="1" t="s">
        <v>6</v>
      </c>
      <c r="D84">
        <v>1</v>
      </c>
      <c r="E84" s="1" t="s">
        <v>67</v>
      </c>
      <c r="F84" s="1" t="s">
        <v>30</v>
      </c>
      <c r="G84" s="1" t="s">
        <v>6</v>
      </c>
      <c r="H84">
        <v>2</v>
      </c>
      <c r="I84" s="1" t="s">
        <v>70</v>
      </c>
      <c r="J84" s="1" t="s">
        <v>5</v>
      </c>
      <c r="K84" s="1" t="s">
        <v>6</v>
      </c>
      <c r="L84">
        <v>2</v>
      </c>
      <c r="M84" s="1" t="s">
        <v>249</v>
      </c>
      <c r="N84" s="1" t="s">
        <v>28</v>
      </c>
      <c r="O84" s="1" t="s">
        <v>6</v>
      </c>
      <c r="P84">
        <v>1</v>
      </c>
    </row>
    <row r="85" spans="1:16" x14ac:dyDescent="0.2">
      <c r="A85" s="1" t="s">
        <v>28</v>
      </c>
      <c r="B85" s="1" t="s">
        <v>5</v>
      </c>
      <c r="C85" s="1" t="s">
        <v>6</v>
      </c>
      <c r="D85">
        <v>1</v>
      </c>
      <c r="E85" s="1" t="s">
        <v>68</v>
      </c>
      <c r="F85" s="1" t="s">
        <v>5</v>
      </c>
      <c r="G85" s="1" t="s">
        <v>6</v>
      </c>
      <c r="H85">
        <v>1</v>
      </c>
      <c r="I85" s="1" t="s">
        <v>197</v>
      </c>
      <c r="J85" s="1" t="s">
        <v>5</v>
      </c>
      <c r="K85" s="1" t="s">
        <v>6</v>
      </c>
      <c r="L85">
        <v>7</v>
      </c>
      <c r="M85" s="1" t="s">
        <v>73</v>
      </c>
      <c r="N85" s="1" t="s">
        <v>5</v>
      </c>
      <c r="O85" s="1" t="s">
        <v>6</v>
      </c>
      <c r="P85">
        <v>1</v>
      </c>
    </row>
    <row r="86" spans="1:16" x14ac:dyDescent="0.2">
      <c r="A86" s="1" t="s">
        <v>75</v>
      </c>
      <c r="B86" s="1" t="s">
        <v>13</v>
      </c>
      <c r="C86" s="1" t="s">
        <v>6</v>
      </c>
      <c r="D86">
        <v>2</v>
      </c>
      <c r="E86" s="1" t="s">
        <v>69</v>
      </c>
      <c r="F86" s="1" t="s">
        <v>5</v>
      </c>
      <c r="G86" s="1" t="s">
        <v>6</v>
      </c>
      <c r="H86">
        <v>3</v>
      </c>
      <c r="I86" s="1" t="s">
        <v>197</v>
      </c>
      <c r="J86" s="1" t="s">
        <v>28</v>
      </c>
      <c r="K86" s="1" t="s">
        <v>6</v>
      </c>
      <c r="L86">
        <v>4</v>
      </c>
      <c r="M86" s="1" t="s">
        <v>74</v>
      </c>
      <c r="N86" s="1" t="s">
        <v>5</v>
      </c>
      <c r="O86" s="1" t="s">
        <v>6</v>
      </c>
      <c r="P86">
        <v>1</v>
      </c>
    </row>
    <row r="87" spans="1:16" x14ac:dyDescent="0.2">
      <c r="A87" s="1" t="s">
        <v>75</v>
      </c>
      <c r="B87" s="1" t="s">
        <v>5</v>
      </c>
      <c r="C87" s="1" t="s">
        <v>6</v>
      </c>
      <c r="D87">
        <v>1</v>
      </c>
      <c r="E87" s="1" t="s">
        <v>70</v>
      </c>
      <c r="F87" s="1" t="s">
        <v>13</v>
      </c>
      <c r="G87" s="1" t="s">
        <v>6</v>
      </c>
      <c r="H87">
        <v>5</v>
      </c>
      <c r="I87" s="1" t="s">
        <v>198</v>
      </c>
      <c r="J87" s="1" t="s">
        <v>124</v>
      </c>
      <c r="K87" s="1" t="s">
        <v>6</v>
      </c>
      <c r="L87">
        <v>4</v>
      </c>
      <c r="M87" s="1" t="s">
        <v>75</v>
      </c>
      <c r="N87" s="1" t="s">
        <v>13</v>
      </c>
      <c r="O87" s="1" t="s">
        <v>6</v>
      </c>
      <c r="P87">
        <v>2</v>
      </c>
    </row>
    <row r="88" spans="1:16" x14ac:dyDescent="0.2">
      <c r="A88" s="1" t="s">
        <v>122</v>
      </c>
      <c r="B88" s="1" t="s">
        <v>5</v>
      </c>
      <c r="C88" s="1" t="s">
        <v>6</v>
      </c>
      <c r="D88">
        <v>1</v>
      </c>
      <c r="E88" s="1" t="s">
        <v>70</v>
      </c>
      <c r="F88" s="1" t="s">
        <v>5</v>
      </c>
      <c r="G88" s="1" t="s">
        <v>6</v>
      </c>
      <c r="H88">
        <v>2</v>
      </c>
      <c r="I88" s="1" t="s">
        <v>230</v>
      </c>
      <c r="J88" s="1" t="s">
        <v>5</v>
      </c>
      <c r="K88" s="1" t="s">
        <v>6</v>
      </c>
      <c r="L88">
        <v>1</v>
      </c>
      <c r="M88" s="1" t="s">
        <v>75</v>
      </c>
      <c r="N88" s="1" t="s">
        <v>5</v>
      </c>
      <c r="O88" s="1" t="s">
        <v>6</v>
      </c>
      <c r="P88">
        <v>1</v>
      </c>
    </row>
    <row r="89" spans="1:16" x14ac:dyDescent="0.2">
      <c r="A89" s="1" t="s">
        <v>90</v>
      </c>
      <c r="B89" s="1" t="s">
        <v>28</v>
      </c>
      <c r="C89" s="1" t="s">
        <v>6</v>
      </c>
      <c r="D89">
        <v>1</v>
      </c>
      <c r="E89" s="1" t="s">
        <v>197</v>
      </c>
      <c r="F89" s="1" t="s">
        <v>5</v>
      </c>
      <c r="G89" s="1" t="s">
        <v>6</v>
      </c>
      <c r="H89">
        <v>2</v>
      </c>
      <c r="I89" s="1" t="s">
        <v>72</v>
      </c>
      <c r="J89" s="1" t="s">
        <v>5</v>
      </c>
      <c r="K89" s="1" t="s">
        <v>6</v>
      </c>
      <c r="L89">
        <v>2</v>
      </c>
      <c r="M89" s="1" t="s">
        <v>76</v>
      </c>
      <c r="N89" s="1" t="s">
        <v>5</v>
      </c>
      <c r="O89" s="1" t="s">
        <v>6</v>
      </c>
      <c r="P89">
        <v>2</v>
      </c>
    </row>
    <row r="90" spans="1:16" x14ac:dyDescent="0.2">
      <c r="A90" s="1" t="s">
        <v>55</v>
      </c>
      <c r="B90" s="1" t="s">
        <v>5</v>
      </c>
      <c r="C90" s="1" t="s">
        <v>6</v>
      </c>
      <c r="D90">
        <v>1</v>
      </c>
      <c r="E90" s="1" t="s">
        <v>198</v>
      </c>
      <c r="F90" s="1" t="s">
        <v>124</v>
      </c>
      <c r="G90" s="1" t="s">
        <v>6</v>
      </c>
      <c r="H90">
        <v>2</v>
      </c>
      <c r="I90" s="1" t="s">
        <v>72</v>
      </c>
      <c r="J90" s="1" t="s">
        <v>30</v>
      </c>
      <c r="K90" s="1" t="s">
        <v>6</v>
      </c>
      <c r="L90">
        <v>3</v>
      </c>
      <c r="M90" s="1" t="s">
        <v>76</v>
      </c>
      <c r="N90" s="1" t="s">
        <v>28</v>
      </c>
      <c r="O90" s="1" t="s">
        <v>6</v>
      </c>
      <c r="P90">
        <v>1</v>
      </c>
    </row>
    <row r="91" spans="1:16" x14ac:dyDescent="0.2">
      <c r="A91" s="1" t="s">
        <v>67</v>
      </c>
      <c r="B91" s="1" t="s">
        <v>5</v>
      </c>
      <c r="C91" s="1" t="s">
        <v>6</v>
      </c>
      <c r="D91">
        <v>3</v>
      </c>
      <c r="E91" s="1" t="s">
        <v>72</v>
      </c>
      <c r="F91" s="1" t="s">
        <v>5</v>
      </c>
      <c r="G91" s="1" t="s">
        <v>6</v>
      </c>
      <c r="H91">
        <v>2</v>
      </c>
      <c r="I91" s="1" t="s">
        <v>73</v>
      </c>
      <c r="J91" s="1" t="s">
        <v>5</v>
      </c>
      <c r="K91" s="1" t="s">
        <v>6</v>
      </c>
      <c r="L91">
        <v>1</v>
      </c>
      <c r="M91" s="1" t="s">
        <v>77</v>
      </c>
      <c r="N91" s="1" t="s">
        <v>5</v>
      </c>
      <c r="O91" s="1" t="s">
        <v>6</v>
      </c>
      <c r="P91">
        <v>1</v>
      </c>
    </row>
    <row r="92" spans="1:16" x14ac:dyDescent="0.2">
      <c r="A92" s="1" t="s">
        <v>67</v>
      </c>
      <c r="B92" s="1" t="s">
        <v>28</v>
      </c>
      <c r="C92" s="1" t="s">
        <v>6</v>
      </c>
      <c r="D92">
        <v>3</v>
      </c>
      <c r="E92" s="1" t="s">
        <v>72</v>
      </c>
      <c r="F92" s="1" t="s">
        <v>30</v>
      </c>
      <c r="G92" s="1" t="s">
        <v>6</v>
      </c>
      <c r="H92">
        <v>3</v>
      </c>
      <c r="I92" s="1" t="s">
        <v>74</v>
      </c>
      <c r="J92" s="1" t="s">
        <v>5</v>
      </c>
      <c r="K92" s="1" t="s">
        <v>6</v>
      </c>
      <c r="L92">
        <v>1</v>
      </c>
      <c r="M92" s="1" t="s">
        <v>78</v>
      </c>
      <c r="N92" s="1" t="s">
        <v>5</v>
      </c>
      <c r="O92" s="1" t="s">
        <v>6</v>
      </c>
      <c r="P92">
        <v>1</v>
      </c>
    </row>
    <row r="93" spans="1:16" x14ac:dyDescent="0.2">
      <c r="A93" s="1" t="s">
        <v>117</v>
      </c>
      <c r="B93" s="1" t="s">
        <v>28</v>
      </c>
      <c r="C93" s="1" t="s">
        <v>6</v>
      </c>
      <c r="D93">
        <v>2</v>
      </c>
      <c r="E93" s="1" t="s">
        <v>73</v>
      </c>
      <c r="F93" s="1" t="s">
        <v>5</v>
      </c>
      <c r="G93" s="1" t="s">
        <v>6</v>
      </c>
      <c r="H93">
        <v>1</v>
      </c>
      <c r="I93" s="1" t="s">
        <v>75</v>
      </c>
      <c r="J93" s="1" t="s">
        <v>13</v>
      </c>
      <c r="K93" s="1" t="s">
        <v>6</v>
      </c>
      <c r="L93">
        <v>2</v>
      </c>
      <c r="M93" s="1" t="s">
        <v>79</v>
      </c>
      <c r="N93" s="1" t="s">
        <v>5</v>
      </c>
      <c r="O93" s="1" t="s">
        <v>6</v>
      </c>
      <c r="P93">
        <v>1</v>
      </c>
    </row>
    <row r="94" spans="1:16" x14ac:dyDescent="0.2">
      <c r="A94" s="1" t="s">
        <v>137</v>
      </c>
      <c r="B94" s="1" t="s">
        <v>13</v>
      </c>
      <c r="C94" s="1" t="s">
        <v>6</v>
      </c>
      <c r="D94">
        <v>2</v>
      </c>
      <c r="E94" s="1" t="s">
        <v>74</v>
      </c>
      <c r="F94" s="1" t="s">
        <v>5</v>
      </c>
      <c r="G94" s="1" t="s">
        <v>6</v>
      </c>
      <c r="H94">
        <v>1</v>
      </c>
      <c r="I94" s="1" t="s">
        <v>75</v>
      </c>
      <c r="J94" s="1" t="s">
        <v>5</v>
      </c>
      <c r="K94" s="1" t="s">
        <v>6</v>
      </c>
      <c r="L94">
        <v>1</v>
      </c>
      <c r="M94" s="1" t="s">
        <v>250</v>
      </c>
      <c r="N94" s="1" t="s">
        <v>5</v>
      </c>
      <c r="O94" s="1" t="s">
        <v>6</v>
      </c>
      <c r="P94">
        <v>3</v>
      </c>
    </row>
    <row r="95" spans="1:16" x14ac:dyDescent="0.2">
      <c r="A95" s="1" t="s">
        <v>80</v>
      </c>
      <c r="B95" s="1" t="s">
        <v>5</v>
      </c>
      <c r="C95" s="1" t="s">
        <v>6</v>
      </c>
      <c r="D95">
        <v>1</v>
      </c>
      <c r="E95" s="1" t="s">
        <v>76</v>
      </c>
      <c r="F95" s="1" t="s">
        <v>5</v>
      </c>
      <c r="G95" s="1" t="s">
        <v>6</v>
      </c>
      <c r="H95">
        <v>1</v>
      </c>
      <c r="I95" s="1" t="s">
        <v>76</v>
      </c>
      <c r="J95" s="1" t="s">
        <v>5</v>
      </c>
      <c r="K95" s="1" t="s">
        <v>6</v>
      </c>
      <c r="L95">
        <v>1</v>
      </c>
      <c r="M95" s="1" t="s">
        <v>82</v>
      </c>
      <c r="N95" s="1" t="s">
        <v>5</v>
      </c>
      <c r="O95" s="1" t="s">
        <v>6</v>
      </c>
      <c r="P95">
        <v>4</v>
      </c>
    </row>
    <row r="96" spans="1:16" x14ac:dyDescent="0.2">
      <c r="A96" s="1" t="s">
        <v>148</v>
      </c>
      <c r="B96" s="1" t="s">
        <v>13</v>
      </c>
      <c r="C96" s="1" t="s">
        <v>6</v>
      </c>
      <c r="D96">
        <v>4</v>
      </c>
      <c r="E96" s="1" t="s">
        <v>199</v>
      </c>
      <c r="F96" s="1" t="s">
        <v>28</v>
      </c>
      <c r="G96" s="1" t="s">
        <v>6</v>
      </c>
      <c r="H96">
        <v>2</v>
      </c>
      <c r="I96" s="1" t="s">
        <v>77</v>
      </c>
      <c r="J96" s="1" t="s">
        <v>42</v>
      </c>
      <c r="K96" s="1" t="s">
        <v>6</v>
      </c>
      <c r="L96">
        <v>1</v>
      </c>
      <c r="M96" s="1" t="s">
        <v>83</v>
      </c>
      <c r="N96" s="1" t="s">
        <v>5</v>
      </c>
      <c r="O96" s="1" t="s">
        <v>6</v>
      </c>
      <c r="P96">
        <v>3</v>
      </c>
    </row>
    <row r="97" spans="1:16" x14ac:dyDescent="0.2">
      <c r="A97" s="1" t="s">
        <v>56</v>
      </c>
      <c r="B97" s="1" t="s">
        <v>13</v>
      </c>
      <c r="C97" s="1" t="s">
        <v>6</v>
      </c>
      <c r="D97">
        <v>2</v>
      </c>
      <c r="E97" s="1" t="s">
        <v>77</v>
      </c>
      <c r="F97" s="1" t="s">
        <v>5</v>
      </c>
      <c r="G97" s="1" t="s">
        <v>6</v>
      </c>
      <c r="H97">
        <v>1</v>
      </c>
      <c r="I97" s="1" t="s">
        <v>78</v>
      </c>
      <c r="J97" s="1" t="s">
        <v>5</v>
      </c>
      <c r="K97" s="1" t="s">
        <v>6</v>
      </c>
      <c r="L97">
        <v>1</v>
      </c>
      <c r="M97" s="1" t="s">
        <v>83</v>
      </c>
      <c r="N97" s="1" t="s">
        <v>28</v>
      </c>
      <c r="O97" s="1" t="s">
        <v>6</v>
      </c>
      <c r="P97">
        <v>1</v>
      </c>
    </row>
    <row r="98" spans="1:16" x14ac:dyDescent="0.2">
      <c r="A98" s="1" t="s">
        <v>4</v>
      </c>
      <c r="B98" s="1" t="s">
        <v>5</v>
      </c>
      <c r="C98" s="1" t="s">
        <v>6</v>
      </c>
      <c r="D98">
        <v>1</v>
      </c>
      <c r="E98" s="1" t="s">
        <v>200</v>
      </c>
      <c r="F98" s="1" t="s">
        <v>30</v>
      </c>
      <c r="G98" s="1" t="s">
        <v>6</v>
      </c>
      <c r="H98">
        <v>1</v>
      </c>
      <c r="I98" s="1" t="s">
        <v>80</v>
      </c>
      <c r="J98" s="1" t="s">
        <v>5</v>
      </c>
      <c r="K98" s="1" t="s">
        <v>6</v>
      </c>
      <c r="L98">
        <v>1</v>
      </c>
      <c r="M98" s="1" t="s">
        <v>84</v>
      </c>
      <c r="N98" s="1" t="s">
        <v>5</v>
      </c>
      <c r="O98" s="1" t="s">
        <v>6</v>
      </c>
      <c r="P98">
        <v>2</v>
      </c>
    </row>
    <row r="99" spans="1:16" x14ac:dyDescent="0.2">
      <c r="A99" s="1" t="s">
        <v>84</v>
      </c>
      <c r="B99" s="1" t="s">
        <v>5</v>
      </c>
      <c r="C99" s="1" t="s">
        <v>6</v>
      </c>
      <c r="D99">
        <v>2</v>
      </c>
      <c r="E99" s="1" t="s">
        <v>200</v>
      </c>
      <c r="F99" s="1" t="s">
        <v>5</v>
      </c>
      <c r="G99" s="1" t="s">
        <v>6</v>
      </c>
      <c r="H99">
        <v>2</v>
      </c>
      <c r="I99" s="1" t="s">
        <v>81</v>
      </c>
      <c r="J99" s="1" t="s">
        <v>28</v>
      </c>
      <c r="K99" s="1" t="s">
        <v>6</v>
      </c>
      <c r="L99">
        <v>2</v>
      </c>
      <c r="M99" s="1" t="s">
        <v>84</v>
      </c>
      <c r="N99" s="1" t="s">
        <v>28</v>
      </c>
      <c r="O99" s="1" t="s">
        <v>6</v>
      </c>
      <c r="P99">
        <v>1</v>
      </c>
    </row>
    <row r="100" spans="1:16" x14ac:dyDescent="0.2">
      <c r="A100" s="1" t="s">
        <v>129</v>
      </c>
      <c r="B100" s="1" t="s">
        <v>5</v>
      </c>
      <c r="C100" s="1" t="s">
        <v>6</v>
      </c>
      <c r="D100">
        <v>4</v>
      </c>
      <c r="E100" s="1" t="s">
        <v>201</v>
      </c>
      <c r="F100" s="1" t="s">
        <v>28</v>
      </c>
      <c r="G100" s="1" t="s">
        <v>6</v>
      </c>
      <c r="H100">
        <v>1</v>
      </c>
      <c r="I100" s="1" t="s">
        <v>82</v>
      </c>
      <c r="J100" s="1" t="s">
        <v>5</v>
      </c>
      <c r="K100" s="1" t="s">
        <v>6</v>
      </c>
      <c r="L100">
        <v>4</v>
      </c>
      <c r="M100" s="1" t="s">
        <v>85</v>
      </c>
      <c r="N100" s="1" t="s">
        <v>5</v>
      </c>
      <c r="O100" s="1" t="s">
        <v>6</v>
      </c>
      <c r="P100">
        <v>1</v>
      </c>
    </row>
    <row r="101" spans="1:16" x14ac:dyDescent="0.2">
      <c r="A101" s="1" t="s">
        <v>115</v>
      </c>
      <c r="B101" s="1" t="s">
        <v>5</v>
      </c>
      <c r="C101" s="1" t="s">
        <v>6</v>
      </c>
      <c r="D101">
        <v>3</v>
      </c>
      <c r="E101" s="1" t="s">
        <v>201</v>
      </c>
      <c r="F101" s="1" t="s">
        <v>5</v>
      </c>
      <c r="G101" s="1" t="s">
        <v>6</v>
      </c>
      <c r="H101">
        <v>1</v>
      </c>
      <c r="I101" s="1" t="s">
        <v>231</v>
      </c>
      <c r="J101" s="1" t="s">
        <v>5</v>
      </c>
      <c r="K101" s="1" t="s">
        <v>6</v>
      </c>
      <c r="L101">
        <v>1</v>
      </c>
      <c r="M101" s="1" t="s">
        <v>87</v>
      </c>
      <c r="N101" s="1" t="s">
        <v>5</v>
      </c>
      <c r="O101" s="1" t="s">
        <v>6</v>
      </c>
      <c r="P101">
        <v>1</v>
      </c>
    </row>
    <row r="102" spans="1:16" x14ac:dyDescent="0.2">
      <c r="A102" s="1" t="s">
        <v>49</v>
      </c>
      <c r="B102" s="1" t="s">
        <v>13</v>
      </c>
      <c r="C102" s="1" t="s">
        <v>6</v>
      </c>
      <c r="D102">
        <v>4</v>
      </c>
      <c r="E102" s="1" t="s">
        <v>78</v>
      </c>
      <c r="F102" s="1" t="s">
        <v>5</v>
      </c>
      <c r="G102" s="1" t="s">
        <v>6</v>
      </c>
      <c r="H102">
        <v>1</v>
      </c>
      <c r="I102" s="1" t="s">
        <v>83</v>
      </c>
      <c r="J102" s="1" t="s">
        <v>5</v>
      </c>
      <c r="K102" s="1" t="s">
        <v>6</v>
      </c>
      <c r="L102">
        <v>4</v>
      </c>
      <c r="M102" s="1" t="s">
        <v>88</v>
      </c>
      <c r="N102" s="1" t="s">
        <v>28</v>
      </c>
      <c r="O102" s="1" t="s">
        <v>6</v>
      </c>
      <c r="P102">
        <v>2</v>
      </c>
    </row>
    <row r="103" spans="1:16" x14ac:dyDescent="0.2">
      <c r="A103" s="1" t="s">
        <v>49</v>
      </c>
      <c r="B103" s="1" t="s">
        <v>5</v>
      </c>
      <c r="C103" s="1" t="s">
        <v>6</v>
      </c>
      <c r="D103">
        <v>3</v>
      </c>
      <c r="E103" s="1" t="s">
        <v>79</v>
      </c>
      <c r="F103" s="1" t="s">
        <v>5</v>
      </c>
      <c r="G103" s="1" t="s">
        <v>6</v>
      </c>
      <c r="H103">
        <v>1</v>
      </c>
      <c r="I103" s="1" t="s">
        <v>83</v>
      </c>
      <c r="J103" s="1" t="s">
        <v>28</v>
      </c>
      <c r="K103" s="1" t="s">
        <v>6</v>
      </c>
      <c r="L103">
        <v>1</v>
      </c>
      <c r="M103" s="1" t="s">
        <v>89</v>
      </c>
      <c r="N103" s="1" t="s">
        <v>5</v>
      </c>
      <c r="O103" s="1" t="s">
        <v>6</v>
      </c>
      <c r="P103">
        <v>1</v>
      </c>
    </row>
    <row r="104" spans="1:16" x14ac:dyDescent="0.2">
      <c r="A104" s="1" t="s">
        <v>130</v>
      </c>
      <c r="B104" s="1" t="s">
        <v>5</v>
      </c>
      <c r="C104" s="1" t="s">
        <v>6</v>
      </c>
      <c r="D104">
        <v>2</v>
      </c>
      <c r="E104" s="1" t="s">
        <v>80</v>
      </c>
      <c r="F104" s="1" t="s">
        <v>5</v>
      </c>
      <c r="G104" s="1" t="s">
        <v>6</v>
      </c>
      <c r="H104">
        <v>1</v>
      </c>
      <c r="I104" s="1" t="s">
        <v>84</v>
      </c>
      <c r="J104" s="1" t="s">
        <v>5</v>
      </c>
      <c r="K104" s="1" t="s">
        <v>6</v>
      </c>
      <c r="L104">
        <v>2</v>
      </c>
      <c r="M104" s="1" t="s">
        <v>90</v>
      </c>
      <c r="N104" s="1" t="s">
        <v>5</v>
      </c>
      <c r="O104" s="1" t="s">
        <v>6</v>
      </c>
      <c r="P104">
        <v>3</v>
      </c>
    </row>
    <row r="105" spans="1:16" x14ac:dyDescent="0.2">
      <c r="A105" s="1" t="s">
        <v>146</v>
      </c>
      <c r="B105" s="1" t="s">
        <v>13</v>
      </c>
      <c r="C105" s="1" t="s">
        <v>6</v>
      </c>
      <c r="D105">
        <v>2</v>
      </c>
      <c r="E105" s="1" t="s">
        <v>81</v>
      </c>
      <c r="F105" s="1" t="s">
        <v>28</v>
      </c>
      <c r="G105" s="1" t="s">
        <v>6</v>
      </c>
      <c r="H105">
        <v>2</v>
      </c>
      <c r="I105" s="1" t="s">
        <v>84</v>
      </c>
      <c r="J105" s="1" t="s">
        <v>28</v>
      </c>
      <c r="K105" s="1" t="s">
        <v>6</v>
      </c>
      <c r="L105">
        <v>1</v>
      </c>
      <c r="M105" s="1" t="s">
        <v>90</v>
      </c>
      <c r="N105" s="1" t="s">
        <v>30</v>
      </c>
      <c r="O105" s="1" t="s">
        <v>6</v>
      </c>
      <c r="P105">
        <v>4</v>
      </c>
    </row>
    <row r="106" spans="1:16" x14ac:dyDescent="0.2">
      <c r="A106" s="1" t="s">
        <v>106</v>
      </c>
      <c r="B106" s="1" t="s">
        <v>5</v>
      </c>
      <c r="C106" s="1" t="s">
        <v>6</v>
      </c>
      <c r="D106">
        <v>1</v>
      </c>
      <c r="E106" s="1" t="s">
        <v>82</v>
      </c>
      <c r="F106" s="1" t="s">
        <v>5</v>
      </c>
      <c r="G106" s="1" t="s">
        <v>6</v>
      </c>
      <c r="H106">
        <v>2</v>
      </c>
      <c r="I106" s="1" t="s">
        <v>85</v>
      </c>
      <c r="J106" s="1" t="s">
        <v>5</v>
      </c>
      <c r="K106" s="1" t="s">
        <v>6</v>
      </c>
      <c r="L106">
        <v>1</v>
      </c>
      <c r="M106" s="1" t="s">
        <v>202</v>
      </c>
      <c r="N106" s="1" t="s">
        <v>30</v>
      </c>
      <c r="O106" s="1" t="s">
        <v>6</v>
      </c>
      <c r="P106">
        <v>1</v>
      </c>
    </row>
    <row r="107" spans="1:16" x14ac:dyDescent="0.2">
      <c r="A107" s="1" t="s">
        <v>118</v>
      </c>
      <c r="B107" s="1" t="s">
        <v>5</v>
      </c>
      <c r="C107" s="1" t="s">
        <v>6</v>
      </c>
      <c r="D107">
        <v>2</v>
      </c>
      <c r="E107" s="1" t="s">
        <v>83</v>
      </c>
      <c r="F107" s="1" t="s">
        <v>5</v>
      </c>
      <c r="G107" s="1" t="s">
        <v>6</v>
      </c>
      <c r="H107">
        <v>3</v>
      </c>
      <c r="I107" s="1" t="s">
        <v>87</v>
      </c>
      <c r="J107" s="1" t="s">
        <v>5</v>
      </c>
      <c r="K107" s="1" t="s">
        <v>6</v>
      </c>
      <c r="L107">
        <v>1</v>
      </c>
      <c r="M107" s="1" t="s">
        <v>93</v>
      </c>
      <c r="N107" s="1" t="s">
        <v>13</v>
      </c>
      <c r="O107" s="1" t="s">
        <v>6</v>
      </c>
      <c r="P107">
        <v>2</v>
      </c>
    </row>
    <row r="108" spans="1:16" x14ac:dyDescent="0.2">
      <c r="A108" s="1" t="s">
        <v>140</v>
      </c>
      <c r="B108" s="1" t="s">
        <v>13</v>
      </c>
      <c r="C108" s="1" t="s">
        <v>6</v>
      </c>
      <c r="D108">
        <v>2</v>
      </c>
      <c r="E108" s="1" t="s">
        <v>83</v>
      </c>
      <c r="F108" s="1" t="s">
        <v>30</v>
      </c>
      <c r="G108" s="1" t="s">
        <v>6</v>
      </c>
      <c r="H108">
        <v>1</v>
      </c>
      <c r="I108" s="1" t="s">
        <v>232</v>
      </c>
      <c r="J108" s="1" t="s">
        <v>5</v>
      </c>
      <c r="K108" s="1" t="s">
        <v>6</v>
      </c>
      <c r="L108">
        <v>1</v>
      </c>
      <c r="M108" s="1" t="s">
        <v>93</v>
      </c>
      <c r="N108" s="1" t="s">
        <v>30</v>
      </c>
      <c r="O108" s="1" t="s">
        <v>6</v>
      </c>
      <c r="P108">
        <v>4</v>
      </c>
    </row>
    <row r="109" spans="1:16" x14ac:dyDescent="0.2">
      <c r="A109" s="1" t="s">
        <v>140</v>
      </c>
      <c r="B109" s="1" t="s">
        <v>40</v>
      </c>
      <c r="C109" s="1" t="s">
        <v>6</v>
      </c>
      <c r="D109">
        <v>2</v>
      </c>
      <c r="E109" s="1" t="s">
        <v>84</v>
      </c>
      <c r="F109" s="1" t="s">
        <v>5</v>
      </c>
      <c r="G109" s="1" t="s">
        <v>6</v>
      </c>
      <c r="H109">
        <v>2</v>
      </c>
      <c r="I109" s="1" t="s">
        <v>88</v>
      </c>
      <c r="J109" s="1" t="s">
        <v>28</v>
      </c>
      <c r="K109" s="1" t="s">
        <v>6</v>
      </c>
      <c r="L109">
        <v>2</v>
      </c>
      <c r="M109" s="1" t="s">
        <v>94</v>
      </c>
      <c r="N109" s="1" t="s">
        <v>13</v>
      </c>
      <c r="O109" s="1" t="s">
        <v>6</v>
      </c>
      <c r="P109">
        <v>1</v>
      </c>
    </row>
    <row r="110" spans="1:16" x14ac:dyDescent="0.2">
      <c r="A110" s="1" t="s">
        <v>140</v>
      </c>
      <c r="B110" s="1" t="s">
        <v>41</v>
      </c>
      <c r="C110" s="1" t="s">
        <v>6</v>
      </c>
      <c r="D110">
        <v>2</v>
      </c>
      <c r="E110" s="1" t="s">
        <v>85</v>
      </c>
      <c r="F110" s="1" t="s">
        <v>5</v>
      </c>
      <c r="G110" s="1" t="s">
        <v>6</v>
      </c>
      <c r="H110">
        <v>1</v>
      </c>
      <c r="I110" s="1" t="s">
        <v>89</v>
      </c>
      <c r="J110" s="1" t="s">
        <v>5</v>
      </c>
      <c r="K110" s="1" t="s">
        <v>6</v>
      </c>
      <c r="L110">
        <v>1</v>
      </c>
      <c r="M110" s="1" t="s">
        <v>96</v>
      </c>
      <c r="N110" s="1" t="s">
        <v>5</v>
      </c>
      <c r="O110" s="1" t="s">
        <v>6</v>
      </c>
      <c r="P110">
        <v>1</v>
      </c>
    </row>
    <row r="111" spans="1:16" x14ac:dyDescent="0.2">
      <c r="A111" s="1" t="s">
        <v>140</v>
      </c>
      <c r="B111" s="1" t="s">
        <v>28</v>
      </c>
      <c r="C111" s="1" t="s">
        <v>6</v>
      </c>
      <c r="D111">
        <v>1</v>
      </c>
      <c r="E111" s="1" t="s">
        <v>87</v>
      </c>
      <c r="F111" s="1" t="s">
        <v>5</v>
      </c>
      <c r="G111" s="1" t="s">
        <v>6</v>
      </c>
      <c r="H111">
        <v>1</v>
      </c>
      <c r="I111" s="1" t="s">
        <v>202</v>
      </c>
      <c r="J111" s="1" t="s">
        <v>42</v>
      </c>
      <c r="K111" s="1" t="s">
        <v>6</v>
      </c>
      <c r="L111">
        <v>1</v>
      </c>
      <c r="M111" s="1" t="s">
        <v>96</v>
      </c>
      <c r="N111" s="1" t="s">
        <v>30</v>
      </c>
      <c r="O111" s="1" t="s">
        <v>6</v>
      </c>
      <c r="P111">
        <v>1</v>
      </c>
    </row>
    <row r="112" spans="1:16" x14ac:dyDescent="0.2">
      <c r="A112" s="1" t="s">
        <v>52</v>
      </c>
      <c r="B112" s="1" t="s">
        <v>13</v>
      </c>
      <c r="C112" s="1" t="s">
        <v>6</v>
      </c>
      <c r="D112">
        <v>2</v>
      </c>
      <c r="E112" s="1" t="s">
        <v>88</v>
      </c>
      <c r="F112" s="1" t="s">
        <v>28</v>
      </c>
      <c r="G112" s="1" t="s">
        <v>6</v>
      </c>
      <c r="H112">
        <v>2</v>
      </c>
      <c r="I112" s="1" t="s">
        <v>203</v>
      </c>
      <c r="J112" s="1" t="s">
        <v>13</v>
      </c>
      <c r="K112" s="1" t="s">
        <v>6</v>
      </c>
      <c r="L112">
        <v>2</v>
      </c>
      <c r="M112" s="1" t="s">
        <v>97</v>
      </c>
      <c r="N112" s="1" t="s">
        <v>13</v>
      </c>
      <c r="O112" s="1" t="s">
        <v>6</v>
      </c>
      <c r="P112">
        <v>4</v>
      </c>
    </row>
    <row r="113" spans="1:16" x14ac:dyDescent="0.2">
      <c r="A113" s="1" t="s">
        <v>52</v>
      </c>
      <c r="B113" s="1" t="s">
        <v>5</v>
      </c>
      <c r="C113" s="1" t="s">
        <v>6</v>
      </c>
      <c r="D113">
        <v>1</v>
      </c>
      <c r="E113" s="1" t="s">
        <v>89</v>
      </c>
      <c r="F113" s="1" t="s">
        <v>5</v>
      </c>
      <c r="G113" s="1" t="s">
        <v>6</v>
      </c>
      <c r="H113">
        <v>1</v>
      </c>
      <c r="I113" s="1" t="s">
        <v>91</v>
      </c>
      <c r="J113" s="1" t="s">
        <v>5</v>
      </c>
      <c r="K113" s="1" t="s">
        <v>6</v>
      </c>
      <c r="L113">
        <v>1</v>
      </c>
      <c r="M113" s="1" t="s">
        <v>98</v>
      </c>
      <c r="N113" s="1" t="s">
        <v>5</v>
      </c>
      <c r="O113" s="1" t="s">
        <v>6</v>
      </c>
      <c r="P113">
        <v>1</v>
      </c>
    </row>
    <row r="114" spans="1:16" x14ac:dyDescent="0.2">
      <c r="A114" s="1" t="s">
        <v>65</v>
      </c>
      <c r="B114" s="1" t="s">
        <v>5</v>
      </c>
      <c r="C114" s="1" t="s">
        <v>6</v>
      </c>
      <c r="D114">
        <v>2</v>
      </c>
      <c r="E114" s="1" t="s">
        <v>90</v>
      </c>
      <c r="F114" s="1" t="s">
        <v>5</v>
      </c>
      <c r="G114" s="1" t="s">
        <v>6</v>
      </c>
      <c r="H114">
        <v>1</v>
      </c>
      <c r="I114" s="1" t="s">
        <v>92</v>
      </c>
      <c r="J114" s="1" t="s">
        <v>13</v>
      </c>
      <c r="K114" s="1" t="s">
        <v>6</v>
      </c>
      <c r="L114">
        <v>2</v>
      </c>
      <c r="M114" s="1" t="s">
        <v>99</v>
      </c>
      <c r="N114" s="1" t="s">
        <v>13</v>
      </c>
      <c r="O114" s="1" t="s">
        <v>6</v>
      </c>
      <c r="P114">
        <v>2</v>
      </c>
    </row>
    <row r="115" spans="1:16" x14ac:dyDescent="0.2">
      <c r="A115" s="1" t="s">
        <v>18</v>
      </c>
      <c r="B115" s="1" t="s">
        <v>5</v>
      </c>
      <c r="C115" s="1" t="s">
        <v>6</v>
      </c>
      <c r="D115">
        <v>3</v>
      </c>
      <c r="E115" s="1" t="s">
        <v>202</v>
      </c>
      <c r="F115" s="1" t="s">
        <v>30</v>
      </c>
      <c r="G115" s="1" t="s">
        <v>6</v>
      </c>
      <c r="H115">
        <v>1</v>
      </c>
      <c r="I115" s="1" t="s">
        <v>92</v>
      </c>
      <c r="J115" s="1" t="s">
        <v>5</v>
      </c>
      <c r="K115" s="1" t="s">
        <v>6</v>
      </c>
      <c r="L115">
        <v>1</v>
      </c>
      <c r="M115" s="1" t="s">
        <v>100</v>
      </c>
      <c r="N115" s="1" t="s">
        <v>5</v>
      </c>
      <c r="O115" s="1" t="s">
        <v>6</v>
      </c>
      <c r="P115">
        <v>2</v>
      </c>
    </row>
    <row r="116" spans="1:16" x14ac:dyDescent="0.2">
      <c r="A116" s="1" t="s">
        <v>39</v>
      </c>
      <c r="B116" s="1" t="s">
        <v>40</v>
      </c>
      <c r="C116" s="1" t="s">
        <v>6</v>
      </c>
      <c r="D116">
        <v>6</v>
      </c>
      <c r="E116" s="1" t="s">
        <v>203</v>
      </c>
      <c r="F116" s="1" t="s">
        <v>132</v>
      </c>
      <c r="G116" s="1" t="s">
        <v>6</v>
      </c>
      <c r="H116">
        <v>1</v>
      </c>
      <c r="I116" s="1" t="s">
        <v>93</v>
      </c>
      <c r="J116" s="1" t="s">
        <v>13</v>
      </c>
      <c r="K116" s="1" t="s">
        <v>6</v>
      </c>
      <c r="L116">
        <v>2</v>
      </c>
      <c r="M116" s="1" t="s">
        <v>101</v>
      </c>
      <c r="N116" s="1" t="s">
        <v>5</v>
      </c>
      <c r="O116" s="1" t="s">
        <v>6</v>
      </c>
      <c r="P116">
        <v>3</v>
      </c>
    </row>
    <row r="117" spans="1:16" x14ac:dyDescent="0.2">
      <c r="A117" s="1" t="s">
        <v>39</v>
      </c>
      <c r="B117" s="1" t="s">
        <v>41</v>
      </c>
      <c r="C117" s="1" t="s">
        <v>6</v>
      </c>
      <c r="D117">
        <v>6</v>
      </c>
      <c r="E117" s="1" t="s">
        <v>92</v>
      </c>
      <c r="F117" s="1" t="s">
        <v>13</v>
      </c>
      <c r="G117" s="1" t="s">
        <v>6</v>
      </c>
      <c r="H117">
        <v>2</v>
      </c>
      <c r="I117" s="1" t="s">
        <v>93</v>
      </c>
      <c r="J117" s="1" t="s">
        <v>30</v>
      </c>
      <c r="K117" s="1" t="s">
        <v>6</v>
      </c>
      <c r="L117">
        <v>4</v>
      </c>
      <c r="M117" s="1" t="s">
        <v>102</v>
      </c>
      <c r="N117" s="1" t="s">
        <v>5</v>
      </c>
      <c r="O117" s="1" t="s">
        <v>6</v>
      </c>
      <c r="P117">
        <v>1</v>
      </c>
    </row>
    <row r="118" spans="1:16" x14ac:dyDescent="0.2">
      <c r="A118" s="1" t="s">
        <v>39</v>
      </c>
      <c r="B118" s="1" t="s">
        <v>30</v>
      </c>
      <c r="C118" s="1" t="s">
        <v>6</v>
      </c>
      <c r="D118">
        <v>4</v>
      </c>
      <c r="E118" s="1" t="s">
        <v>92</v>
      </c>
      <c r="F118" s="1" t="s">
        <v>5</v>
      </c>
      <c r="G118" s="1" t="s">
        <v>6</v>
      </c>
      <c r="H118">
        <v>1</v>
      </c>
      <c r="I118" s="1" t="s">
        <v>233</v>
      </c>
      <c r="J118" s="1" t="s">
        <v>13</v>
      </c>
      <c r="K118" s="1" t="s">
        <v>6</v>
      </c>
      <c r="L118">
        <v>4</v>
      </c>
      <c r="M118" s="1" t="s">
        <v>234</v>
      </c>
      <c r="N118" s="1" t="s">
        <v>5</v>
      </c>
      <c r="O118" s="1" t="s">
        <v>6</v>
      </c>
      <c r="P118">
        <v>1</v>
      </c>
    </row>
    <row r="119" spans="1:16" x14ac:dyDescent="0.2">
      <c r="A119" s="1" t="s">
        <v>39</v>
      </c>
      <c r="B119" s="1" t="s">
        <v>28</v>
      </c>
      <c r="C119" s="1" t="s">
        <v>6</v>
      </c>
      <c r="D119">
        <v>3</v>
      </c>
      <c r="E119" s="1" t="s">
        <v>93</v>
      </c>
      <c r="F119" s="1" t="s">
        <v>5</v>
      </c>
      <c r="G119" s="1" t="s">
        <v>6</v>
      </c>
      <c r="H119">
        <v>1</v>
      </c>
      <c r="I119" s="1" t="s">
        <v>94</v>
      </c>
      <c r="J119" s="1" t="s">
        <v>13</v>
      </c>
      <c r="K119" s="1" t="s">
        <v>6</v>
      </c>
      <c r="L119">
        <v>1</v>
      </c>
      <c r="M119" s="1" t="s">
        <v>103</v>
      </c>
      <c r="N119" s="1" t="s">
        <v>5</v>
      </c>
      <c r="O119" s="1" t="s">
        <v>6</v>
      </c>
      <c r="P119">
        <v>4</v>
      </c>
    </row>
    <row r="120" spans="1:16" x14ac:dyDescent="0.2">
      <c r="A120" s="1" t="s">
        <v>39</v>
      </c>
      <c r="B120" s="1" t="s">
        <v>5</v>
      </c>
      <c r="C120" s="1" t="s">
        <v>6</v>
      </c>
      <c r="D120">
        <v>2</v>
      </c>
      <c r="E120" s="1" t="s">
        <v>93</v>
      </c>
      <c r="F120" s="1" t="s">
        <v>30</v>
      </c>
      <c r="G120" s="1" t="s">
        <v>6</v>
      </c>
      <c r="H120">
        <v>1</v>
      </c>
      <c r="I120" s="1" t="s">
        <v>96</v>
      </c>
      <c r="J120" s="1" t="s">
        <v>5</v>
      </c>
      <c r="K120" s="1" t="s">
        <v>6</v>
      </c>
      <c r="L120">
        <v>1</v>
      </c>
      <c r="M120" s="1" t="s">
        <v>104</v>
      </c>
      <c r="N120" s="1" t="s">
        <v>5</v>
      </c>
      <c r="O120" s="1" t="s">
        <v>6</v>
      </c>
      <c r="P120">
        <v>2</v>
      </c>
    </row>
    <row r="121" spans="1:16" x14ac:dyDescent="0.2">
      <c r="A121" s="1" t="s">
        <v>39</v>
      </c>
      <c r="B121" s="1" t="s">
        <v>42</v>
      </c>
      <c r="C121" s="1" t="s">
        <v>6</v>
      </c>
      <c r="D121">
        <v>1</v>
      </c>
      <c r="E121" s="1" t="s">
        <v>94</v>
      </c>
      <c r="F121" s="1" t="s">
        <v>13</v>
      </c>
      <c r="G121" s="1" t="s">
        <v>6</v>
      </c>
      <c r="H121">
        <v>1</v>
      </c>
      <c r="I121" s="1" t="s">
        <v>96</v>
      </c>
      <c r="J121" s="1" t="s">
        <v>30</v>
      </c>
      <c r="K121" s="1" t="s">
        <v>6</v>
      </c>
      <c r="L121">
        <v>1</v>
      </c>
      <c r="M121" s="1" t="s">
        <v>106</v>
      </c>
      <c r="N121" s="1" t="s">
        <v>5</v>
      </c>
      <c r="O121" s="1" t="s">
        <v>6</v>
      </c>
      <c r="P121">
        <v>1</v>
      </c>
    </row>
    <row r="122" spans="1:16" x14ac:dyDescent="0.2">
      <c r="A122" s="1" t="s">
        <v>51</v>
      </c>
      <c r="B122" s="1" t="s">
        <v>42</v>
      </c>
      <c r="C122" s="1" t="s">
        <v>6</v>
      </c>
      <c r="D122">
        <v>5</v>
      </c>
      <c r="E122" s="1" t="s">
        <v>95</v>
      </c>
      <c r="F122" s="1" t="s">
        <v>13</v>
      </c>
      <c r="G122" s="1" t="s">
        <v>6</v>
      </c>
      <c r="H122">
        <v>4</v>
      </c>
      <c r="I122" s="1" t="s">
        <v>97</v>
      </c>
      <c r="J122" s="1" t="s">
        <v>13</v>
      </c>
      <c r="K122" s="1" t="s">
        <v>6</v>
      </c>
      <c r="L122">
        <v>4</v>
      </c>
      <c r="M122" s="1" t="s">
        <v>107</v>
      </c>
      <c r="N122" s="1" t="s">
        <v>42</v>
      </c>
      <c r="O122" s="1" t="s">
        <v>6</v>
      </c>
      <c r="P122">
        <v>4</v>
      </c>
    </row>
    <row r="123" spans="1:16" x14ac:dyDescent="0.2">
      <c r="A123" s="1" t="s">
        <v>20</v>
      </c>
      <c r="B123" s="1" t="s">
        <v>5</v>
      </c>
      <c r="C123" s="1" t="s">
        <v>6</v>
      </c>
      <c r="D123">
        <v>1</v>
      </c>
      <c r="E123" s="1" t="s">
        <v>95</v>
      </c>
      <c r="F123" s="1" t="s">
        <v>5</v>
      </c>
      <c r="G123" s="1" t="s">
        <v>6</v>
      </c>
      <c r="H123">
        <v>3</v>
      </c>
      <c r="I123" s="1" t="s">
        <v>98</v>
      </c>
      <c r="J123" s="1" t="s">
        <v>5</v>
      </c>
      <c r="K123" s="1" t="s">
        <v>6</v>
      </c>
      <c r="L123">
        <v>1</v>
      </c>
      <c r="M123" s="1" t="s">
        <v>108</v>
      </c>
      <c r="N123" s="1" t="s">
        <v>5</v>
      </c>
      <c r="O123" s="1" t="s">
        <v>6</v>
      </c>
      <c r="P123">
        <v>1</v>
      </c>
    </row>
    <row r="124" spans="1:16" x14ac:dyDescent="0.2">
      <c r="A124" s="1" t="s">
        <v>98</v>
      </c>
      <c r="B124" s="1" t="s">
        <v>5</v>
      </c>
      <c r="C124" s="1" t="s">
        <v>6</v>
      </c>
      <c r="D124">
        <v>1</v>
      </c>
      <c r="E124" s="1" t="s">
        <v>96</v>
      </c>
      <c r="F124" s="1" t="s">
        <v>5</v>
      </c>
      <c r="G124" s="1" t="s">
        <v>6</v>
      </c>
      <c r="H124">
        <v>1</v>
      </c>
      <c r="I124" s="1" t="s">
        <v>99</v>
      </c>
      <c r="J124" s="1" t="s">
        <v>13</v>
      </c>
      <c r="K124" s="1" t="s">
        <v>6</v>
      </c>
      <c r="L124">
        <v>2</v>
      </c>
      <c r="M124" s="1" t="s">
        <v>109</v>
      </c>
      <c r="N124" s="1" t="s">
        <v>13</v>
      </c>
      <c r="O124" s="1" t="s">
        <v>6</v>
      </c>
      <c r="P124">
        <v>1</v>
      </c>
    </row>
    <row r="125" spans="1:16" x14ac:dyDescent="0.2">
      <c r="A125" s="1" t="s">
        <v>9</v>
      </c>
      <c r="B125" s="1" t="s">
        <v>5</v>
      </c>
      <c r="C125" s="1" t="s">
        <v>6</v>
      </c>
      <c r="D125">
        <v>2</v>
      </c>
      <c r="E125" s="1" t="s">
        <v>96</v>
      </c>
      <c r="F125" s="1" t="s">
        <v>30</v>
      </c>
      <c r="G125" s="1" t="s">
        <v>6</v>
      </c>
      <c r="H125">
        <v>1</v>
      </c>
      <c r="I125" s="1" t="s">
        <v>100</v>
      </c>
      <c r="J125" s="1" t="s">
        <v>5</v>
      </c>
      <c r="K125" s="1" t="s">
        <v>6</v>
      </c>
      <c r="L125">
        <v>2</v>
      </c>
      <c r="M125" s="1" t="s">
        <v>251</v>
      </c>
      <c r="N125" s="1" t="s">
        <v>5</v>
      </c>
      <c r="O125" s="1" t="s">
        <v>6</v>
      </c>
      <c r="P125">
        <v>2</v>
      </c>
    </row>
    <row r="126" spans="1:16" x14ac:dyDescent="0.2">
      <c r="A126" s="1" t="s">
        <v>71</v>
      </c>
      <c r="B126" s="1" t="s">
        <v>5</v>
      </c>
      <c r="C126" s="1" t="s">
        <v>6</v>
      </c>
      <c r="D126">
        <v>2</v>
      </c>
      <c r="E126" s="1" t="s">
        <v>97</v>
      </c>
      <c r="F126" s="1" t="s">
        <v>13</v>
      </c>
      <c r="G126" s="1" t="s">
        <v>6</v>
      </c>
      <c r="H126">
        <v>4</v>
      </c>
      <c r="I126" s="1" t="s">
        <v>101</v>
      </c>
      <c r="J126" s="1" t="s">
        <v>5</v>
      </c>
      <c r="K126" s="1" t="s">
        <v>6</v>
      </c>
      <c r="L126">
        <v>3</v>
      </c>
      <c r="M126" s="1" t="s">
        <v>110</v>
      </c>
      <c r="N126" s="1" t="s">
        <v>5</v>
      </c>
      <c r="O126" s="1" t="s">
        <v>6</v>
      </c>
      <c r="P126">
        <v>1</v>
      </c>
    </row>
    <row r="127" spans="1:16" x14ac:dyDescent="0.2">
      <c r="A127" s="1" t="s">
        <v>133</v>
      </c>
      <c r="B127" s="1" t="s">
        <v>13</v>
      </c>
      <c r="C127" s="1" t="s">
        <v>6</v>
      </c>
      <c r="D127">
        <v>2</v>
      </c>
      <c r="E127" s="1" t="s">
        <v>98</v>
      </c>
      <c r="F127" s="1" t="s">
        <v>5</v>
      </c>
      <c r="G127" s="1" t="s">
        <v>6</v>
      </c>
      <c r="H127">
        <v>1</v>
      </c>
      <c r="I127" s="1" t="s">
        <v>102</v>
      </c>
      <c r="J127" s="1" t="s">
        <v>5</v>
      </c>
      <c r="K127" s="1" t="s">
        <v>6</v>
      </c>
      <c r="L127">
        <v>1</v>
      </c>
      <c r="M127" s="1" t="s">
        <v>112</v>
      </c>
      <c r="N127" s="1" t="s">
        <v>5</v>
      </c>
      <c r="O127" s="1" t="s">
        <v>6</v>
      </c>
      <c r="P127">
        <v>1</v>
      </c>
    </row>
    <row r="128" spans="1:16" x14ac:dyDescent="0.2">
      <c r="A128" s="1" t="s">
        <v>133</v>
      </c>
      <c r="B128" s="1" t="s">
        <v>5</v>
      </c>
      <c r="C128" s="1" t="s">
        <v>6</v>
      </c>
      <c r="D128">
        <v>1</v>
      </c>
      <c r="E128" s="1" t="s">
        <v>99</v>
      </c>
      <c r="F128" s="1" t="s">
        <v>13</v>
      </c>
      <c r="G128" s="1" t="s">
        <v>6</v>
      </c>
      <c r="H128">
        <v>2</v>
      </c>
      <c r="I128" s="1" t="s">
        <v>234</v>
      </c>
      <c r="J128" s="1" t="s">
        <v>5</v>
      </c>
      <c r="K128" s="1" t="s">
        <v>6</v>
      </c>
      <c r="L128">
        <v>1</v>
      </c>
      <c r="M128" s="1" t="s">
        <v>116</v>
      </c>
      <c r="N128" s="1" t="s">
        <v>5</v>
      </c>
      <c r="O128" s="1" t="s">
        <v>6</v>
      </c>
      <c r="P128">
        <v>4</v>
      </c>
    </row>
    <row r="129" spans="1:16" x14ac:dyDescent="0.2">
      <c r="A129" s="1" t="s">
        <v>111</v>
      </c>
      <c r="B129" s="1" t="s">
        <v>5</v>
      </c>
      <c r="C129" s="1" t="s">
        <v>6</v>
      </c>
      <c r="D129">
        <v>1</v>
      </c>
      <c r="E129" s="1" t="s">
        <v>100</v>
      </c>
      <c r="F129" s="1" t="s">
        <v>5</v>
      </c>
      <c r="G129" s="1" t="s">
        <v>6</v>
      </c>
      <c r="H129">
        <v>2</v>
      </c>
      <c r="I129" s="1" t="s">
        <v>103</v>
      </c>
      <c r="J129" s="1" t="s">
        <v>5</v>
      </c>
      <c r="K129" s="1" t="s">
        <v>6</v>
      </c>
      <c r="L129">
        <v>2</v>
      </c>
      <c r="M129" s="1" t="s">
        <v>117</v>
      </c>
      <c r="N129" s="1" t="s">
        <v>28</v>
      </c>
      <c r="O129" s="1" t="s">
        <v>6</v>
      </c>
      <c r="P129">
        <v>2</v>
      </c>
    </row>
    <row r="130" spans="1:16" x14ac:dyDescent="0.2">
      <c r="A130" s="1" t="s">
        <v>54</v>
      </c>
      <c r="B130" s="1" t="s">
        <v>13</v>
      </c>
      <c r="C130" s="1" t="s">
        <v>6</v>
      </c>
      <c r="D130">
        <v>1</v>
      </c>
      <c r="E130" s="1" t="s">
        <v>101</v>
      </c>
      <c r="F130" s="1" t="s">
        <v>5</v>
      </c>
      <c r="G130" s="1" t="s">
        <v>6</v>
      </c>
      <c r="H130">
        <v>3</v>
      </c>
      <c r="I130" s="1" t="s">
        <v>104</v>
      </c>
      <c r="J130" s="1" t="s">
        <v>5</v>
      </c>
      <c r="K130" s="1" t="s">
        <v>6</v>
      </c>
      <c r="L130">
        <v>3</v>
      </c>
      <c r="M130" s="1" t="s">
        <v>118</v>
      </c>
      <c r="N130" s="1" t="s">
        <v>5</v>
      </c>
      <c r="O130" s="1" t="s">
        <v>6</v>
      </c>
      <c r="P130">
        <v>4</v>
      </c>
    </row>
    <row r="131" spans="1:16" x14ac:dyDescent="0.2">
      <c r="A131" s="1" t="s">
        <v>102</v>
      </c>
      <c r="B131" s="1" t="s">
        <v>5</v>
      </c>
      <c r="C131" s="1" t="s">
        <v>6</v>
      </c>
      <c r="D131">
        <v>1</v>
      </c>
      <c r="E131" s="1" t="s">
        <v>102</v>
      </c>
      <c r="F131" s="1" t="s">
        <v>5</v>
      </c>
      <c r="G131" s="1" t="s">
        <v>6</v>
      </c>
      <c r="H131">
        <v>1</v>
      </c>
      <c r="I131" s="1" t="s">
        <v>106</v>
      </c>
      <c r="J131" s="1" t="s">
        <v>5</v>
      </c>
      <c r="K131" s="1" t="s">
        <v>6</v>
      </c>
      <c r="L131">
        <v>1</v>
      </c>
      <c r="M131" s="1" t="s">
        <v>119</v>
      </c>
      <c r="N131" s="1" t="s">
        <v>13</v>
      </c>
      <c r="O131" s="1" t="s">
        <v>6</v>
      </c>
      <c r="P131">
        <v>2</v>
      </c>
    </row>
    <row r="132" spans="1:16" x14ac:dyDescent="0.2">
      <c r="A132" s="1" t="s">
        <v>167</v>
      </c>
      <c r="B132" s="1" t="s">
        <v>42</v>
      </c>
      <c r="C132" s="1" t="s">
        <v>6</v>
      </c>
      <c r="D132">
        <v>1</v>
      </c>
      <c r="E132" s="1" t="s">
        <v>103</v>
      </c>
      <c r="F132" s="1" t="s">
        <v>5</v>
      </c>
      <c r="G132" s="1" t="s">
        <v>6</v>
      </c>
      <c r="H132">
        <v>4</v>
      </c>
      <c r="I132" s="1" t="s">
        <v>107</v>
      </c>
      <c r="J132" s="1" t="s">
        <v>5</v>
      </c>
      <c r="K132" s="1" t="s">
        <v>6</v>
      </c>
      <c r="L132">
        <v>1</v>
      </c>
      <c r="M132" s="1" t="s">
        <v>119</v>
      </c>
      <c r="N132" s="1" t="s">
        <v>5</v>
      </c>
      <c r="O132" s="1" t="s">
        <v>6</v>
      </c>
      <c r="P132">
        <v>1</v>
      </c>
    </row>
    <row r="133" spans="1:16" x14ac:dyDescent="0.2">
      <c r="A133" s="1" t="s">
        <v>138</v>
      </c>
      <c r="B133" s="1" t="s">
        <v>5</v>
      </c>
      <c r="C133" s="1" t="s">
        <v>6</v>
      </c>
      <c r="D133">
        <v>2</v>
      </c>
      <c r="E133" s="1" t="s">
        <v>104</v>
      </c>
      <c r="F133" s="1" t="s">
        <v>5</v>
      </c>
      <c r="G133" s="1" t="s">
        <v>6</v>
      </c>
      <c r="H133">
        <v>2</v>
      </c>
      <c r="I133" s="1" t="s">
        <v>108</v>
      </c>
      <c r="J133" s="1" t="s">
        <v>5</v>
      </c>
      <c r="K133" s="1" t="s">
        <v>6</v>
      </c>
      <c r="L133">
        <v>1</v>
      </c>
      <c r="M133" s="1" t="s">
        <v>120</v>
      </c>
      <c r="N133" s="1" t="s">
        <v>5</v>
      </c>
      <c r="O133" s="1" t="s">
        <v>6</v>
      </c>
      <c r="P133">
        <v>1</v>
      </c>
    </row>
    <row r="134" spans="1:16" x14ac:dyDescent="0.2">
      <c r="A134" s="1" t="s">
        <v>12</v>
      </c>
      <c r="B134" s="1" t="s">
        <v>13</v>
      </c>
      <c r="C134" s="1" t="s">
        <v>6</v>
      </c>
      <c r="D134">
        <v>2</v>
      </c>
      <c r="E134" s="1" t="s">
        <v>106</v>
      </c>
      <c r="F134" s="1" t="s">
        <v>5</v>
      </c>
      <c r="G134" s="1" t="s">
        <v>6</v>
      </c>
      <c r="H134">
        <v>1</v>
      </c>
      <c r="I134" s="1" t="s">
        <v>109</v>
      </c>
      <c r="J134" s="1" t="s">
        <v>13</v>
      </c>
      <c r="K134" s="1" t="s">
        <v>6</v>
      </c>
      <c r="L134">
        <v>1</v>
      </c>
      <c r="M134" s="1" t="s">
        <v>121</v>
      </c>
      <c r="N134" s="1" t="s">
        <v>40</v>
      </c>
      <c r="O134" s="1" t="s">
        <v>6</v>
      </c>
      <c r="P134">
        <v>2</v>
      </c>
    </row>
    <row r="135" spans="1:16" x14ac:dyDescent="0.2">
      <c r="A135" s="1" t="s">
        <v>12</v>
      </c>
      <c r="B135" s="1" t="s">
        <v>5</v>
      </c>
      <c r="C135" s="1" t="s">
        <v>6</v>
      </c>
      <c r="D135">
        <v>1</v>
      </c>
      <c r="E135" s="1" t="s">
        <v>107</v>
      </c>
      <c r="F135" s="1" t="s">
        <v>5</v>
      </c>
      <c r="G135" s="1" t="s">
        <v>6</v>
      </c>
      <c r="H135">
        <v>1</v>
      </c>
      <c r="I135" s="1" t="s">
        <v>110</v>
      </c>
      <c r="J135" s="1" t="s">
        <v>5</v>
      </c>
      <c r="K135" s="1" t="s">
        <v>6</v>
      </c>
      <c r="L135">
        <v>1</v>
      </c>
      <c r="M135" s="1" t="s">
        <v>121</v>
      </c>
      <c r="N135" s="1" t="s">
        <v>41</v>
      </c>
      <c r="O135" s="1" t="s">
        <v>6</v>
      </c>
      <c r="P135">
        <v>2</v>
      </c>
    </row>
    <row r="136" spans="1:16" x14ac:dyDescent="0.2">
      <c r="A136" s="1" t="s">
        <v>25</v>
      </c>
      <c r="B136" s="1" t="s">
        <v>5</v>
      </c>
      <c r="C136" s="1" t="s">
        <v>6</v>
      </c>
      <c r="D136">
        <v>2</v>
      </c>
      <c r="E136" s="1" t="s">
        <v>108</v>
      </c>
      <c r="F136" s="1" t="s">
        <v>5</v>
      </c>
      <c r="G136" s="1" t="s">
        <v>6</v>
      </c>
      <c r="H136">
        <v>1</v>
      </c>
      <c r="I136" s="1" t="s">
        <v>112</v>
      </c>
      <c r="J136" s="1" t="s">
        <v>5</v>
      </c>
      <c r="K136" s="1" t="s">
        <v>6</v>
      </c>
      <c r="L136">
        <v>1</v>
      </c>
      <c r="M136" s="1" t="s">
        <v>121</v>
      </c>
      <c r="N136" s="1" t="s">
        <v>28</v>
      </c>
      <c r="O136" s="1" t="s">
        <v>6</v>
      </c>
      <c r="P136">
        <v>1</v>
      </c>
    </row>
    <row r="137" spans="1:16" x14ac:dyDescent="0.2">
      <c r="A137" s="1" t="s">
        <v>7</v>
      </c>
      <c r="B137" s="1" t="s">
        <v>5</v>
      </c>
      <c r="C137" s="1" t="s">
        <v>6</v>
      </c>
      <c r="D137">
        <v>1</v>
      </c>
      <c r="E137" s="1" t="s">
        <v>108</v>
      </c>
      <c r="F137" s="1" t="s">
        <v>42</v>
      </c>
      <c r="G137" s="1" t="s">
        <v>6</v>
      </c>
      <c r="H137">
        <v>1</v>
      </c>
      <c r="I137" s="1" t="s">
        <v>235</v>
      </c>
      <c r="J137" s="1" t="s">
        <v>28</v>
      </c>
      <c r="K137" s="1" t="s">
        <v>6</v>
      </c>
      <c r="L137">
        <v>1</v>
      </c>
      <c r="M137" s="1" t="s">
        <v>125</v>
      </c>
      <c r="N137" s="1" t="s">
        <v>42</v>
      </c>
      <c r="O137" s="1" t="s">
        <v>6</v>
      </c>
      <c r="P137">
        <v>6</v>
      </c>
    </row>
    <row r="138" spans="1:16" x14ac:dyDescent="0.2">
      <c r="A138" s="1" t="s">
        <v>37</v>
      </c>
      <c r="B138" s="1" t="s">
        <v>30</v>
      </c>
      <c r="C138" s="1" t="s">
        <v>6</v>
      </c>
      <c r="D138">
        <v>1</v>
      </c>
      <c r="E138" s="1" t="s">
        <v>109</v>
      </c>
      <c r="F138" s="1" t="s">
        <v>13</v>
      </c>
      <c r="G138" s="1" t="s">
        <v>6</v>
      </c>
      <c r="H138">
        <v>1</v>
      </c>
      <c r="I138" s="1" t="s">
        <v>235</v>
      </c>
      <c r="J138" s="1" t="s">
        <v>5</v>
      </c>
      <c r="K138" s="1" t="s">
        <v>6</v>
      </c>
      <c r="L138">
        <v>2</v>
      </c>
      <c r="M138" s="1" t="s">
        <v>126</v>
      </c>
      <c r="N138" s="1" t="s">
        <v>5</v>
      </c>
      <c r="O138" s="1" t="s">
        <v>6</v>
      </c>
      <c r="P138">
        <v>1</v>
      </c>
    </row>
    <row r="139" spans="1:16" x14ac:dyDescent="0.2">
      <c r="A139" s="1" t="s">
        <v>37</v>
      </c>
      <c r="B139" s="1" t="s">
        <v>28</v>
      </c>
      <c r="C139" s="1" t="s">
        <v>6</v>
      </c>
      <c r="D139">
        <v>1</v>
      </c>
      <c r="E139" s="1" t="s">
        <v>110</v>
      </c>
      <c r="F139" s="1" t="s">
        <v>5</v>
      </c>
      <c r="G139" s="1" t="s">
        <v>6</v>
      </c>
      <c r="H139">
        <v>2</v>
      </c>
      <c r="I139" s="1" t="s">
        <v>114</v>
      </c>
      <c r="J139" s="1" t="s">
        <v>28</v>
      </c>
      <c r="K139" s="1" t="s">
        <v>6</v>
      </c>
      <c r="L139">
        <v>3</v>
      </c>
      <c r="M139" s="1" t="s">
        <v>128</v>
      </c>
      <c r="N139" s="1" t="s">
        <v>5</v>
      </c>
      <c r="O139" s="1" t="s">
        <v>6</v>
      </c>
      <c r="P139">
        <v>1</v>
      </c>
    </row>
    <row r="140" spans="1:16" x14ac:dyDescent="0.2">
      <c r="A140" s="1" t="s">
        <v>154</v>
      </c>
      <c r="B140" s="1" t="s">
        <v>5</v>
      </c>
      <c r="C140" s="1" t="s">
        <v>6</v>
      </c>
      <c r="D140">
        <v>1</v>
      </c>
      <c r="E140" s="1" t="s">
        <v>112</v>
      </c>
      <c r="F140" s="1" t="s">
        <v>5</v>
      </c>
      <c r="G140" s="1" t="s">
        <v>6</v>
      </c>
      <c r="H140">
        <v>1</v>
      </c>
      <c r="I140" s="1" t="s">
        <v>115</v>
      </c>
      <c r="J140" s="1" t="s">
        <v>5</v>
      </c>
      <c r="K140" s="1" t="s">
        <v>6</v>
      </c>
      <c r="L140">
        <v>3</v>
      </c>
      <c r="M140" s="1" t="s">
        <v>128</v>
      </c>
      <c r="N140" s="1" t="s">
        <v>40</v>
      </c>
      <c r="O140" s="1" t="s">
        <v>6</v>
      </c>
      <c r="P140">
        <v>4</v>
      </c>
    </row>
    <row r="141" spans="1:16" x14ac:dyDescent="0.2">
      <c r="A141" s="1" t="s">
        <v>17</v>
      </c>
      <c r="B141" s="1" t="s">
        <v>5</v>
      </c>
      <c r="C141" s="1" t="s">
        <v>6</v>
      </c>
      <c r="D141">
        <v>2</v>
      </c>
      <c r="E141" s="1" t="s">
        <v>113</v>
      </c>
      <c r="F141" s="1" t="s">
        <v>5</v>
      </c>
      <c r="G141" s="1" t="s">
        <v>6</v>
      </c>
      <c r="H141">
        <v>1</v>
      </c>
      <c r="I141" s="1" t="s">
        <v>236</v>
      </c>
      <c r="J141" s="1" t="s">
        <v>13</v>
      </c>
      <c r="K141" s="1" t="s">
        <v>6</v>
      </c>
      <c r="L141">
        <v>4</v>
      </c>
      <c r="M141" s="1" t="s">
        <v>128</v>
      </c>
      <c r="N141" s="1" t="s">
        <v>41</v>
      </c>
      <c r="O141" s="1" t="s">
        <v>6</v>
      </c>
      <c r="P141">
        <v>4</v>
      </c>
    </row>
    <row r="142" spans="1:16" x14ac:dyDescent="0.2">
      <c r="A142" s="1" t="s">
        <v>161</v>
      </c>
      <c r="B142" s="1" t="s">
        <v>5</v>
      </c>
      <c r="C142" s="1" t="s">
        <v>6</v>
      </c>
      <c r="D142">
        <v>1</v>
      </c>
      <c r="E142" s="1" t="s">
        <v>204</v>
      </c>
      <c r="F142" s="1" t="s">
        <v>5</v>
      </c>
      <c r="G142" s="1" t="s">
        <v>6</v>
      </c>
      <c r="H142">
        <v>5</v>
      </c>
      <c r="I142" s="1" t="s">
        <v>236</v>
      </c>
      <c r="J142" s="1" t="s">
        <v>5</v>
      </c>
      <c r="K142" s="1" t="s">
        <v>6</v>
      </c>
      <c r="L142">
        <v>3</v>
      </c>
      <c r="M142" s="1" t="s">
        <v>128</v>
      </c>
      <c r="N142" s="1" t="s">
        <v>30</v>
      </c>
      <c r="O142" s="1" t="s">
        <v>6</v>
      </c>
      <c r="P142">
        <v>3</v>
      </c>
    </row>
    <row r="143" spans="1:16" x14ac:dyDescent="0.2">
      <c r="A143" s="1" t="s">
        <v>96</v>
      </c>
      <c r="B143" s="1" t="s">
        <v>5</v>
      </c>
      <c r="C143" s="1" t="s">
        <v>6</v>
      </c>
      <c r="D143">
        <v>1</v>
      </c>
      <c r="E143" s="1" t="s">
        <v>114</v>
      </c>
      <c r="F143" s="1" t="s">
        <v>13</v>
      </c>
      <c r="G143" s="1" t="s">
        <v>6</v>
      </c>
      <c r="H143">
        <v>1</v>
      </c>
      <c r="I143" s="1" t="s">
        <v>116</v>
      </c>
      <c r="J143" s="1" t="s">
        <v>5</v>
      </c>
      <c r="K143" s="1" t="s">
        <v>6</v>
      </c>
      <c r="L143">
        <v>2</v>
      </c>
      <c r="M143" s="1" t="s">
        <v>128</v>
      </c>
      <c r="N143" s="1" t="s">
        <v>42</v>
      </c>
      <c r="O143" s="1" t="s">
        <v>6</v>
      </c>
      <c r="P143">
        <v>1</v>
      </c>
    </row>
    <row r="144" spans="1:16" x14ac:dyDescent="0.2">
      <c r="A144" s="1" t="s">
        <v>96</v>
      </c>
      <c r="B144" s="1" t="s">
        <v>30</v>
      </c>
      <c r="C144" s="1" t="s">
        <v>6</v>
      </c>
      <c r="D144">
        <v>1</v>
      </c>
      <c r="E144" s="1" t="s">
        <v>115</v>
      </c>
      <c r="F144" s="1" t="s">
        <v>5</v>
      </c>
      <c r="G144" s="1" t="s">
        <v>6</v>
      </c>
      <c r="H144">
        <v>1</v>
      </c>
      <c r="I144" s="1" t="s">
        <v>116</v>
      </c>
      <c r="J144" s="1" t="s">
        <v>28</v>
      </c>
      <c r="K144" s="1" t="s">
        <v>6</v>
      </c>
      <c r="L144">
        <v>1</v>
      </c>
      <c r="M144" s="1" t="s">
        <v>129</v>
      </c>
      <c r="N144" s="1" t="s">
        <v>5</v>
      </c>
      <c r="O144" s="1" t="s">
        <v>6</v>
      </c>
      <c r="P144">
        <v>4</v>
      </c>
    </row>
    <row r="145" spans="1:16" x14ac:dyDescent="0.2">
      <c r="A145" s="1" t="s">
        <v>159</v>
      </c>
      <c r="B145" s="1" t="s">
        <v>5</v>
      </c>
      <c r="C145" s="1" t="s">
        <v>6</v>
      </c>
      <c r="D145">
        <v>1</v>
      </c>
      <c r="E145" s="1" t="s">
        <v>116</v>
      </c>
      <c r="F145" s="1" t="s">
        <v>5</v>
      </c>
      <c r="G145" s="1" t="s">
        <v>6</v>
      </c>
      <c r="H145">
        <v>2</v>
      </c>
      <c r="I145" s="1" t="s">
        <v>117</v>
      </c>
      <c r="J145" s="1" t="s">
        <v>28</v>
      </c>
      <c r="K145" s="1" t="s">
        <v>6</v>
      </c>
      <c r="L145">
        <v>2</v>
      </c>
      <c r="M145" s="1" t="s">
        <v>130</v>
      </c>
      <c r="N145" s="1" t="s">
        <v>5</v>
      </c>
      <c r="O145" s="1" t="s">
        <v>6</v>
      </c>
      <c r="P145">
        <v>1</v>
      </c>
    </row>
    <row r="146" spans="1:16" x14ac:dyDescent="0.2">
      <c r="A146" s="1" t="s">
        <v>144</v>
      </c>
      <c r="B146" s="1" t="s">
        <v>13</v>
      </c>
      <c r="C146" s="1" t="s">
        <v>6</v>
      </c>
      <c r="D146">
        <v>2</v>
      </c>
      <c r="E146" s="1" t="s">
        <v>116</v>
      </c>
      <c r="F146" s="1" t="s">
        <v>28</v>
      </c>
      <c r="G146" s="1" t="s">
        <v>6</v>
      </c>
      <c r="H146">
        <v>1</v>
      </c>
      <c r="I146" s="1" t="s">
        <v>118</v>
      </c>
      <c r="J146" s="1" t="s">
        <v>5</v>
      </c>
      <c r="K146" s="1" t="s">
        <v>6</v>
      </c>
      <c r="L146">
        <v>4</v>
      </c>
      <c r="M146" s="1" t="s">
        <v>131</v>
      </c>
      <c r="N146" s="1" t="s">
        <v>5</v>
      </c>
      <c r="O146" s="1" t="s">
        <v>6</v>
      </c>
      <c r="P146">
        <v>2</v>
      </c>
    </row>
    <row r="147" spans="1:16" x14ac:dyDescent="0.2">
      <c r="A147" s="1" t="s">
        <v>144</v>
      </c>
      <c r="B147" s="1" t="s">
        <v>5</v>
      </c>
      <c r="C147" s="1" t="s">
        <v>6</v>
      </c>
      <c r="D147">
        <v>1</v>
      </c>
      <c r="E147" s="1" t="s">
        <v>117</v>
      </c>
      <c r="F147" s="1" t="s">
        <v>28</v>
      </c>
      <c r="G147" s="1" t="s">
        <v>6</v>
      </c>
      <c r="H147">
        <v>2</v>
      </c>
      <c r="I147" s="1" t="s">
        <v>119</v>
      </c>
      <c r="J147" s="1" t="s">
        <v>13</v>
      </c>
      <c r="K147" s="1" t="s">
        <v>6</v>
      </c>
      <c r="L147">
        <v>2</v>
      </c>
      <c r="M147" s="1" t="s">
        <v>132</v>
      </c>
      <c r="N147" s="1" t="s">
        <v>5</v>
      </c>
      <c r="O147" s="1" t="s">
        <v>6</v>
      </c>
      <c r="P147">
        <v>1</v>
      </c>
    </row>
    <row r="148" spans="1:16" x14ac:dyDescent="0.2">
      <c r="A148" s="1" t="s">
        <v>91</v>
      </c>
      <c r="B148" s="1" t="s">
        <v>5</v>
      </c>
      <c r="C148" s="1" t="s">
        <v>6</v>
      </c>
      <c r="D148">
        <v>1</v>
      </c>
      <c r="E148" s="1" t="s">
        <v>119</v>
      </c>
      <c r="F148" s="1" t="s">
        <v>13</v>
      </c>
      <c r="G148" s="1" t="s">
        <v>6</v>
      </c>
      <c r="H148">
        <v>2</v>
      </c>
      <c r="I148" s="1" t="s">
        <v>119</v>
      </c>
      <c r="J148" s="1" t="s">
        <v>5</v>
      </c>
      <c r="K148" s="1" t="s">
        <v>6</v>
      </c>
      <c r="L148">
        <v>3</v>
      </c>
      <c r="M148" s="1" t="s">
        <v>207</v>
      </c>
      <c r="N148" s="1" t="s">
        <v>5</v>
      </c>
      <c r="O148" s="1" t="s">
        <v>6</v>
      </c>
      <c r="P148">
        <v>2</v>
      </c>
    </row>
    <row r="149" spans="1:16" x14ac:dyDescent="0.2">
      <c r="A149" s="1" t="s">
        <v>163</v>
      </c>
      <c r="B149" s="1" t="s">
        <v>5</v>
      </c>
      <c r="C149" s="1" t="s">
        <v>6</v>
      </c>
      <c r="D149">
        <v>1</v>
      </c>
      <c r="E149" s="1" t="s">
        <v>119</v>
      </c>
      <c r="F149" s="1" t="s">
        <v>5</v>
      </c>
      <c r="G149" s="1" t="s">
        <v>6</v>
      </c>
      <c r="H149">
        <v>3</v>
      </c>
      <c r="I149" s="1" t="s">
        <v>120</v>
      </c>
      <c r="J149" s="1" t="s">
        <v>5</v>
      </c>
      <c r="K149" s="1" t="s">
        <v>6</v>
      </c>
      <c r="L149">
        <v>1</v>
      </c>
      <c r="M149" s="1" t="s">
        <v>134</v>
      </c>
      <c r="N149" s="1" t="s">
        <v>5</v>
      </c>
      <c r="O149" s="1" t="s">
        <v>6</v>
      </c>
      <c r="P149">
        <v>1</v>
      </c>
    </row>
    <row r="150" spans="1:16" x14ac:dyDescent="0.2">
      <c r="A150" s="1" t="s">
        <v>125</v>
      </c>
      <c r="B150" s="1" t="s">
        <v>5</v>
      </c>
      <c r="C150" s="1" t="s">
        <v>6</v>
      </c>
      <c r="D150">
        <v>1</v>
      </c>
      <c r="E150" s="1" t="s">
        <v>121</v>
      </c>
      <c r="F150" s="1" t="s">
        <v>40</v>
      </c>
      <c r="G150" s="1" t="s">
        <v>6</v>
      </c>
      <c r="H150">
        <v>2</v>
      </c>
      <c r="I150" s="1" t="s">
        <v>121</v>
      </c>
      <c r="J150" s="1" t="s">
        <v>40</v>
      </c>
      <c r="K150" s="1" t="s">
        <v>6</v>
      </c>
      <c r="L150">
        <v>2</v>
      </c>
      <c r="M150" s="1" t="s">
        <v>208</v>
      </c>
      <c r="N150" s="1" t="s">
        <v>13</v>
      </c>
      <c r="O150" s="1" t="s">
        <v>6</v>
      </c>
      <c r="P150">
        <v>4</v>
      </c>
    </row>
    <row r="151" spans="1:16" x14ac:dyDescent="0.2">
      <c r="A151" s="1" t="s">
        <v>31</v>
      </c>
      <c r="B151" s="1" t="s">
        <v>5</v>
      </c>
      <c r="C151" s="1" t="s">
        <v>6</v>
      </c>
      <c r="D151">
        <v>2</v>
      </c>
      <c r="E151" s="1" t="s">
        <v>121</v>
      </c>
      <c r="F151" s="1" t="s">
        <v>41</v>
      </c>
      <c r="G151" s="1" t="s">
        <v>6</v>
      </c>
      <c r="H151">
        <v>2</v>
      </c>
      <c r="I151" s="1" t="s">
        <v>121</v>
      </c>
      <c r="J151" s="1" t="s">
        <v>41</v>
      </c>
      <c r="K151" s="1" t="s">
        <v>6</v>
      </c>
      <c r="L151">
        <v>2</v>
      </c>
      <c r="M151" s="1" t="s">
        <v>209</v>
      </c>
      <c r="N151" s="1" t="s">
        <v>13</v>
      </c>
      <c r="O151" s="1" t="s">
        <v>6</v>
      </c>
      <c r="P151">
        <v>1</v>
      </c>
    </row>
    <row r="152" spans="1:16" x14ac:dyDescent="0.2">
      <c r="A152" s="1" t="s">
        <v>31</v>
      </c>
      <c r="B152" s="1" t="s">
        <v>28</v>
      </c>
      <c r="C152" s="1" t="s">
        <v>6</v>
      </c>
      <c r="D152">
        <v>1</v>
      </c>
      <c r="E152" s="1" t="s">
        <v>121</v>
      </c>
      <c r="F152" s="1" t="s">
        <v>28</v>
      </c>
      <c r="G152" s="1" t="s">
        <v>6</v>
      </c>
      <c r="H152">
        <v>1</v>
      </c>
      <c r="I152" s="1" t="s">
        <v>121</v>
      </c>
      <c r="J152" s="1" t="s">
        <v>28</v>
      </c>
      <c r="K152" s="1" t="s">
        <v>6</v>
      </c>
      <c r="L152">
        <v>1</v>
      </c>
      <c r="M152" s="1" t="s">
        <v>252</v>
      </c>
      <c r="N152" s="1" t="s">
        <v>5</v>
      </c>
      <c r="O152" s="1" t="s">
        <v>6</v>
      </c>
      <c r="P152">
        <v>2</v>
      </c>
    </row>
    <row r="153" spans="1:16" x14ac:dyDescent="0.2">
      <c r="A153" s="1" t="s">
        <v>162</v>
      </c>
      <c r="B153" s="1" t="s">
        <v>42</v>
      </c>
      <c r="C153" s="1" t="s">
        <v>6</v>
      </c>
      <c r="D153">
        <v>5</v>
      </c>
      <c r="E153" s="1" t="s">
        <v>122</v>
      </c>
      <c r="F153" s="1" t="s">
        <v>5</v>
      </c>
      <c r="G153" s="1" t="s">
        <v>6</v>
      </c>
      <c r="H153">
        <v>4</v>
      </c>
      <c r="I153" s="1" t="s">
        <v>122</v>
      </c>
      <c r="J153" s="1" t="s">
        <v>5</v>
      </c>
      <c r="K153" s="1" t="s">
        <v>6</v>
      </c>
      <c r="L153">
        <v>1</v>
      </c>
      <c r="M153" s="1" t="s">
        <v>136</v>
      </c>
      <c r="N153" s="1" t="s">
        <v>5</v>
      </c>
      <c r="O153" s="1" t="s">
        <v>6</v>
      </c>
      <c r="P153">
        <v>6</v>
      </c>
    </row>
    <row r="154" spans="1:16" x14ac:dyDescent="0.2">
      <c r="A154" s="1" t="s">
        <v>60</v>
      </c>
      <c r="B154" s="1" t="s">
        <v>13</v>
      </c>
      <c r="C154" s="1" t="s">
        <v>6</v>
      </c>
      <c r="D154">
        <v>1</v>
      </c>
      <c r="E154" s="1" t="s">
        <v>123</v>
      </c>
      <c r="F154" s="1" t="s">
        <v>5</v>
      </c>
      <c r="G154" s="1" t="s">
        <v>6</v>
      </c>
      <c r="H154">
        <v>4</v>
      </c>
      <c r="I154" s="1" t="s">
        <v>125</v>
      </c>
      <c r="J154" s="1" t="s">
        <v>5</v>
      </c>
      <c r="K154" s="1" t="s">
        <v>6</v>
      </c>
      <c r="L154">
        <v>1</v>
      </c>
      <c r="M154" s="1" t="s">
        <v>137</v>
      </c>
      <c r="N154" s="1" t="s">
        <v>13</v>
      </c>
      <c r="O154" s="1" t="s">
        <v>6</v>
      </c>
      <c r="P154">
        <v>3</v>
      </c>
    </row>
    <row r="155" spans="1:16" x14ac:dyDescent="0.2">
      <c r="A155" s="1" t="s">
        <v>78</v>
      </c>
      <c r="B155" s="1" t="s">
        <v>5</v>
      </c>
      <c r="C155" s="1" t="s">
        <v>6</v>
      </c>
      <c r="D155">
        <v>1</v>
      </c>
      <c r="E155" s="1" t="s">
        <v>125</v>
      </c>
      <c r="F155" s="1" t="s">
        <v>42</v>
      </c>
      <c r="G155" s="1" t="s">
        <v>6</v>
      </c>
      <c r="H155">
        <v>6</v>
      </c>
      <c r="I155" s="1" t="s">
        <v>126</v>
      </c>
      <c r="J155" s="1" t="s">
        <v>5</v>
      </c>
      <c r="K155" s="1" t="s">
        <v>6</v>
      </c>
      <c r="L155">
        <v>2</v>
      </c>
      <c r="M155" s="1" t="s">
        <v>138</v>
      </c>
      <c r="N155" s="1" t="s">
        <v>5</v>
      </c>
      <c r="O155" s="1" t="s">
        <v>6</v>
      </c>
      <c r="P155">
        <v>2</v>
      </c>
    </row>
    <row r="156" spans="1:16" x14ac:dyDescent="0.2">
      <c r="A156" s="1" t="s">
        <v>105</v>
      </c>
      <c r="B156" s="1" t="s">
        <v>30</v>
      </c>
      <c r="C156" s="1" t="s">
        <v>6</v>
      </c>
      <c r="D156">
        <v>3</v>
      </c>
      <c r="E156" s="1" t="s">
        <v>126</v>
      </c>
      <c r="F156" s="1" t="s">
        <v>5</v>
      </c>
      <c r="G156" s="1" t="s">
        <v>6</v>
      </c>
      <c r="H156">
        <v>2</v>
      </c>
      <c r="I156" s="1" t="s">
        <v>206</v>
      </c>
      <c r="J156" s="1" t="s">
        <v>13</v>
      </c>
      <c r="K156" s="1" t="s">
        <v>6</v>
      </c>
      <c r="L156">
        <v>1</v>
      </c>
      <c r="M156" s="1" t="s">
        <v>139</v>
      </c>
      <c r="N156" s="1" t="s">
        <v>5</v>
      </c>
      <c r="O156" s="1" t="s">
        <v>6</v>
      </c>
      <c r="P156">
        <v>1</v>
      </c>
    </row>
    <row r="157" spans="1:16" x14ac:dyDescent="0.2">
      <c r="A157" s="1" t="s">
        <v>105</v>
      </c>
      <c r="B157" s="1" t="s">
        <v>42</v>
      </c>
      <c r="C157" s="1" t="s">
        <v>6</v>
      </c>
      <c r="D157">
        <v>1</v>
      </c>
      <c r="E157" s="1" t="s">
        <v>205</v>
      </c>
      <c r="F157" s="1" t="s">
        <v>13</v>
      </c>
      <c r="G157" s="1" t="s">
        <v>6</v>
      </c>
      <c r="H157">
        <v>4</v>
      </c>
      <c r="I157" s="1" t="s">
        <v>128</v>
      </c>
      <c r="J157" s="1" t="s">
        <v>5</v>
      </c>
      <c r="K157" s="1" t="s">
        <v>6</v>
      </c>
      <c r="L157">
        <v>1</v>
      </c>
      <c r="M157" s="1" t="s">
        <v>170</v>
      </c>
      <c r="N157" s="1" t="s">
        <v>5</v>
      </c>
      <c r="O157" s="1" t="s">
        <v>6</v>
      </c>
      <c r="P157">
        <v>5</v>
      </c>
    </row>
    <row r="158" spans="1:16" x14ac:dyDescent="0.2">
      <c r="A158" s="1" t="s">
        <v>73</v>
      </c>
      <c r="B158" s="1" t="s">
        <v>5</v>
      </c>
      <c r="C158" s="1" t="s">
        <v>6</v>
      </c>
      <c r="D158">
        <v>1</v>
      </c>
      <c r="E158" s="1" t="s">
        <v>205</v>
      </c>
      <c r="F158" s="1" t="s">
        <v>5</v>
      </c>
      <c r="G158" s="1" t="s">
        <v>6</v>
      </c>
      <c r="H158">
        <v>2</v>
      </c>
      <c r="I158" s="1" t="s">
        <v>128</v>
      </c>
      <c r="J158" s="1" t="s">
        <v>40</v>
      </c>
      <c r="K158" s="1" t="s">
        <v>6</v>
      </c>
      <c r="L158">
        <v>8</v>
      </c>
      <c r="M158" s="1" t="s">
        <v>142</v>
      </c>
      <c r="N158" s="1" t="s">
        <v>5</v>
      </c>
      <c r="O158" s="1" t="s">
        <v>6</v>
      </c>
      <c r="P158">
        <v>3</v>
      </c>
    </row>
    <row r="159" spans="1:16" x14ac:dyDescent="0.2">
      <c r="A159" s="1" t="s">
        <v>16</v>
      </c>
      <c r="B159" s="1" t="s">
        <v>5</v>
      </c>
      <c r="C159" s="1" t="s">
        <v>6</v>
      </c>
      <c r="D159">
        <v>1</v>
      </c>
      <c r="E159" s="1" t="s">
        <v>206</v>
      </c>
      <c r="F159" s="1" t="s">
        <v>13</v>
      </c>
      <c r="G159" s="1" t="s">
        <v>6</v>
      </c>
      <c r="H159">
        <v>1</v>
      </c>
      <c r="I159" s="1" t="s">
        <v>128</v>
      </c>
      <c r="J159" s="1" t="s">
        <v>41</v>
      </c>
      <c r="K159" s="1" t="s">
        <v>6</v>
      </c>
      <c r="L159">
        <v>8</v>
      </c>
      <c r="M159" s="1" t="s">
        <v>143</v>
      </c>
      <c r="N159" s="1" t="s">
        <v>5</v>
      </c>
      <c r="O159" s="1" t="s">
        <v>6</v>
      </c>
      <c r="P159">
        <v>2</v>
      </c>
    </row>
    <row r="160" spans="1:16" x14ac:dyDescent="0.2">
      <c r="A160" s="1" t="s">
        <v>57</v>
      </c>
      <c r="B160" s="1" t="s">
        <v>5</v>
      </c>
      <c r="C160" s="1" t="s">
        <v>6</v>
      </c>
      <c r="D160">
        <v>1</v>
      </c>
      <c r="E160" s="1" t="s">
        <v>128</v>
      </c>
      <c r="F160" s="1" t="s">
        <v>5</v>
      </c>
      <c r="G160" s="1" t="s">
        <v>6</v>
      </c>
      <c r="H160">
        <v>1</v>
      </c>
      <c r="I160" s="1" t="s">
        <v>129</v>
      </c>
      <c r="J160" s="1" t="s">
        <v>5</v>
      </c>
      <c r="K160" s="1" t="s">
        <v>6</v>
      </c>
      <c r="L160">
        <v>4</v>
      </c>
      <c r="M160" s="1" t="s">
        <v>144</v>
      </c>
      <c r="N160" s="1" t="s">
        <v>13</v>
      </c>
      <c r="O160" s="1" t="s">
        <v>6</v>
      </c>
      <c r="P160">
        <v>4</v>
      </c>
    </row>
    <row r="161" spans="1:16" x14ac:dyDescent="0.2">
      <c r="A161" s="1" t="s">
        <v>11</v>
      </c>
      <c r="B161" s="1" t="s">
        <v>5</v>
      </c>
      <c r="C161" s="1" t="s">
        <v>6</v>
      </c>
      <c r="D161">
        <v>2</v>
      </c>
      <c r="E161" s="1" t="s">
        <v>128</v>
      </c>
      <c r="F161" s="1" t="s">
        <v>40</v>
      </c>
      <c r="G161" s="1" t="s">
        <v>6</v>
      </c>
      <c r="H161">
        <v>6</v>
      </c>
      <c r="I161" s="1" t="s">
        <v>130</v>
      </c>
      <c r="J161" s="1" t="s">
        <v>5</v>
      </c>
      <c r="K161" s="1" t="s">
        <v>6</v>
      </c>
      <c r="L161">
        <v>2</v>
      </c>
      <c r="M161" s="1" t="s">
        <v>144</v>
      </c>
      <c r="N161" s="1" t="s">
        <v>5</v>
      </c>
      <c r="O161" s="1" t="s">
        <v>6</v>
      </c>
      <c r="P161">
        <v>3</v>
      </c>
    </row>
    <row r="162" spans="1:16" x14ac:dyDescent="0.2">
      <c r="A162" s="1" t="s">
        <v>15</v>
      </c>
      <c r="B162" s="1" t="s">
        <v>5</v>
      </c>
      <c r="C162" s="1" t="s">
        <v>6</v>
      </c>
      <c r="D162">
        <v>1</v>
      </c>
      <c r="E162" s="1" t="s">
        <v>128</v>
      </c>
      <c r="F162" s="1" t="s">
        <v>41</v>
      </c>
      <c r="G162" s="1" t="s">
        <v>6</v>
      </c>
      <c r="H162">
        <v>6</v>
      </c>
      <c r="I162" s="1" t="s">
        <v>131</v>
      </c>
      <c r="J162" s="1" t="s">
        <v>5</v>
      </c>
      <c r="K162" s="1" t="s">
        <v>6</v>
      </c>
      <c r="L162">
        <v>2</v>
      </c>
      <c r="M162" s="1" t="s">
        <v>146</v>
      </c>
      <c r="N162" s="1" t="s">
        <v>13</v>
      </c>
      <c r="O162" s="1" t="s">
        <v>6</v>
      </c>
      <c r="P162">
        <v>2</v>
      </c>
    </row>
    <row r="163" spans="1:16" x14ac:dyDescent="0.2">
      <c r="A163" s="1" t="s">
        <v>94</v>
      </c>
      <c r="B163" s="1" t="s">
        <v>13</v>
      </c>
      <c r="C163" s="1" t="s">
        <v>6</v>
      </c>
      <c r="D163">
        <v>2</v>
      </c>
      <c r="E163" s="1" t="s">
        <v>128</v>
      </c>
      <c r="F163" s="1" t="s">
        <v>30</v>
      </c>
      <c r="G163" s="1" t="s">
        <v>6</v>
      </c>
      <c r="H163">
        <v>2</v>
      </c>
      <c r="I163" s="1" t="s">
        <v>132</v>
      </c>
      <c r="J163" s="1" t="s">
        <v>5</v>
      </c>
      <c r="K163" s="1" t="s">
        <v>6</v>
      </c>
      <c r="L163">
        <v>3</v>
      </c>
      <c r="M163" s="1" t="s">
        <v>147</v>
      </c>
      <c r="N163" s="1" t="s">
        <v>42</v>
      </c>
      <c r="O163" s="1" t="s">
        <v>6</v>
      </c>
      <c r="P163">
        <v>5</v>
      </c>
    </row>
    <row r="164" spans="1:16" x14ac:dyDescent="0.2">
      <c r="A164" s="1" t="s">
        <v>112</v>
      </c>
      <c r="B164" s="1" t="s">
        <v>5</v>
      </c>
      <c r="C164" s="1" t="s">
        <v>6</v>
      </c>
      <c r="D164">
        <v>1</v>
      </c>
      <c r="E164" s="1" t="s">
        <v>128</v>
      </c>
      <c r="F164" s="1" t="s">
        <v>42</v>
      </c>
      <c r="G164" s="1" t="s">
        <v>6</v>
      </c>
      <c r="H164">
        <v>1</v>
      </c>
      <c r="I164" s="1" t="s">
        <v>133</v>
      </c>
      <c r="J164" s="1" t="s">
        <v>13</v>
      </c>
      <c r="K164" s="1" t="s">
        <v>6</v>
      </c>
      <c r="L164">
        <v>2</v>
      </c>
      <c r="M164" s="1" t="s">
        <v>148</v>
      </c>
      <c r="N164" s="1" t="s">
        <v>13</v>
      </c>
      <c r="O164" s="1" t="s">
        <v>6</v>
      </c>
      <c r="P164">
        <v>6</v>
      </c>
    </row>
    <row r="165" spans="1:16" x14ac:dyDescent="0.2">
      <c r="A165" s="1" t="s">
        <v>93</v>
      </c>
      <c r="B165" s="1" t="s">
        <v>5</v>
      </c>
      <c r="C165" s="1" t="s">
        <v>6</v>
      </c>
      <c r="D165">
        <v>2</v>
      </c>
      <c r="E165" s="1" t="s">
        <v>128</v>
      </c>
      <c r="F165" s="1" t="s">
        <v>28</v>
      </c>
      <c r="G165" s="1" t="s">
        <v>6</v>
      </c>
      <c r="H165">
        <v>2</v>
      </c>
      <c r="I165" s="1" t="s">
        <v>133</v>
      </c>
      <c r="J165" s="1" t="s">
        <v>5</v>
      </c>
      <c r="K165" s="1" t="s">
        <v>6</v>
      </c>
      <c r="L165">
        <v>1</v>
      </c>
      <c r="M165" s="1" t="s">
        <v>149</v>
      </c>
      <c r="N165" s="1" t="s">
        <v>52</v>
      </c>
      <c r="O165" s="1" t="s">
        <v>6</v>
      </c>
      <c r="P165">
        <v>1</v>
      </c>
    </row>
    <row r="166" spans="1:16" x14ac:dyDescent="0.2">
      <c r="A166" s="1" t="s">
        <v>93</v>
      </c>
      <c r="B166" s="1" t="s">
        <v>30</v>
      </c>
      <c r="C166" s="1" t="s">
        <v>6</v>
      </c>
      <c r="D166">
        <v>2</v>
      </c>
      <c r="E166" s="1" t="s">
        <v>129</v>
      </c>
      <c r="F166" s="1" t="s">
        <v>5</v>
      </c>
      <c r="G166" s="1" t="s">
        <v>6</v>
      </c>
      <c r="H166">
        <v>3</v>
      </c>
      <c r="I166" s="1" t="s">
        <v>134</v>
      </c>
      <c r="J166" s="1" t="s">
        <v>5</v>
      </c>
      <c r="K166" s="1" t="s">
        <v>6</v>
      </c>
      <c r="L166">
        <v>1</v>
      </c>
      <c r="M166" s="1" t="s">
        <v>214</v>
      </c>
      <c r="N166" s="1" t="s">
        <v>5</v>
      </c>
      <c r="O166" s="1" t="s">
        <v>6</v>
      </c>
      <c r="P166">
        <v>3</v>
      </c>
    </row>
    <row r="167" spans="1:16" x14ac:dyDescent="0.2">
      <c r="A167" s="1" t="s">
        <v>142</v>
      </c>
      <c r="B167" s="1" t="s">
        <v>5</v>
      </c>
      <c r="C167" s="1" t="s">
        <v>6</v>
      </c>
      <c r="D167">
        <v>3</v>
      </c>
      <c r="E167" s="1" t="s">
        <v>130</v>
      </c>
      <c r="F167" s="1" t="s">
        <v>5</v>
      </c>
      <c r="G167" s="1" t="s">
        <v>6</v>
      </c>
      <c r="H167">
        <v>2</v>
      </c>
      <c r="I167" s="1" t="s">
        <v>135</v>
      </c>
      <c r="J167" s="1" t="s">
        <v>5</v>
      </c>
      <c r="K167" s="1" t="s">
        <v>6</v>
      </c>
      <c r="L167">
        <v>1</v>
      </c>
      <c r="M167" s="1" t="s">
        <v>150</v>
      </c>
      <c r="N167" s="1" t="s">
        <v>5</v>
      </c>
      <c r="O167" s="1" t="s">
        <v>6</v>
      </c>
      <c r="P167">
        <v>1</v>
      </c>
    </row>
    <row r="168" spans="1:16" x14ac:dyDescent="0.2">
      <c r="A168" s="1" t="s">
        <v>110</v>
      </c>
      <c r="B168" s="1" t="s">
        <v>5</v>
      </c>
      <c r="C168" s="1" t="s">
        <v>6</v>
      </c>
      <c r="D168">
        <v>1</v>
      </c>
      <c r="E168" s="1" t="s">
        <v>131</v>
      </c>
      <c r="F168" s="1" t="s">
        <v>5</v>
      </c>
      <c r="G168" s="1" t="s">
        <v>6</v>
      </c>
      <c r="H168">
        <v>2</v>
      </c>
      <c r="I168" s="1" t="s">
        <v>209</v>
      </c>
      <c r="J168" s="1" t="s">
        <v>13</v>
      </c>
      <c r="K168" s="1" t="s">
        <v>6</v>
      </c>
      <c r="L168">
        <v>1</v>
      </c>
      <c r="M168" s="1" t="s">
        <v>253</v>
      </c>
      <c r="N168" s="1" t="s">
        <v>132</v>
      </c>
      <c r="O168" s="1" t="s">
        <v>6</v>
      </c>
      <c r="P168">
        <v>1</v>
      </c>
    </row>
    <row r="169" spans="1:16" x14ac:dyDescent="0.2">
      <c r="A169" s="1" t="s">
        <v>62</v>
      </c>
      <c r="B169" s="1" t="s">
        <v>5</v>
      </c>
      <c r="C169" s="1" t="s">
        <v>6</v>
      </c>
      <c r="D169">
        <v>1</v>
      </c>
      <c r="E169" s="1" t="s">
        <v>132</v>
      </c>
      <c r="F169" s="1" t="s">
        <v>5</v>
      </c>
      <c r="G169" s="1" t="s">
        <v>6</v>
      </c>
      <c r="H169">
        <v>1</v>
      </c>
      <c r="I169" s="1" t="s">
        <v>136</v>
      </c>
      <c r="J169" s="1" t="s">
        <v>5</v>
      </c>
      <c r="K169" s="1" t="s">
        <v>6</v>
      </c>
      <c r="L169">
        <v>6</v>
      </c>
      <c r="M169" s="1" t="s">
        <v>152</v>
      </c>
      <c r="N169" s="1" t="s">
        <v>5</v>
      </c>
      <c r="O169" s="1" t="s">
        <v>6</v>
      </c>
      <c r="P169">
        <v>1</v>
      </c>
    </row>
    <row r="170" spans="1:16" x14ac:dyDescent="0.2">
      <c r="A170" s="1" t="s">
        <v>83</v>
      </c>
      <c r="B170" s="1" t="s">
        <v>5</v>
      </c>
      <c r="C170" s="1" t="s">
        <v>6</v>
      </c>
      <c r="D170">
        <v>2</v>
      </c>
      <c r="E170" s="1" t="s">
        <v>132</v>
      </c>
      <c r="F170" s="1" t="s">
        <v>28</v>
      </c>
      <c r="G170" s="1" t="s">
        <v>6</v>
      </c>
      <c r="H170">
        <v>1</v>
      </c>
      <c r="I170" s="1" t="s">
        <v>137</v>
      </c>
      <c r="J170" s="1" t="s">
        <v>13</v>
      </c>
      <c r="K170" s="1" t="s">
        <v>6</v>
      </c>
      <c r="L170">
        <v>3</v>
      </c>
      <c r="M170" s="1" t="s">
        <v>153</v>
      </c>
      <c r="N170" s="1" t="s">
        <v>5</v>
      </c>
      <c r="O170" s="1" t="s">
        <v>6</v>
      </c>
      <c r="P170">
        <v>1</v>
      </c>
    </row>
    <row r="171" spans="1:16" x14ac:dyDescent="0.2">
      <c r="A171" s="1" t="s">
        <v>27</v>
      </c>
      <c r="B171" s="1" t="s">
        <v>28</v>
      </c>
      <c r="C171" s="1" t="s">
        <v>6</v>
      </c>
      <c r="D171">
        <v>2</v>
      </c>
      <c r="E171" s="1" t="s">
        <v>132</v>
      </c>
      <c r="F171" s="1" t="s">
        <v>30</v>
      </c>
      <c r="G171" s="1" t="s">
        <v>6</v>
      </c>
      <c r="H171">
        <v>1</v>
      </c>
      <c r="I171" s="1" t="s">
        <v>139</v>
      </c>
      <c r="J171" s="1" t="s">
        <v>5</v>
      </c>
      <c r="K171" s="1" t="s">
        <v>6</v>
      </c>
      <c r="L171">
        <v>1</v>
      </c>
      <c r="M171" s="1" t="s">
        <v>154</v>
      </c>
      <c r="N171" s="1" t="s">
        <v>5</v>
      </c>
      <c r="O171" s="1" t="s">
        <v>6</v>
      </c>
      <c r="P171">
        <v>1</v>
      </c>
    </row>
    <row r="172" spans="1:16" x14ac:dyDescent="0.2">
      <c r="A172" s="1" t="s">
        <v>97</v>
      </c>
      <c r="B172" s="1" t="s">
        <v>13</v>
      </c>
      <c r="C172" s="1" t="s">
        <v>6</v>
      </c>
      <c r="D172">
        <v>4</v>
      </c>
      <c r="E172" s="1" t="s">
        <v>133</v>
      </c>
      <c r="F172" s="1" t="s">
        <v>13</v>
      </c>
      <c r="G172" s="1" t="s">
        <v>6</v>
      </c>
      <c r="H172">
        <v>2</v>
      </c>
      <c r="I172" s="1" t="s">
        <v>170</v>
      </c>
      <c r="J172" s="1" t="s">
        <v>28</v>
      </c>
      <c r="K172" s="1" t="s">
        <v>6</v>
      </c>
      <c r="L172">
        <v>5</v>
      </c>
      <c r="M172" s="1" t="s">
        <v>216</v>
      </c>
      <c r="N172" s="1" t="s">
        <v>5</v>
      </c>
      <c r="O172" s="1" t="s">
        <v>6</v>
      </c>
      <c r="P172">
        <v>3</v>
      </c>
    </row>
    <row r="173" spans="1:16" x14ac:dyDescent="0.2">
      <c r="A173" s="1" t="s">
        <v>43</v>
      </c>
      <c r="B173" s="1" t="s">
        <v>5</v>
      </c>
      <c r="C173" s="1" t="s">
        <v>6</v>
      </c>
      <c r="D173">
        <v>1</v>
      </c>
      <c r="E173" s="1" t="s">
        <v>133</v>
      </c>
      <c r="F173" s="1" t="s">
        <v>5</v>
      </c>
      <c r="G173" s="1" t="s">
        <v>6</v>
      </c>
      <c r="H173">
        <v>1</v>
      </c>
      <c r="I173" s="1" t="s">
        <v>170</v>
      </c>
      <c r="J173" s="1" t="s">
        <v>5</v>
      </c>
      <c r="K173" s="1" t="s">
        <v>6</v>
      </c>
      <c r="L173">
        <v>5</v>
      </c>
      <c r="M173" s="1" t="s">
        <v>238</v>
      </c>
      <c r="N173" s="1" t="s">
        <v>42</v>
      </c>
      <c r="O173" s="1" t="s">
        <v>6</v>
      </c>
      <c r="P173">
        <v>1</v>
      </c>
    </row>
    <row r="174" spans="1:16" x14ac:dyDescent="0.2">
      <c r="A174" s="1" t="s">
        <v>70</v>
      </c>
      <c r="B174" s="1" t="s">
        <v>13</v>
      </c>
      <c r="C174" s="1" t="s">
        <v>6</v>
      </c>
      <c r="D174">
        <v>5</v>
      </c>
      <c r="E174" s="1" t="s">
        <v>207</v>
      </c>
      <c r="F174" s="1" t="s">
        <v>28</v>
      </c>
      <c r="G174" s="1" t="s">
        <v>6</v>
      </c>
      <c r="H174">
        <v>1</v>
      </c>
      <c r="I174" s="1" t="s">
        <v>140</v>
      </c>
      <c r="J174" s="1" t="s">
        <v>13</v>
      </c>
      <c r="K174" s="1" t="s">
        <v>6</v>
      </c>
      <c r="L174">
        <v>2</v>
      </c>
      <c r="M174" s="1" t="s">
        <v>217</v>
      </c>
      <c r="N174" s="1" t="s">
        <v>5</v>
      </c>
      <c r="O174" s="1" t="s">
        <v>6</v>
      </c>
      <c r="P174">
        <v>2</v>
      </c>
    </row>
    <row r="175" spans="1:16" x14ac:dyDescent="0.2">
      <c r="A175" s="1" t="s">
        <v>70</v>
      </c>
      <c r="B175" s="1" t="s">
        <v>5</v>
      </c>
      <c r="C175" s="1" t="s">
        <v>6</v>
      </c>
      <c r="D175">
        <v>4</v>
      </c>
      <c r="E175" s="1" t="s">
        <v>134</v>
      </c>
      <c r="F175" s="1" t="s">
        <v>5</v>
      </c>
      <c r="G175" s="1" t="s">
        <v>6</v>
      </c>
      <c r="H175">
        <v>1</v>
      </c>
      <c r="I175" s="1" t="s">
        <v>237</v>
      </c>
      <c r="J175" s="1" t="s">
        <v>5</v>
      </c>
      <c r="K175" s="1" t="s">
        <v>6</v>
      </c>
      <c r="L175">
        <v>2</v>
      </c>
      <c r="M175" s="1" t="s">
        <v>218</v>
      </c>
      <c r="N175" s="1" t="s">
        <v>5</v>
      </c>
      <c r="O175" s="1" t="s">
        <v>6</v>
      </c>
      <c r="P175">
        <v>6</v>
      </c>
    </row>
    <row r="176" spans="1:16" x14ac:dyDescent="0.2">
      <c r="A176" s="1" t="s">
        <v>149</v>
      </c>
      <c r="B176" s="1" t="s">
        <v>52</v>
      </c>
      <c r="C176" s="1" t="s">
        <v>6</v>
      </c>
      <c r="D176">
        <v>1</v>
      </c>
      <c r="E176" s="1" t="s">
        <v>208</v>
      </c>
      <c r="F176" s="1" t="s">
        <v>13</v>
      </c>
      <c r="G176" s="1" t="s">
        <v>6</v>
      </c>
      <c r="H176">
        <v>4</v>
      </c>
      <c r="I176" s="1" t="s">
        <v>237</v>
      </c>
      <c r="J176" s="1" t="s">
        <v>30</v>
      </c>
      <c r="K176" s="1" t="s">
        <v>6</v>
      </c>
      <c r="L176">
        <v>2</v>
      </c>
      <c r="M176" s="1" t="s">
        <v>218</v>
      </c>
      <c r="N176" s="1" t="s">
        <v>28</v>
      </c>
      <c r="O176" s="1" t="s">
        <v>6</v>
      </c>
      <c r="P176">
        <v>3</v>
      </c>
    </row>
    <row r="177" spans="1:16" x14ac:dyDescent="0.2">
      <c r="A177" s="1" t="s">
        <v>149</v>
      </c>
      <c r="B177" s="1" t="s">
        <v>42</v>
      </c>
      <c r="C177" s="1" t="s">
        <v>6</v>
      </c>
      <c r="D177">
        <v>1</v>
      </c>
      <c r="E177" s="1" t="s">
        <v>209</v>
      </c>
      <c r="F177" s="1" t="s">
        <v>13</v>
      </c>
      <c r="G177" s="1" t="s">
        <v>6</v>
      </c>
      <c r="H177">
        <v>1</v>
      </c>
      <c r="I177" s="1" t="s">
        <v>141</v>
      </c>
      <c r="J177" s="1" t="s">
        <v>5</v>
      </c>
      <c r="K177" s="1" t="s">
        <v>6</v>
      </c>
      <c r="L177">
        <v>1</v>
      </c>
      <c r="M177" s="1" t="s">
        <v>157</v>
      </c>
      <c r="N177" s="1" t="s">
        <v>42</v>
      </c>
      <c r="O177" s="1" t="s">
        <v>6</v>
      </c>
      <c r="P177">
        <v>4</v>
      </c>
    </row>
    <row r="178" spans="1:16" x14ac:dyDescent="0.2">
      <c r="A178" s="1" t="s">
        <v>104</v>
      </c>
      <c r="B178" s="1" t="s">
        <v>5</v>
      </c>
      <c r="C178" s="1" t="s">
        <v>6</v>
      </c>
      <c r="D178">
        <v>2</v>
      </c>
      <c r="E178" s="1" t="s">
        <v>210</v>
      </c>
      <c r="F178" s="1" t="s">
        <v>13</v>
      </c>
      <c r="G178" s="1" t="s">
        <v>6</v>
      </c>
      <c r="H178">
        <v>3</v>
      </c>
      <c r="I178" s="1" t="s">
        <v>41</v>
      </c>
      <c r="J178" s="1" t="s">
        <v>13</v>
      </c>
      <c r="K178" s="1" t="s">
        <v>6</v>
      </c>
      <c r="L178">
        <v>1</v>
      </c>
      <c r="M178" s="1" t="s">
        <v>158</v>
      </c>
      <c r="N178" s="1" t="s">
        <v>13</v>
      </c>
      <c r="O178" s="1" t="s">
        <v>6</v>
      </c>
      <c r="P178">
        <v>2</v>
      </c>
    </row>
    <row r="179" spans="1:16" x14ac:dyDescent="0.2">
      <c r="A179" s="1" t="s">
        <v>132</v>
      </c>
      <c r="B179" s="1" t="s">
        <v>5</v>
      </c>
      <c r="C179" s="1" t="s">
        <v>6</v>
      </c>
      <c r="D179">
        <v>3</v>
      </c>
      <c r="E179" s="1" t="s">
        <v>136</v>
      </c>
      <c r="F179" s="1" t="s">
        <v>5</v>
      </c>
      <c r="G179" s="1" t="s">
        <v>6</v>
      </c>
      <c r="H179">
        <v>6</v>
      </c>
      <c r="I179" s="1" t="s">
        <v>143</v>
      </c>
      <c r="J179" s="1" t="s">
        <v>5</v>
      </c>
      <c r="K179" s="1" t="s">
        <v>6</v>
      </c>
      <c r="L179">
        <v>2</v>
      </c>
      <c r="M179" s="1" t="s">
        <v>160</v>
      </c>
      <c r="N179" s="1" t="s">
        <v>5</v>
      </c>
      <c r="O179" s="1" t="s">
        <v>6</v>
      </c>
      <c r="P179">
        <v>14</v>
      </c>
    </row>
    <row r="180" spans="1:16" x14ac:dyDescent="0.2">
      <c r="A180" s="1" t="s">
        <v>156</v>
      </c>
      <c r="B180" s="1" t="s">
        <v>5</v>
      </c>
      <c r="C180" s="1" t="s">
        <v>6</v>
      </c>
      <c r="D180">
        <v>1</v>
      </c>
      <c r="E180" s="1" t="s">
        <v>137</v>
      </c>
      <c r="F180" s="1" t="s">
        <v>13</v>
      </c>
      <c r="G180" s="1" t="s">
        <v>6</v>
      </c>
      <c r="H180">
        <v>2</v>
      </c>
      <c r="I180" s="1" t="s">
        <v>144</v>
      </c>
      <c r="J180" s="1" t="s">
        <v>13</v>
      </c>
      <c r="K180" s="1" t="s">
        <v>6</v>
      </c>
      <c r="L180">
        <v>2</v>
      </c>
      <c r="M180" s="1" t="s">
        <v>161</v>
      </c>
      <c r="N180" s="1" t="s">
        <v>5</v>
      </c>
      <c r="O180" s="1" t="s">
        <v>6</v>
      </c>
      <c r="P180">
        <v>1</v>
      </c>
    </row>
    <row r="181" spans="1:16" x14ac:dyDescent="0.2">
      <c r="A181" s="1" t="s">
        <v>63</v>
      </c>
      <c r="B181" s="1" t="s">
        <v>5</v>
      </c>
      <c r="C181" s="1" t="s">
        <v>6</v>
      </c>
      <c r="D181">
        <v>2</v>
      </c>
      <c r="E181" s="1" t="s">
        <v>211</v>
      </c>
      <c r="F181" s="1" t="s">
        <v>5</v>
      </c>
      <c r="G181" s="1" t="s">
        <v>6</v>
      </c>
      <c r="H181">
        <v>1</v>
      </c>
      <c r="I181" s="1" t="s">
        <v>144</v>
      </c>
      <c r="J181" s="1" t="s">
        <v>5</v>
      </c>
      <c r="K181" s="1" t="s">
        <v>6</v>
      </c>
      <c r="L181">
        <v>1</v>
      </c>
      <c r="M181" s="1" t="s">
        <v>162</v>
      </c>
      <c r="N181" s="1" t="s">
        <v>42</v>
      </c>
      <c r="O181" s="1" t="s">
        <v>6</v>
      </c>
      <c r="P181">
        <v>5</v>
      </c>
    </row>
    <row r="182" spans="1:16" x14ac:dyDescent="0.2">
      <c r="A182" s="1" t="s">
        <v>36</v>
      </c>
      <c r="B182" s="1" t="s">
        <v>5</v>
      </c>
      <c r="C182" s="1" t="s">
        <v>6</v>
      </c>
      <c r="D182">
        <v>1</v>
      </c>
      <c r="E182" s="1" t="s">
        <v>138</v>
      </c>
      <c r="F182" s="1" t="s">
        <v>5</v>
      </c>
      <c r="G182" s="1" t="s">
        <v>6</v>
      </c>
      <c r="H182">
        <v>2</v>
      </c>
      <c r="I182" s="1" t="s">
        <v>146</v>
      </c>
      <c r="J182" s="1" t="s">
        <v>13</v>
      </c>
      <c r="K182" s="1" t="s">
        <v>6</v>
      </c>
      <c r="L182">
        <v>3</v>
      </c>
      <c r="M182" s="1" t="s">
        <v>163</v>
      </c>
      <c r="N182" s="1" t="s">
        <v>5</v>
      </c>
      <c r="O182" s="1" t="s">
        <v>6</v>
      </c>
      <c r="P182">
        <v>1</v>
      </c>
    </row>
    <row r="183" spans="1:16" x14ac:dyDescent="0.2">
      <c r="A183" s="1" t="s">
        <v>157</v>
      </c>
      <c r="B183" s="1" t="s">
        <v>42</v>
      </c>
      <c r="C183" s="1" t="s">
        <v>6</v>
      </c>
      <c r="D183">
        <v>1</v>
      </c>
      <c r="E183" s="1" t="s">
        <v>139</v>
      </c>
      <c r="F183" s="1" t="s">
        <v>5</v>
      </c>
      <c r="G183" s="1" t="s">
        <v>6</v>
      </c>
      <c r="H183">
        <v>1</v>
      </c>
      <c r="I183" s="1" t="s">
        <v>147</v>
      </c>
      <c r="J183" s="1" t="s">
        <v>5</v>
      </c>
      <c r="K183" s="1" t="s">
        <v>6</v>
      </c>
      <c r="L183">
        <v>1</v>
      </c>
      <c r="M183" s="1" t="s">
        <v>164</v>
      </c>
      <c r="N183" s="1" t="s">
        <v>5</v>
      </c>
      <c r="O183" s="1" t="s">
        <v>6</v>
      </c>
      <c r="P183">
        <v>3</v>
      </c>
    </row>
    <row r="184" spans="1:16" x14ac:dyDescent="0.2">
      <c r="A184" s="1" t="s">
        <v>119</v>
      </c>
      <c r="B184" s="1" t="s">
        <v>13</v>
      </c>
      <c r="C184" s="1" t="s">
        <v>6</v>
      </c>
      <c r="D184">
        <v>2</v>
      </c>
      <c r="E184" s="1" t="s">
        <v>170</v>
      </c>
      <c r="F184" s="1" t="s">
        <v>5</v>
      </c>
      <c r="G184" s="1" t="s">
        <v>6</v>
      </c>
      <c r="H184">
        <v>4</v>
      </c>
      <c r="I184" s="1" t="s">
        <v>148</v>
      </c>
      <c r="J184" s="1" t="s">
        <v>13</v>
      </c>
      <c r="K184" s="1" t="s">
        <v>6</v>
      </c>
      <c r="L184">
        <v>4</v>
      </c>
      <c r="M184" s="1" t="s">
        <v>165</v>
      </c>
      <c r="N184" s="1" t="s">
        <v>5</v>
      </c>
      <c r="O184" s="1" t="s">
        <v>6</v>
      </c>
      <c r="P184">
        <v>1</v>
      </c>
    </row>
    <row r="185" spans="1:16" x14ac:dyDescent="0.2">
      <c r="A185" s="1" t="s">
        <v>119</v>
      </c>
      <c r="B185" s="1" t="s">
        <v>5</v>
      </c>
      <c r="C185" s="1" t="s">
        <v>6</v>
      </c>
      <c r="D185">
        <v>1</v>
      </c>
      <c r="E185" s="1" t="s">
        <v>212</v>
      </c>
      <c r="F185" s="1" t="s">
        <v>13</v>
      </c>
      <c r="G185" s="1" t="s">
        <v>6</v>
      </c>
      <c r="H185">
        <v>1</v>
      </c>
      <c r="I185" s="1" t="s">
        <v>149</v>
      </c>
      <c r="J185" s="1" t="s">
        <v>52</v>
      </c>
      <c r="K185" s="1" t="s">
        <v>6</v>
      </c>
      <c r="L185">
        <v>1</v>
      </c>
      <c r="M185" s="1" t="s">
        <v>166</v>
      </c>
      <c r="N185" s="1" t="s">
        <v>5</v>
      </c>
      <c r="O185" s="1" t="s">
        <v>6</v>
      </c>
      <c r="P185">
        <v>2</v>
      </c>
    </row>
    <row r="186" spans="1:16" x14ac:dyDescent="0.2">
      <c r="A186" s="1" t="s">
        <v>134</v>
      </c>
      <c r="B186" s="1" t="s">
        <v>5</v>
      </c>
      <c r="C186" s="1" t="s">
        <v>6</v>
      </c>
      <c r="D186">
        <v>1</v>
      </c>
      <c r="E186" s="1" t="s">
        <v>141</v>
      </c>
      <c r="F186" s="1" t="s">
        <v>5</v>
      </c>
      <c r="G186" s="1" t="s">
        <v>6</v>
      </c>
      <c r="H186">
        <v>1</v>
      </c>
      <c r="I186" s="1" t="s">
        <v>150</v>
      </c>
      <c r="J186" s="1" t="s">
        <v>5</v>
      </c>
      <c r="K186" s="1" t="s">
        <v>6</v>
      </c>
      <c r="L186">
        <v>1</v>
      </c>
      <c r="M186" s="22" t="s">
        <v>254</v>
      </c>
      <c r="N186" s="22"/>
      <c r="O186" s="22"/>
      <c r="P186" s="22"/>
    </row>
    <row r="187" spans="1:16" x14ac:dyDescent="0.2">
      <c r="A187" s="1" t="s">
        <v>68</v>
      </c>
      <c r="B187" s="1" t="s">
        <v>5</v>
      </c>
      <c r="C187" s="1" t="s">
        <v>6</v>
      </c>
      <c r="D187">
        <v>4</v>
      </c>
      <c r="E187" s="1" t="s">
        <v>213</v>
      </c>
      <c r="F187" s="1" t="s">
        <v>13</v>
      </c>
      <c r="G187" s="1" t="s">
        <v>6</v>
      </c>
      <c r="H187">
        <v>2</v>
      </c>
      <c r="I187" s="1" t="s">
        <v>150</v>
      </c>
      <c r="J187" s="1" t="s">
        <v>42</v>
      </c>
      <c r="K187" s="1" t="s">
        <v>6</v>
      </c>
      <c r="L187">
        <v>1</v>
      </c>
      <c r="M187" s="1" t="s">
        <v>0</v>
      </c>
      <c r="N187" s="1" t="s">
        <v>1</v>
      </c>
      <c r="O187" s="1" t="s">
        <v>2</v>
      </c>
      <c r="P187" t="s">
        <v>3</v>
      </c>
    </row>
    <row r="188" spans="1:16" x14ac:dyDescent="0.2">
      <c r="A188" s="1" t="s">
        <v>116</v>
      </c>
      <c r="B188" s="1" t="s">
        <v>5</v>
      </c>
      <c r="C188" s="1" t="s">
        <v>6</v>
      </c>
      <c r="D188">
        <v>1</v>
      </c>
      <c r="E188" s="1" t="s">
        <v>142</v>
      </c>
      <c r="F188" s="1" t="s">
        <v>5</v>
      </c>
      <c r="G188" s="1" t="s">
        <v>6</v>
      </c>
      <c r="H188">
        <v>3</v>
      </c>
      <c r="I188" s="1" t="s">
        <v>152</v>
      </c>
      <c r="J188" s="1" t="s">
        <v>5</v>
      </c>
      <c r="K188" s="1" t="s">
        <v>6</v>
      </c>
      <c r="L188">
        <v>1</v>
      </c>
      <c r="M188" s="1" t="s">
        <v>20</v>
      </c>
      <c r="N188" s="1" t="s">
        <v>30</v>
      </c>
      <c r="O188" s="1" t="s">
        <v>6</v>
      </c>
      <c r="P188">
        <v>2</v>
      </c>
    </row>
    <row r="189" spans="1:16" x14ac:dyDescent="0.2">
      <c r="A189" s="1" t="s">
        <v>82</v>
      </c>
      <c r="B189" s="1" t="s">
        <v>5</v>
      </c>
      <c r="C189" s="1" t="s">
        <v>6</v>
      </c>
      <c r="D189">
        <v>4</v>
      </c>
      <c r="E189" s="1" t="s">
        <v>143</v>
      </c>
      <c r="F189" s="1" t="s">
        <v>5</v>
      </c>
      <c r="G189" s="1" t="s">
        <v>6</v>
      </c>
      <c r="H189">
        <v>2</v>
      </c>
      <c r="I189" s="1" t="s">
        <v>153</v>
      </c>
      <c r="J189" s="1" t="s">
        <v>5</v>
      </c>
      <c r="K189" s="1" t="s">
        <v>6</v>
      </c>
      <c r="L189">
        <v>1</v>
      </c>
      <c r="M189" s="1" t="s">
        <v>20</v>
      </c>
      <c r="N189" s="1" t="s">
        <v>42</v>
      </c>
      <c r="O189" s="1" t="s">
        <v>6</v>
      </c>
      <c r="P189">
        <v>4</v>
      </c>
    </row>
    <row r="190" spans="1:16" x14ac:dyDescent="0.2">
      <c r="A190" s="1" t="s">
        <v>35</v>
      </c>
      <c r="B190" s="1" t="s">
        <v>5</v>
      </c>
      <c r="C190" s="1" t="s">
        <v>6</v>
      </c>
      <c r="D190">
        <v>1</v>
      </c>
      <c r="E190" s="1" t="s">
        <v>144</v>
      </c>
      <c r="F190" s="1" t="s">
        <v>13</v>
      </c>
      <c r="G190" s="1" t="s">
        <v>6</v>
      </c>
      <c r="H190">
        <v>2</v>
      </c>
      <c r="I190" s="1" t="s">
        <v>154</v>
      </c>
      <c r="J190" s="1" t="s">
        <v>5</v>
      </c>
      <c r="K190" s="1" t="s">
        <v>6</v>
      </c>
      <c r="L190">
        <v>1</v>
      </c>
      <c r="M190" s="1" t="s">
        <v>23</v>
      </c>
      <c r="N190" s="1" t="s">
        <v>30</v>
      </c>
      <c r="O190" s="1" t="s">
        <v>6</v>
      </c>
      <c r="P190">
        <v>1</v>
      </c>
    </row>
    <row r="191" spans="1:16" x14ac:dyDescent="0.2">
      <c r="A191" s="1" t="s">
        <v>24</v>
      </c>
      <c r="B191" s="1" t="s">
        <v>5</v>
      </c>
      <c r="C191" s="1" t="s">
        <v>6</v>
      </c>
      <c r="D191">
        <v>1</v>
      </c>
      <c r="E191" s="1" t="s">
        <v>144</v>
      </c>
      <c r="F191" s="1" t="s">
        <v>5</v>
      </c>
      <c r="G191" s="1" t="s">
        <v>6</v>
      </c>
      <c r="H191">
        <v>1</v>
      </c>
      <c r="I191" s="1" t="s">
        <v>216</v>
      </c>
      <c r="J191" s="1" t="s">
        <v>5</v>
      </c>
      <c r="K191" s="1" t="s">
        <v>6</v>
      </c>
      <c r="L191">
        <v>2</v>
      </c>
      <c r="M191" s="1" t="s">
        <v>31</v>
      </c>
      <c r="N191" s="1" t="s">
        <v>30</v>
      </c>
      <c r="O191" s="1" t="s">
        <v>6</v>
      </c>
      <c r="P191">
        <v>1</v>
      </c>
    </row>
    <row r="192" spans="1:16" x14ac:dyDescent="0.2">
      <c r="A192" s="1" t="s">
        <v>34</v>
      </c>
      <c r="B192" s="1" t="s">
        <v>28</v>
      </c>
      <c r="C192" s="1" t="s">
        <v>6</v>
      </c>
      <c r="D192">
        <v>2</v>
      </c>
      <c r="E192" s="1" t="s">
        <v>146</v>
      </c>
      <c r="F192" s="1" t="s">
        <v>13</v>
      </c>
      <c r="G192" s="1" t="s">
        <v>6</v>
      </c>
      <c r="H192">
        <v>2</v>
      </c>
      <c r="I192" s="1" t="s">
        <v>156</v>
      </c>
      <c r="J192" s="1" t="s">
        <v>5</v>
      </c>
      <c r="K192" s="1" t="s">
        <v>6</v>
      </c>
      <c r="L192">
        <v>1</v>
      </c>
      <c r="M192" s="1" t="s">
        <v>31</v>
      </c>
      <c r="N192" s="1" t="s">
        <v>42</v>
      </c>
      <c r="O192" s="1" t="s">
        <v>6</v>
      </c>
      <c r="P192">
        <v>1</v>
      </c>
    </row>
    <row r="193" spans="1:16" x14ac:dyDescent="0.2">
      <c r="A193" s="1" t="s">
        <v>99</v>
      </c>
      <c r="B193" s="1" t="s">
        <v>13</v>
      </c>
      <c r="C193" s="1" t="s">
        <v>6</v>
      </c>
      <c r="D193">
        <v>2</v>
      </c>
      <c r="E193" s="1" t="s">
        <v>147</v>
      </c>
      <c r="F193" s="1" t="s">
        <v>5</v>
      </c>
      <c r="G193" s="1" t="s">
        <v>6</v>
      </c>
      <c r="H193">
        <v>1</v>
      </c>
      <c r="I193" s="1" t="s">
        <v>238</v>
      </c>
      <c r="J193" s="1" t="s">
        <v>42</v>
      </c>
      <c r="K193" s="1" t="s">
        <v>6</v>
      </c>
      <c r="L193">
        <v>1</v>
      </c>
      <c r="M193" s="1" t="s">
        <v>186</v>
      </c>
      <c r="N193" s="1" t="s">
        <v>30</v>
      </c>
      <c r="O193" s="1" t="s">
        <v>6</v>
      </c>
      <c r="P193">
        <v>2</v>
      </c>
    </row>
    <row r="194" spans="1:16" x14ac:dyDescent="0.2">
      <c r="A194" s="1" t="s">
        <v>87</v>
      </c>
      <c r="B194" s="1" t="s">
        <v>5</v>
      </c>
      <c r="C194" s="1" t="s">
        <v>6</v>
      </c>
      <c r="D194">
        <v>1</v>
      </c>
      <c r="E194" s="1" t="s">
        <v>149</v>
      </c>
      <c r="F194" s="1" t="s">
        <v>52</v>
      </c>
      <c r="G194" s="1" t="s">
        <v>6</v>
      </c>
      <c r="H194">
        <v>1</v>
      </c>
      <c r="I194" s="1" t="s">
        <v>157</v>
      </c>
      <c r="J194" s="1" t="s">
        <v>42</v>
      </c>
      <c r="K194" s="1" t="s">
        <v>6</v>
      </c>
      <c r="L194">
        <v>4</v>
      </c>
      <c r="M194" s="1" t="s">
        <v>36</v>
      </c>
      <c r="N194" s="1" t="s">
        <v>42</v>
      </c>
      <c r="O194" s="1" t="s">
        <v>6</v>
      </c>
      <c r="P194">
        <v>4</v>
      </c>
    </row>
    <row r="195" spans="1:16" x14ac:dyDescent="0.2">
      <c r="A195" s="1" t="s">
        <v>32</v>
      </c>
      <c r="B195" s="1" t="s">
        <v>5</v>
      </c>
      <c r="C195" s="1" t="s">
        <v>6</v>
      </c>
      <c r="D195">
        <v>2</v>
      </c>
      <c r="E195" s="1" t="s">
        <v>149</v>
      </c>
      <c r="F195" s="1" t="s">
        <v>42</v>
      </c>
      <c r="G195" s="1" t="s">
        <v>6</v>
      </c>
      <c r="H195">
        <v>1</v>
      </c>
      <c r="I195" s="1" t="s">
        <v>158</v>
      </c>
      <c r="J195" s="1" t="s">
        <v>13</v>
      </c>
      <c r="K195" s="1" t="s">
        <v>6</v>
      </c>
      <c r="L195">
        <v>2</v>
      </c>
      <c r="M195" s="1" t="s">
        <v>39</v>
      </c>
      <c r="N195" s="1" t="s">
        <v>30</v>
      </c>
      <c r="O195" s="1" t="s">
        <v>6</v>
      </c>
      <c r="P195">
        <v>1</v>
      </c>
    </row>
    <row r="196" spans="1:16" x14ac:dyDescent="0.2">
      <c r="A196" s="1" t="s">
        <v>81</v>
      </c>
      <c r="B196" s="1" t="s">
        <v>28</v>
      </c>
      <c r="C196" s="1" t="s">
        <v>6</v>
      </c>
      <c r="D196">
        <v>2</v>
      </c>
      <c r="E196" s="1" t="s">
        <v>214</v>
      </c>
      <c r="F196" s="1" t="s">
        <v>5</v>
      </c>
      <c r="G196" s="1" t="s">
        <v>6</v>
      </c>
      <c r="H196">
        <v>3</v>
      </c>
      <c r="I196" s="1" t="s">
        <v>159</v>
      </c>
      <c r="J196" s="1" t="s">
        <v>5</v>
      </c>
      <c r="K196" s="1" t="s">
        <v>6</v>
      </c>
      <c r="L196">
        <v>1</v>
      </c>
      <c r="M196" s="1" t="s">
        <v>189</v>
      </c>
      <c r="N196" s="1" t="s">
        <v>28</v>
      </c>
      <c r="O196" s="1" t="s">
        <v>6</v>
      </c>
      <c r="P196">
        <v>2</v>
      </c>
    </row>
    <row r="197" spans="1:16" x14ac:dyDescent="0.2">
      <c r="A197" s="1" t="s">
        <v>50</v>
      </c>
      <c r="B197" s="1" t="s">
        <v>13</v>
      </c>
      <c r="C197" s="1" t="s">
        <v>6</v>
      </c>
      <c r="D197">
        <v>2</v>
      </c>
      <c r="E197" s="1" t="s">
        <v>215</v>
      </c>
      <c r="F197" s="1" t="s">
        <v>13</v>
      </c>
      <c r="G197" s="1" t="s">
        <v>6</v>
      </c>
      <c r="H197">
        <v>1</v>
      </c>
      <c r="I197" s="1" t="s">
        <v>160</v>
      </c>
      <c r="J197" s="1" t="s">
        <v>13</v>
      </c>
      <c r="K197" s="1" t="s">
        <v>6</v>
      </c>
      <c r="L197">
        <v>2</v>
      </c>
      <c r="M197" s="1" t="s">
        <v>52</v>
      </c>
      <c r="N197" s="1" t="s">
        <v>42</v>
      </c>
      <c r="O197" s="1" t="s">
        <v>6</v>
      </c>
      <c r="P197">
        <v>7</v>
      </c>
    </row>
    <row r="198" spans="1:16" x14ac:dyDescent="0.2">
      <c r="A198" s="1" t="s">
        <v>160</v>
      </c>
      <c r="B198" s="1" t="s">
        <v>13</v>
      </c>
      <c r="C198" s="1" t="s">
        <v>6</v>
      </c>
      <c r="D198">
        <v>2</v>
      </c>
      <c r="E198" s="1" t="s">
        <v>150</v>
      </c>
      <c r="F198" s="1" t="s">
        <v>5</v>
      </c>
      <c r="G198" s="1" t="s">
        <v>6</v>
      </c>
      <c r="H198">
        <v>1</v>
      </c>
      <c r="I198" s="1" t="s">
        <v>161</v>
      </c>
      <c r="J198" s="1" t="s">
        <v>5</v>
      </c>
      <c r="K198" s="1" t="s">
        <v>6</v>
      </c>
      <c r="L198">
        <v>1</v>
      </c>
      <c r="M198" s="1" t="s">
        <v>59</v>
      </c>
      <c r="N198" s="1" t="s">
        <v>28</v>
      </c>
      <c r="O198" s="1" t="s">
        <v>6</v>
      </c>
      <c r="P198">
        <v>2</v>
      </c>
    </row>
    <row r="199" spans="1:16" x14ac:dyDescent="0.2">
      <c r="A199" s="1" t="s">
        <v>101</v>
      </c>
      <c r="B199" s="1" t="s">
        <v>5</v>
      </c>
      <c r="C199" s="1" t="s">
        <v>6</v>
      </c>
      <c r="D199">
        <v>3</v>
      </c>
      <c r="E199" s="1" t="s">
        <v>151</v>
      </c>
      <c r="F199" s="1" t="s">
        <v>13</v>
      </c>
      <c r="G199" s="1" t="s">
        <v>6</v>
      </c>
      <c r="H199">
        <v>1</v>
      </c>
      <c r="I199" s="1" t="s">
        <v>163</v>
      </c>
      <c r="J199" s="1" t="s">
        <v>5</v>
      </c>
      <c r="K199" s="1" t="s">
        <v>6</v>
      </c>
      <c r="L199">
        <v>1</v>
      </c>
      <c r="M199" s="1" t="s">
        <v>67</v>
      </c>
      <c r="N199" s="1" t="s">
        <v>28</v>
      </c>
      <c r="O199" s="1" t="s">
        <v>6</v>
      </c>
      <c r="P199">
        <v>3</v>
      </c>
    </row>
    <row r="200" spans="1:16" x14ac:dyDescent="0.2">
      <c r="A200" s="1" t="s">
        <v>136</v>
      </c>
      <c r="B200" s="1" t="s">
        <v>5</v>
      </c>
      <c r="C200" s="1" t="s">
        <v>6</v>
      </c>
      <c r="D200">
        <v>2</v>
      </c>
      <c r="E200" s="1" t="s">
        <v>152</v>
      </c>
      <c r="F200" s="1" t="s">
        <v>5</v>
      </c>
      <c r="G200" s="1" t="s">
        <v>6</v>
      </c>
      <c r="H200">
        <v>1</v>
      </c>
      <c r="I200" s="1" t="s">
        <v>164</v>
      </c>
      <c r="J200" s="1" t="s">
        <v>5</v>
      </c>
      <c r="K200" s="1" t="s">
        <v>6</v>
      </c>
      <c r="L200">
        <v>2</v>
      </c>
      <c r="M200" s="1" t="s">
        <v>68</v>
      </c>
      <c r="N200" s="1" t="s">
        <v>30</v>
      </c>
      <c r="O200" s="1" t="s">
        <v>6</v>
      </c>
      <c r="P200">
        <v>1</v>
      </c>
    </row>
    <row r="201" spans="1:16" x14ac:dyDescent="0.2">
      <c r="A201" s="1" t="s">
        <v>136</v>
      </c>
      <c r="B201" s="1" t="s">
        <v>28</v>
      </c>
      <c r="C201" s="1" t="s">
        <v>6</v>
      </c>
      <c r="D201">
        <v>1</v>
      </c>
      <c r="E201" s="1" t="s">
        <v>153</v>
      </c>
      <c r="F201" s="1" t="s">
        <v>5</v>
      </c>
      <c r="G201" s="1" t="s">
        <v>6</v>
      </c>
      <c r="H201">
        <v>1</v>
      </c>
      <c r="I201" s="1" t="s">
        <v>165</v>
      </c>
      <c r="J201" s="1" t="s">
        <v>5</v>
      </c>
      <c r="K201" s="1" t="s">
        <v>6</v>
      </c>
      <c r="L201">
        <v>1</v>
      </c>
      <c r="M201" s="1" t="s">
        <v>77</v>
      </c>
      <c r="N201" s="1" t="s">
        <v>30</v>
      </c>
      <c r="O201" s="1" t="s">
        <v>6</v>
      </c>
      <c r="P201">
        <v>1</v>
      </c>
    </row>
    <row r="202" spans="1:16" x14ac:dyDescent="0.2">
      <c r="A202" s="1" t="s">
        <v>76</v>
      </c>
      <c r="B202" s="1" t="s">
        <v>5</v>
      </c>
      <c r="C202" s="1" t="s">
        <v>6</v>
      </c>
      <c r="D202">
        <v>2</v>
      </c>
      <c r="E202" s="1" t="s">
        <v>154</v>
      </c>
      <c r="F202" s="1" t="s">
        <v>5</v>
      </c>
      <c r="G202" s="1" t="s">
        <v>6</v>
      </c>
      <c r="H202">
        <v>2</v>
      </c>
      <c r="I202" s="1" t="s">
        <v>166</v>
      </c>
      <c r="J202" s="1" t="s">
        <v>5</v>
      </c>
      <c r="K202" s="1" t="s">
        <v>6</v>
      </c>
      <c r="L202">
        <v>3</v>
      </c>
      <c r="M202" s="1" t="s">
        <v>83</v>
      </c>
      <c r="N202" s="1" t="s">
        <v>28</v>
      </c>
      <c r="O202" s="1" t="s">
        <v>6</v>
      </c>
      <c r="P202">
        <v>2</v>
      </c>
    </row>
    <row r="203" spans="1:16" x14ac:dyDescent="0.2">
      <c r="A203" s="1" t="s">
        <v>76</v>
      </c>
      <c r="B203" s="1" t="s">
        <v>28</v>
      </c>
      <c r="C203" s="1" t="s">
        <v>6</v>
      </c>
      <c r="D203">
        <v>1</v>
      </c>
      <c r="E203" s="1" t="s">
        <v>216</v>
      </c>
      <c r="F203" s="1" t="s">
        <v>5</v>
      </c>
      <c r="G203" s="1" t="s">
        <v>6</v>
      </c>
      <c r="H203">
        <v>3</v>
      </c>
      <c r="I203" s="4" t="s">
        <v>240</v>
      </c>
      <c r="J203" s="5"/>
      <c r="K203" s="5"/>
      <c r="L203" s="5"/>
      <c r="M203" s="1" t="s">
        <v>84</v>
      </c>
      <c r="N203" s="1" t="s">
        <v>30</v>
      </c>
      <c r="O203" s="1" t="s">
        <v>6</v>
      </c>
      <c r="P203">
        <v>2</v>
      </c>
    </row>
    <row r="204" spans="1:16" x14ac:dyDescent="0.2">
      <c r="A204" s="4" t="s">
        <v>171</v>
      </c>
      <c r="B204" s="5"/>
      <c r="C204" s="5"/>
      <c r="D204" s="5"/>
      <c r="E204" s="1" t="s">
        <v>156</v>
      </c>
      <c r="F204" s="1" t="s">
        <v>5</v>
      </c>
      <c r="G204" s="1" t="s">
        <v>6</v>
      </c>
      <c r="H204">
        <v>1</v>
      </c>
      <c r="I204" s="1" t="s">
        <v>0</v>
      </c>
      <c r="J204" s="1" t="s">
        <v>1</v>
      </c>
      <c r="K204" s="1" t="s">
        <v>2</v>
      </c>
      <c r="L204" t="s">
        <v>3</v>
      </c>
      <c r="M204" s="1" t="s">
        <v>93</v>
      </c>
      <c r="N204" s="1" t="s">
        <v>30</v>
      </c>
      <c r="O204" s="1" t="s">
        <v>6</v>
      </c>
      <c r="P204">
        <v>2</v>
      </c>
    </row>
    <row r="205" spans="1:16" x14ac:dyDescent="0.2">
      <c r="A205" s="1" t="s">
        <v>0</v>
      </c>
      <c r="B205" s="1" t="s">
        <v>1</v>
      </c>
      <c r="C205" s="1" t="s">
        <v>2</v>
      </c>
      <c r="D205" t="s">
        <v>3</v>
      </c>
      <c r="E205" s="1" t="s">
        <v>217</v>
      </c>
      <c r="F205" s="1" t="s">
        <v>5</v>
      </c>
      <c r="G205" s="1" t="s">
        <v>6</v>
      </c>
      <c r="H205">
        <v>2</v>
      </c>
      <c r="I205" s="1" t="s">
        <v>9</v>
      </c>
      <c r="J205" s="1" t="s">
        <v>42</v>
      </c>
      <c r="K205" s="1" t="s">
        <v>6</v>
      </c>
      <c r="L205">
        <v>1</v>
      </c>
      <c r="M205" s="1" t="s">
        <v>96</v>
      </c>
      <c r="N205" s="1" t="s">
        <v>42</v>
      </c>
      <c r="O205" s="1" t="s">
        <v>6</v>
      </c>
      <c r="P205">
        <v>4</v>
      </c>
    </row>
    <row r="206" spans="1:16" x14ac:dyDescent="0.2">
      <c r="A206" s="1" t="s">
        <v>9</v>
      </c>
      <c r="B206" s="1" t="s">
        <v>28</v>
      </c>
      <c r="C206" s="1" t="s">
        <v>6</v>
      </c>
      <c r="D206">
        <v>1</v>
      </c>
      <c r="E206" s="1" t="s">
        <v>218</v>
      </c>
      <c r="F206" s="1" t="s">
        <v>5</v>
      </c>
      <c r="G206" s="1" t="s">
        <v>6</v>
      </c>
      <c r="H206">
        <v>6</v>
      </c>
      <c r="I206" s="1" t="s">
        <v>10</v>
      </c>
      <c r="J206" s="1" t="s">
        <v>30</v>
      </c>
      <c r="K206" s="1" t="s">
        <v>6</v>
      </c>
      <c r="L206">
        <v>1</v>
      </c>
      <c r="M206" s="1" t="s">
        <v>110</v>
      </c>
      <c r="N206" s="1" t="s">
        <v>42</v>
      </c>
      <c r="O206" s="1" t="s">
        <v>6</v>
      </c>
      <c r="P206">
        <v>6</v>
      </c>
    </row>
    <row r="207" spans="1:16" x14ac:dyDescent="0.2">
      <c r="A207" s="1" t="s">
        <v>22</v>
      </c>
      <c r="B207" s="1" t="s">
        <v>30</v>
      </c>
      <c r="C207" s="1" t="s">
        <v>6</v>
      </c>
      <c r="D207">
        <v>2</v>
      </c>
      <c r="E207" s="1" t="s">
        <v>218</v>
      </c>
      <c r="F207" s="1" t="s">
        <v>28</v>
      </c>
      <c r="G207" s="1" t="s">
        <v>6</v>
      </c>
      <c r="H207">
        <v>3</v>
      </c>
      <c r="I207" s="1" t="s">
        <v>32</v>
      </c>
      <c r="J207" s="1" t="s">
        <v>30</v>
      </c>
      <c r="K207" s="1" t="s">
        <v>6</v>
      </c>
      <c r="L207">
        <v>1</v>
      </c>
      <c r="M207" s="1" t="s">
        <v>116</v>
      </c>
      <c r="N207" s="1" t="s">
        <v>42</v>
      </c>
      <c r="O207" s="1" t="s">
        <v>6</v>
      </c>
      <c r="P207">
        <v>1</v>
      </c>
    </row>
    <row r="208" spans="1:16" x14ac:dyDescent="0.2">
      <c r="A208" s="1" t="s">
        <v>33</v>
      </c>
      <c r="B208" s="1" t="s">
        <v>30</v>
      </c>
      <c r="C208" s="1" t="s">
        <v>6</v>
      </c>
      <c r="D208">
        <v>2</v>
      </c>
      <c r="E208" s="1" t="s">
        <v>157</v>
      </c>
      <c r="F208" s="1" t="s">
        <v>42</v>
      </c>
      <c r="G208" s="1" t="s">
        <v>6</v>
      </c>
      <c r="H208">
        <v>4</v>
      </c>
      <c r="I208" s="1" t="s">
        <v>189</v>
      </c>
      <c r="J208" s="1" t="s">
        <v>30</v>
      </c>
      <c r="K208" s="1" t="s">
        <v>6</v>
      </c>
      <c r="L208">
        <v>2</v>
      </c>
      <c r="M208" s="1" t="s">
        <v>116</v>
      </c>
      <c r="N208" s="1" t="s">
        <v>28</v>
      </c>
      <c r="O208" s="1" t="s">
        <v>6</v>
      </c>
      <c r="P208">
        <v>1</v>
      </c>
    </row>
    <row r="209" spans="1:16" x14ac:dyDescent="0.2">
      <c r="A209" s="1" t="s">
        <v>33</v>
      </c>
      <c r="B209" s="1" t="s">
        <v>42</v>
      </c>
      <c r="C209" s="1" t="s">
        <v>6</v>
      </c>
      <c r="D209">
        <v>1</v>
      </c>
      <c r="E209" s="1" t="s">
        <v>158</v>
      </c>
      <c r="F209" s="1" t="s">
        <v>13</v>
      </c>
      <c r="G209" s="1" t="s">
        <v>6</v>
      </c>
      <c r="H209">
        <v>2</v>
      </c>
      <c r="I209" s="1" t="s">
        <v>189</v>
      </c>
      <c r="J209" s="1" t="s">
        <v>28</v>
      </c>
      <c r="K209" s="1" t="s">
        <v>6</v>
      </c>
      <c r="L209">
        <v>2</v>
      </c>
      <c r="M209" s="1" t="s">
        <v>118</v>
      </c>
      <c r="N209" s="1" t="s">
        <v>28</v>
      </c>
      <c r="O209" s="1" t="s">
        <v>6</v>
      </c>
      <c r="P209">
        <v>1</v>
      </c>
    </row>
    <row r="210" spans="1:16" x14ac:dyDescent="0.2">
      <c r="A210" s="1" t="s">
        <v>39</v>
      </c>
      <c r="B210" s="1" t="s">
        <v>30</v>
      </c>
      <c r="C210" s="1" t="s">
        <v>6</v>
      </c>
      <c r="D210">
        <v>2</v>
      </c>
      <c r="E210" s="1" t="s">
        <v>159</v>
      </c>
      <c r="F210" s="1" t="s">
        <v>5</v>
      </c>
      <c r="G210" s="1" t="s">
        <v>6</v>
      </c>
      <c r="H210">
        <v>1</v>
      </c>
      <c r="I210" s="1" t="s">
        <v>52</v>
      </c>
      <c r="J210" s="1" t="s">
        <v>42</v>
      </c>
      <c r="K210" s="1" t="s">
        <v>6</v>
      </c>
      <c r="L210">
        <v>7</v>
      </c>
      <c r="M210" s="1" t="s">
        <v>169</v>
      </c>
      <c r="N210" s="1" t="s">
        <v>42</v>
      </c>
      <c r="O210" s="1" t="s">
        <v>6</v>
      </c>
      <c r="P210">
        <v>1</v>
      </c>
    </row>
    <row r="211" spans="1:16" x14ac:dyDescent="0.2">
      <c r="A211" s="1" t="s">
        <v>39</v>
      </c>
      <c r="B211" s="1" t="s">
        <v>40</v>
      </c>
      <c r="C211" s="1" t="s">
        <v>6</v>
      </c>
      <c r="D211">
        <v>6</v>
      </c>
      <c r="E211" s="1" t="s">
        <v>160</v>
      </c>
      <c r="F211" s="1" t="s">
        <v>13</v>
      </c>
      <c r="G211" s="1" t="s">
        <v>6</v>
      </c>
      <c r="H211">
        <v>2</v>
      </c>
      <c r="I211" s="1" t="s">
        <v>67</v>
      </c>
      <c r="J211" s="1" t="s">
        <v>5</v>
      </c>
      <c r="K211" s="1" t="s">
        <v>6</v>
      </c>
      <c r="L211">
        <v>2</v>
      </c>
      <c r="M211" s="1" t="s">
        <v>128</v>
      </c>
      <c r="N211" s="1" t="s">
        <v>40</v>
      </c>
      <c r="O211" s="1" t="s">
        <v>6</v>
      </c>
      <c r="P211">
        <v>8</v>
      </c>
    </row>
    <row r="212" spans="1:16" x14ac:dyDescent="0.2">
      <c r="A212" s="1" t="s">
        <v>39</v>
      </c>
      <c r="B212" s="1" t="s">
        <v>41</v>
      </c>
      <c r="C212" s="1" t="s">
        <v>6</v>
      </c>
      <c r="D212">
        <v>6</v>
      </c>
      <c r="E212" s="1" t="s">
        <v>161</v>
      </c>
      <c r="F212" s="1" t="s">
        <v>5</v>
      </c>
      <c r="G212" s="1" t="s">
        <v>6</v>
      </c>
      <c r="H212">
        <v>1</v>
      </c>
      <c r="I212" s="1" t="s">
        <v>67</v>
      </c>
      <c r="J212" s="1" t="s">
        <v>28</v>
      </c>
      <c r="K212" s="1" t="s">
        <v>6</v>
      </c>
      <c r="L212">
        <v>2</v>
      </c>
      <c r="M212" s="1" t="s">
        <v>128</v>
      </c>
      <c r="N212" s="1" t="s">
        <v>41</v>
      </c>
      <c r="O212" s="1" t="s">
        <v>6</v>
      </c>
      <c r="P212">
        <v>8</v>
      </c>
    </row>
    <row r="213" spans="1:16" x14ac:dyDescent="0.2">
      <c r="A213" s="1" t="s">
        <v>39</v>
      </c>
      <c r="B213" s="1" t="s">
        <v>28</v>
      </c>
      <c r="C213" s="1" t="s">
        <v>6</v>
      </c>
      <c r="D213">
        <v>1</v>
      </c>
      <c r="E213" s="1" t="s">
        <v>162</v>
      </c>
      <c r="F213" s="1" t="s">
        <v>5</v>
      </c>
      <c r="G213" s="1" t="s">
        <v>6</v>
      </c>
      <c r="H213">
        <v>1</v>
      </c>
      <c r="I213" s="1" t="s">
        <v>197</v>
      </c>
      <c r="J213" s="1" t="s">
        <v>30</v>
      </c>
      <c r="K213" s="1" t="s">
        <v>6</v>
      </c>
      <c r="L213">
        <v>1</v>
      </c>
      <c r="M213" s="1" t="s">
        <v>128</v>
      </c>
      <c r="N213" s="1" t="s">
        <v>30</v>
      </c>
      <c r="O213" s="1" t="s">
        <v>6</v>
      </c>
      <c r="P213">
        <v>1</v>
      </c>
    </row>
    <row r="214" spans="1:16" x14ac:dyDescent="0.2">
      <c r="A214" s="1" t="s">
        <v>46</v>
      </c>
      <c r="B214" s="1" t="s">
        <v>30</v>
      </c>
      <c r="C214" s="1" t="s">
        <v>6</v>
      </c>
      <c r="D214">
        <v>2</v>
      </c>
      <c r="E214" s="1" t="s">
        <v>163</v>
      </c>
      <c r="F214" s="1" t="s">
        <v>5</v>
      </c>
      <c r="G214" s="1" t="s">
        <v>6</v>
      </c>
      <c r="H214">
        <v>1</v>
      </c>
      <c r="I214" s="1" t="s">
        <v>197</v>
      </c>
      <c r="J214" s="1" t="s">
        <v>28</v>
      </c>
      <c r="K214" s="1" t="s">
        <v>6</v>
      </c>
      <c r="L214">
        <v>4</v>
      </c>
      <c r="M214" s="1" t="s">
        <v>150</v>
      </c>
      <c r="N214" s="1" t="s">
        <v>42</v>
      </c>
      <c r="O214" s="1" t="s">
        <v>6</v>
      </c>
      <c r="P214">
        <v>1</v>
      </c>
    </row>
    <row r="215" spans="1:16" x14ac:dyDescent="0.2">
      <c r="A215" s="1" t="s">
        <v>61</v>
      </c>
      <c r="B215" s="1" t="s">
        <v>42</v>
      </c>
      <c r="C215" s="1" t="s">
        <v>6</v>
      </c>
      <c r="D215">
        <v>1</v>
      </c>
      <c r="E215" s="1" t="s">
        <v>165</v>
      </c>
      <c r="F215" s="1" t="s">
        <v>42</v>
      </c>
      <c r="G215" s="1" t="s">
        <v>6</v>
      </c>
      <c r="H215">
        <v>4</v>
      </c>
      <c r="I215" s="1" t="s">
        <v>83</v>
      </c>
      <c r="J215" s="1" t="s">
        <v>28</v>
      </c>
      <c r="K215" s="1" t="s">
        <v>6</v>
      </c>
      <c r="L215">
        <v>2</v>
      </c>
      <c r="M215" s="1" t="s">
        <v>253</v>
      </c>
      <c r="N215" s="1" t="s">
        <v>132</v>
      </c>
      <c r="O215" s="1" t="s">
        <v>6</v>
      </c>
      <c r="P215">
        <v>1</v>
      </c>
    </row>
    <row r="216" spans="1:16" x14ac:dyDescent="0.2">
      <c r="A216" s="1" t="s">
        <v>61</v>
      </c>
      <c r="B216" s="1" t="s">
        <v>30</v>
      </c>
      <c r="C216" s="1" t="s">
        <v>6</v>
      </c>
      <c r="D216">
        <v>3</v>
      </c>
      <c r="E216" s="1" t="s">
        <v>166</v>
      </c>
      <c r="F216" s="1" t="s">
        <v>5</v>
      </c>
      <c r="G216" s="1" t="s">
        <v>6</v>
      </c>
      <c r="H216">
        <v>1</v>
      </c>
      <c r="I216" s="1" t="s">
        <v>84</v>
      </c>
      <c r="J216" s="1" t="s">
        <v>30</v>
      </c>
      <c r="K216" s="1" t="s">
        <v>6</v>
      </c>
      <c r="L216">
        <v>2</v>
      </c>
      <c r="M216" s="1" t="s">
        <v>164</v>
      </c>
      <c r="N216" s="1" t="s">
        <v>132</v>
      </c>
      <c r="O216" s="1" t="s">
        <v>6</v>
      </c>
      <c r="P216">
        <v>1</v>
      </c>
    </row>
    <row r="217" spans="1:16" x14ac:dyDescent="0.2">
      <c r="A217" s="1" t="s">
        <v>67</v>
      </c>
      <c r="B217" s="1" t="s">
        <v>28</v>
      </c>
      <c r="C217" s="1" t="s">
        <v>6</v>
      </c>
      <c r="D217">
        <v>3</v>
      </c>
      <c r="E217" s="22" t="s">
        <v>220</v>
      </c>
      <c r="F217" s="22"/>
      <c r="G217" s="22"/>
      <c r="H217" s="22"/>
      <c r="I217" s="1" t="s">
        <v>93</v>
      </c>
      <c r="J217" s="1" t="s">
        <v>30</v>
      </c>
      <c r="K217" s="1" t="s">
        <v>6</v>
      </c>
      <c r="L217">
        <v>4</v>
      </c>
      <c r="M217" s="25" t="s">
        <v>255</v>
      </c>
      <c r="N217" s="25"/>
      <c r="O217" s="25"/>
      <c r="P217" s="25"/>
    </row>
    <row r="218" spans="1:16" x14ac:dyDescent="0.2">
      <c r="A218" s="1" t="s">
        <v>79</v>
      </c>
      <c r="B218" s="1" t="s">
        <v>28</v>
      </c>
      <c r="C218" s="1" t="s">
        <v>6</v>
      </c>
      <c r="D218">
        <v>1</v>
      </c>
      <c r="E218" s="1" t="s">
        <v>0</v>
      </c>
      <c r="F218" s="1" t="s">
        <v>1</v>
      </c>
      <c r="G218" s="1" t="s">
        <v>2</v>
      </c>
      <c r="H218" t="s">
        <v>3</v>
      </c>
      <c r="I218" s="1" t="s">
        <v>96</v>
      </c>
      <c r="J218" s="1" t="s">
        <v>42</v>
      </c>
      <c r="K218" s="1" t="s">
        <v>6</v>
      </c>
      <c r="L218">
        <v>4</v>
      </c>
      <c r="M218" s="1" t="s">
        <v>0</v>
      </c>
      <c r="N218" s="1" t="s">
        <v>1</v>
      </c>
      <c r="O218" s="1" t="s">
        <v>2</v>
      </c>
      <c r="P218" t="s">
        <v>3</v>
      </c>
    </row>
    <row r="219" spans="1:16" x14ac:dyDescent="0.2">
      <c r="A219" s="1" t="s">
        <v>84</v>
      </c>
      <c r="B219" s="1" t="s">
        <v>30</v>
      </c>
      <c r="C219" s="1" t="s">
        <v>6</v>
      </c>
      <c r="D219">
        <v>2</v>
      </c>
      <c r="E219" s="1" t="s">
        <v>9</v>
      </c>
      <c r="F219" s="1" t="s">
        <v>28</v>
      </c>
      <c r="G219" s="1" t="s">
        <v>6</v>
      </c>
      <c r="H219">
        <v>1</v>
      </c>
      <c r="I219" s="1" t="s">
        <v>118</v>
      </c>
      <c r="J219" s="1" t="s">
        <v>28</v>
      </c>
      <c r="K219" s="1" t="s">
        <v>6</v>
      </c>
      <c r="L219">
        <v>1</v>
      </c>
      <c r="M219" s="1" t="s">
        <v>31</v>
      </c>
      <c r="N219" s="1" t="s">
        <v>30</v>
      </c>
      <c r="O219" s="1" t="s">
        <v>6</v>
      </c>
      <c r="P219">
        <v>1</v>
      </c>
    </row>
    <row r="220" spans="1:16" x14ac:dyDescent="0.2">
      <c r="A220" s="1" t="s">
        <v>90</v>
      </c>
      <c r="B220" s="1" t="s">
        <v>28</v>
      </c>
      <c r="C220" s="1" t="s">
        <v>6</v>
      </c>
      <c r="D220">
        <v>1</v>
      </c>
      <c r="E220" s="1" t="s">
        <v>20</v>
      </c>
      <c r="F220" s="1" t="s">
        <v>30</v>
      </c>
      <c r="G220" s="1" t="s">
        <v>6</v>
      </c>
      <c r="H220">
        <v>1</v>
      </c>
      <c r="I220" s="1" t="s">
        <v>169</v>
      </c>
      <c r="J220" s="1" t="s">
        <v>28</v>
      </c>
      <c r="K220" s="1" t="s">
        <v>6</v>
      </c>
      <c r="L220">
        <v>1</v>
      </c>
      <c r="M220" s="1" t="s">
        <v>39</v>
      </c>
      <c r="N220" s="1" t="s">
        <v>30</v>
      </c>
      <c r="O220" s="1" t="s">
        <v>6</v>
      </c>
      <c r="P220">
        <v>2</v>
      </c>
    </row>
    <row r="221" spans="1:16" x14ac:dyDescent="0.2">
      <c r="A221" s="1" t="s">
        <v>105</v>
      </c>
      <c r="B221" s="1" t="s">
        <v>30</v>
      </c>
      <c r="C221" s="1" t="s">
        <v>6</v>
      </c>
      <c r="D221">
        <v>1</v>
      </c>
      <c r="E221" s="1" t="s">
        <v>20</v>
      </c>
      <c r="F221" s="1" t="s">
        <v>42</v>
      </c>
      <c r="G221" s="1" t="s">
        <v>6</v>
      </c>
      <c r="H221">
        <v>2</v>
      </c>
      <c r="I221" s="1" t="s">
        <v>128</v>
      </c>
      <c r="J221" s="1" t="s">
        <v>40</v>
      </c>
      <c r="K221" s="1" t="s">
        <v>6</v>
      </c>
      <c r="L221">
        <v>8</v>
      </c>
      <c r="M221" s="1" t="s">
        <v>77</v>
      </c>
      <c r="N221" s="1" t="s">
        <v>30</v>
      </c>
      <c r="O221" s="1" t="s">
        <v>6</v>
      </c>
      <c r="P221">
        <v>1</v>
      </c>
    </row>
    <row r="222" spans="1:16" x14ac:dyDescent="0.2">
      <c r="A222" s="1" t="s">
        <v>169</v>
      </c>
      <c r="B222" s="1" t="s">
        <v>42</v>
      </c>
      <c r="C222" s="1" t="s">
        <v>6</v>
      </c>
      <c r="D222">
        <v>1</v>
      </c>
      <c r="E222" s="1" t="s">
        <v>22</v>
      </c>
      <c r="F222" s="1" t="s">
        <v>30</v>
      </c>
      <c r="G222" s="1" t="s">
        <v>6</v>
      </c>
      <c r="H222">
        <v>2</v>
      </c>
      <c r="I222" s="1" t="s">
        <v>128</v>
      </c>
      <c r="J222" s="1" t="s">
        <v>41</v>
      </c>
      <c r="K222" s="1" t="s">
        <v>6</v>
      </c>
      <c r="L222">
        <v>8</v>
      </c>
      <c r="M222" s="1" t="s">
        <v>83</v>
      </c>
      <c r="N222" s="1" t="s">
        <v>28</v>
      </c>
      <c r="O222" s="1" t="s">
        <v>6</v>
      </c>
      <c r="P222">
        <v>2</v>
      </c>
    </row>
    <row r="223" spans="1:16" x14ac:dyDescent="0.2">
      <c r="A223" s="1" t="s">
        <v>128</v>
      </c>
      <c r="B223" s="1" t="s">
        <v>40</v>
      </c>
      <c r="C223" s="1" t="s">
        <v>6</v>
      </c>
      <c r="D223">
        <v>10</v>
      </c>
      <c r="E223" s="1" t="s">
        <v>23</v>
      </c>
      <c r="F223" s="1" t="s">
        <v>28</v>
      </c>
      <c r="G223" s="1" t="s">
        <v>6</v>
      </c>
      <c r="H223">
        <v>1</v>
      </c>
      <c r="I223" s="1" t="s">
        <v>132</v>
      </c>
      <c r="J223" s="1" t="s">
        <v>28</v>
      </c>
      <c r="K223" s="1" t="s">
        <v>6</v>
      </c>
      <c r="L223">
        <v>1</v>
      </c>
      <c r="M223" s="1" t="s">
        <v>110</v>
      </c>
      <c r="N223" s="1" t="s">
        <v>42</v>
      </c>
      <c r="O223" s="1" t="s">
        <v>6</v>
      </c>
      <c r="P223">
        <v>3</v>
      </c>
    </row>
    <row r="224" spans="1:16" x14ac:dyDescent="0.2">
      <c r="A224" s="1" t="s">
        <v>128</v>
      </c>
      <c r="B224" s="1" t="s">
        <v>41</v>
      </c>
      <c r="C224" s="1" t="s">
        <v>6</v>
      </c>
      <c r="D224">
        <v>10</v>
      </c>
      <c r="E224" s="1" t="s">
        <v>25</v>
      </c>
      <c r="F224" s="1" t="s">
        <v>30</v>
      </c>
      <c r="G224" s="1" t="s">
        <v>6</v>
      </c>
      <c r="H224">
        <v>1</v>
      </c>
      <c r="I224" s="1" t="s">
        <v>138</v>
      </c>
      <c r="J224" s="1" t="s">
        <v>5</v>
      </c>
      <c r="K224" s="1" t="s">
        <v>6</v>
      </c>
      <c r="L224">
        <v>2</v>
      </c>
      <c r="M224" s="1" t="s">
        <v>118</v>
      </c>
      <c r="N224" s="1" t="s">
        <v>28</v>
      </c>
      <c r="O224" s="1" t="s">
        <v>6</v>
      </c>
      <c r="P224">
        <v>1</v>
      </c>
    </row>
    <row r="225" spans="1:16" x14ac:dyDescent="0.2">
      <c r="A225" s="1" t="s">
        <v>128</v>
      </c>
      <c r="B225" s="1" t="s">
        <v>30</v>
      </c>
      <c r="C225" s="1" t="s">
        <v>6</v>
      </c>
      <c r="D225">
        <v>1</v>
      </c>
      <c r="E225" s="1" t="s">
        <v>186</v>
      </c>
      <c r="F225" s="1" t="s">
        <v>30</v>
      </c>
      <c r="G225" s="1" t="s">
        <v>6</v>
      </c>
      <c r="H225">
        <v>2</v>
      </c>
      <c r="I225" s="1" t="s">
        <v>170</v>
      </c>
      <c r="J225" s="1" t="s">
        <v>5</v>
      </c>
      <c r="K225" s="1" t="s">
        <v>6</v>
      </c>
      <c r="L225">
        <v>3</v>
      </c>
      <c r="M225" s="1" t="s">
        <v>128</v>
      </c>
      <c r="N225" s="1" t="s">
        <v>40</v>
      </c>
      <c r="O225" s="1" t="s">
        <v>6</v>
      </c>
      <c r="P225">
        <v>4</v>
      </c>
    </row>
    <row r="226" spans="1:16" x14ac:dyDescent="0.2">
      <c r="A226" s="1" t="s">
        <v>128</v>
      </c>
      <c r="B226" s="1" t="s">
        <v>28</v>
      </c>
      <c r="C226" s="1" t="s">
        <v>6</v>
      </c>
      <c r="D226">
        <v>1</v>
      </c>
      <c r="E226" s="1" t="s">
        <v>189</v>
      </c>
      <c r="F226" s="1" t="s">
        <v>28</v>
      </c>
      <c r="G226" s="1" t="s">
        <v>6</v>
      </c>
      <c r="H226">
        <v>2</v>
      </c>
      <c r="I226" s="1" t="s">
        <v>238</v>
      </c>
      <c r="J226" s="1" t="s">
        <v>30</v>
      </c>
      <c r="K226" s="1" t="s">
        <v>6</v>
      </c>
      <c r="L226">
        <v>1</v>
      </c>
      <c r="M226" s="1" t="s">
        <v>128</v>
      </c>
      <c r="N226" s="1" t="s">
        <v>41</v>
      </c>
      <c r="O226" s="1" t="s">
        <v>6</v>
      </c>
      <c r="P226">
        <v>4</v>
      </c>
    </row>
    <row r="227" spans="1:16" x14ac:dyDescent="0.2">
      <c r="A227" s="1" t="s">
        <v>170</v>
      </c>
      <c r="B227" s="1" t="s">
        <v>28</v>
      </c>
      <c r="C227" s="1" t="s">
        <v>6</v>
      </c>
      <c r="D227">
        <v>1</v>
      </c>
      <c r="E227" s="1" t="s">
        <v>58</v>
      </c>
      <c r="F227" s="1" t="s">
        <v>42</v>
      </c>
      <c r="G227" s="1" t="s">
        <v>6</v>
      </c>
      <c r="H227">
        <v>2</v>
      </c>
      <c r="I227" s="6" t="s">
        <v>241</v>
      </c>
      <c r="J227" s="7"/>
      <c r="K227" s="7"/>
      <c r="L227" s="7"/>
      <c r="M227" s="1" t="s">
        <v>253</v>
      </c>
      <c r="N227" s="1" t="s">
        <v>132</v>
      </c>
      <c r="O227" s="1" t="s">
        <v>6</v>
      </c>
      <c r="P227">
        <v>1</v>
      </c>
    </row>
    <row r="228" spans="1:16" x14ac:dyDescent="0.2">
      <c r="A228" s="1" t="s">
        <v>170</v>
      </c>
      <c r="B228" s="1" t="s">
        <v>5</v>
      </c>
      <c r="C228" s="1" t="s">
        <v>6</v>
      </c>
      <c r="D228">
        <v>2</v>
      </c>
      <c r="E228" s="1" t="s">
        <v>58</v>
      </c>
      <c r="F228" s="1" t="s">
        <v>28</v>
      </c>
      <c r="G228" s="1" t="s">
        <v>6</v>
      </c>
      <c r="H228">
        <v>2</v>
      </c>
      <c r="I228" s="1" t="s">
        <v>0</v>
      </c>
      <c r="J228" s="1" t="s">
        <v>1</v>
      </c>
      <c r="K228" s="1" t="s">
        <v>2</v>
      </c>
      <c r="L228" t="s">
        <v>3</v>
      </c>
      <c r="M228" s="23" t="s">
        <v>256</v>
      </c>
      <c r="N228" s="23"/>
      <c r="O228" s="23"/>
      <c r="P228" s="23"/>
    </row>
    <row r="229" spans="1:16" x14ac:dyDescent="0.2">
      <c r="A229" s="1" t="s">
        <v>156</v>
      </c>
      <c r="B229" s="1" t="s">
        <v>42</v>
      </c>
      <c r="C229" s="1" t="s">
        <v>6</v>
      </c>
      <c r="D229">
        <v>3</v>
      </c>
      <c r="E229" s="1" t="s">
        <v>67</v>
      </c>
      <c r="F229" s="1" t="s">
        <v>30</v>
      </c>
      <c r="G229" s="1" t="s">
        <v>6</v>
      </c>
      <c r="H229">
        <v>2</v>
      </c>
      <c r="I229" s="1" t="s">
        <v>189</v>
      </c>
      <c r="J229" s="1" t="s">
        <v>28</v>
      </c>
      <c r="K229" s="1" t="s">
        <v>6</v>
      </c>
      <c r="L229">
        <v>2</v>
      </c>
      <c r="M229" s="1" t="s">
        <v>0</v>
      </c>
      <c r="N229" s="1" t="s">
        <v>1</v>
      </c>
      <c r="O229" s="1" t="s">
        <v>2</v>
      </c>
      <c r="P229" t="s">
        <v>3</v>
      </c>
    </row>
    <row r="230" spans="1:16" x14ac:dyDescent="0.2">
      <c r="A230" s="6" t="s">
        <v>172</v>
      </c>
      <c r="B230" s="7"/>
      <c r="C230" s="7"/>
      <c r="D230" s="7"/>
      <c r="E230" s="1" t="s">
        <v>67</v>
      </c>
      <c r="F230" s="1" t="s">
        <v>28</v>
      </c>
      <c r="G230" s="1" t="s">
        <v>6</v>
      </c>
      <c r="H230">
        <v>2</v>
      </c>
      <c r="I230" s="1" t="s">
        <v>197</v>
      </c>
      <c r="J230" s="1" t="s">
        <v>30</v>
      </c>
      <c r="K230" s="1" t="s">
        <v>6</v>
      </c>
      <c r="L230">
        <v>1</v>
      </c>
      <c r="M230" s="1" t="s">
        <v>31</v>
      </c>
      <c r="N230" s="1" t="s">
        <v>30</v>
      </c>
      <c r="O230" s="1" t="s">
        <v>6</v>
      </c>
      <c r="P230">
        <v>1</v>
      </c>
    </row>
    <row r="231" spans="1:16" x14ac:dyDescent="0.2">
      <c r="A231" s="1" t="s">
        <v>0</v>
      </c>
      <c r="B231" s="1" t="s">
        <v>1</v>
      </c>
      <c r="C231" s="1" t="s">
        <v>2</v>
      </c>
      <c r="D231" t="s">
        <v>3</v>
      </c>
      <c r="E231" s="1" t="s">
        <v>198</v>
      </c>
      <c r="F231" s="1" t="s">
        <v>132</v>
      </c>
      <c r="G231" s="1" t="s">
        <v>6</v>
      </c>
      <c r="H231">
        <v>1</v>
      </c>
      <c r="I231" s="1" t="s">
        <v>118</v>
      </c>
      <c r="J231" s="1" t="s">
        <v>30</v>
      </c>
      <c r="K231" s="1" t="s">
        <v>6</v>
      </c>
      <c r="L231">
        <v>1</v>
      </c>
      <c r="M231" s="1" t="s">
        <v>39</v>
      </c>
      <c r="N231" s="1" t="s">
        <v>42</v>
      </c>
      <c r="O231" s="1" t="s">
        <v>6</v>
      </c>
      <c r="P231">
        <v>1</v>
      </c>
    </row>
    <row r="232" spans="1:16" x14ac:dyDescent="0.2">
      <c r="A232" s="1" t="s">
        <v>33</v>
      </c>
      <c r="B232" s="1" t="s">
        <v>42</v>
      </c>
      <c r="C232" s="1" t="s">
        <v>6</v>
      </c>
      <c r="D232">
        <v>1</v>
      </c>
      <c r="E232" s="1" t="s">
        <v>200</v>
      </c>
      <c r="F232" s="1" t="s">
        <v>30</v>
      </c>
      <c r="G232" s="1" t="s">
        <v>6</v>
      </c>
      <c r="H232">
        <v>2</v>
      </c>
      <c r="I232" s="1" t="s">
        <v>238</v>
      </c>
      <c r="J232" s="1" t="s">
        <v>30</v>
      </c>
      <c r="K232" s="1" t="s">
        <v>6</v>
      </c>
      <c r="L232">
        <v>1</v>
      </c>
      <c r="M232" s="1" t="s">
        <v>39</v>
      </c>
      <c r="N232" s="1" t="s">
        <v>30</v>
      </c>
      <c r="O232" s="1" t="s">
        <v>6</v>
      </c>
      <c r="P232">
        <v>1</v>
      </c>
    </row>
    <row r="233" spans="1:16" x14ac:dyDescent="0.2">
      <c r="A233" s="1" t="s">
        <v>39</v>
      </c>
      <c r="B233" s="1" t="s">
        <v>42</v>
      </c>
      <c r="C233" s="1" t="s">
        <v>6</v>
      </c>
      <c r="D233">
        <v>1</v>
      </c>
      <c r="E233" s="1" t="s">
        <v>78</v>
      </c>
      <c r="F233" s="1" t="s">
        <v>42</v>
      </c>
      <c r="G233" s="1" t="s">
        <v>6</v>
      </c>
      <c r="H233">
        <v>3</v>
      </c>
      <c r="I233" s="8" t="s">
        <v>242</v>
      </c>
      <c r="J233" s="9"/>
      <c r="K233" s="9"/>
      <c r="L233" s="9"/>
      <c r="M233" s="1" t="s">
        <v>110</v>
      </c>
      <c r="N233" s="1" t="s">
        <v>5</v>
      </c>
      <c r="O233" s="1" t="s">
        <v>6</v>
      </c>
      <c r="P233">
        <v>1</v>
      </c>
    </row>
    <row r="234" spans="1:16" x14ac:dyDescent="0.2">
      <c r="A234" s="1" t="s">
        <v>39</v>
      </c>
      <c r="B234" s="1" t="s">
        <v>30</v>
      </c>
      <c r="C234" s="1" t="s">
        <v>6</v>
      </c>
      <c r="D234">
        <v>1</v>
      </c>
      <c r="E234" s="1" t="s">
        <v>84</v>
      </c>
      <c r="F234" s="1" t="s">
        <v>30</v>
      </c>
      <c r="G234" s="1" t="s">
        <v>6</v>
      </c>
      <c r="H234">
        <v>2</v>
      </c>
      <c r="I234" s="1" t="s">
        <v>0</v>
      </c>
      <c r="J234" s="1" t="s">
        <v>1</v>
      </c>
      <c r="K234" s="1" t="s">
        <v>2</v>
      </c>
      <c r="L234" t="s">
        <v>3</v>
      </c>
      <c r="M234" s="1" t="s">
        <v>118</v>
      </c>
      <c r="N234" s="1" t="s">
        <v>28</v>
      </c>
      <c r="O234" s="1" t="s">
        <v>6</v>
      </c>
      <c r="P234">
        <v>1</v>
      </c>
    </row>
    <row r="235" spans="1:16" x14ac:dyDescent="0.2">
      <c r="A235" s="1" t="s">
        <v>46</v>
      </c>
      <c r="B235" s="1" t="s">
        <v>30</v>
      </c>
      <c r="C235" s="1" t="s">
        <v>6</v>
      </c>
      <c r="D235">
        <v>1</v>
      </c>
      <c r="E235" s="1" t="s">
        <v>85</v>
      </c>
      <c r="F235" s="1" t="s">
        <v>42</v>
      </c>
      <c r="G235" s="1" t="s">
        <v>6</v>
      </c>
      <c r="H235">
        <v>2</v>
      </c>
      <c r="I235" s="1" t="s">
        <v>189</v>
      </c>
      <c r="J235" s="1" t="s">
        <v>5</v>
      </c>
      <c r="K235" s="1" t="s">
        <v>6</v>
      </c>
      <c r="L235">
        <v>2</v>
      </c>
      <c r="M235" s="1" t="s">
        <v>128</v>
      </c>
      <c r="N235" s="1" t="s">
        <v>40</v>
      </c>
      <c r="O235" s="1" t="s">
        <v>6</v>
      </c>
      <c r="P235">
        <v>4</v>
      </c>
    </row>
    <row r="236" spans="1:16" x14ac:dyDescent="0.2">
      <c r="A236" s="1" t="s">
        <v>61</v>
      </c>
      <c r="B236" s="1" t="s">
        <v>30</v>
      </c>
      <c r="C236" s="1" t="s">
        <v>6</v>
      </c>
      <c r="D236">
        <v>3</v>
      </c>
      <c r="E236" s="1" t="s">
        <v>128</v>
      </c>
      <c r="F236" s="1" t="s">
        <v>40</v>
      </c>
      <c r="G236" s="1" t="s">
        <v>6</v>
      </c>
      <c r="H236">
        <v>8</v>
      </c>
      <c r="I236" s="1" t="s">
        <v>118</v>
      </c>
      <c r="J236" s="1" t="s">
        <v>28</v>
      </c>
      <c r="K236" s="1" t="s">
        <v>6</v>
      </c>
      <c r="L236">
        <v>1</v>
      </c>
      <c r="M236" s="1" t="s">
        <v>128</v>
      </c>
      <c r="N236" s="1" t="s">
        <v>41</v>
      </c>
      <c r="O236" s="1" t="s">
        <v>6</v>
      </c>
      <c r="P236">
        <v>4</v>
      </c>
    </row>
    <row r="237" spans="1:16" x14ac:dyDescent="0.2">
      <c r="A237" s="1" t="s">
        <v>67</v>
      </c>
      <c r="B237" s="1" t="s">
        <v>28</v>
      </c>
      <c r="C237" s="1" t="s">
        <v>6</v>
      </c>
      <c r="D237">
        <v>1</v>
      </c>
      <c r="E237" s="1" t="s">
        <v>128</v>
      </c>
      <c r="F237" s="1" t="s">
        <v>41</v>
      </c>
      <c r="G237" s="1" t="s">
        <v>6</v>
      </c>
      <c r="H237">
        <v>8</v>
      </c>
      <c r="I237" s="1" t="s">
        <v>238</v>
      </c>
      <c r="J237" s="1" t="s">
        <v>13</v>
      </c>
      <c r="K237" s="1" t="s">
        <v>6</v>
      </c>
      <c r="L237">
        <v>1</v>
      </c>
      <c r="M237" s="10" t="s">
        <v>257</v>
      </c>
      <c r="N237" s="11"/>
      <c r="O237" s="11"/>
      <c r="P237" s="11"/>
    </row>
    <row r="238" spans="1:16" x14ac:dyDescent="0.2">
      <c r="A238" s="1" t="s">
        <v>90</v>
      </c>
      <c r="B238" s="1" t="s">
        <v>28</v>
      </c>
      <c r="C238" s="1" t="s">
        <v>6</v>
      </c>
      <c r="D238">
        <v>1</v>
      </c>
      <c r="E238" s="1" t="s">
        <v>128</v>
      </c>
      <c r="F238" s="1" t="s">
        <v>30</v>
      </c>
      <c r="G238" s="1" t="s">
        <v>6</v>
      </c>
      <c r="H238">
        <v>2</v>
      </c>
      <c r="I238" s="1" t="s">
        <v>238</v>
      </c>
      <c r="J238" s="1" t="s">
        <v>30</v>
      </c>
      <c r="K238" s="1" t="s">
        <v>6</v>
      </c>
      <c r="L238">
        <v>1</v>
      </c>
      <c r="M238" s="1" t="s">
        <v>0</v>
      </c>
      <c r="N238" s="1" t="s">
        <v>1</v>
      </c>
      <c r="O238" s="1" t="s">
        <v>2</v>
      </c>
      <c r="P238" t="s">
        <v>3</v>
      </c>
    </row>
    <row r="239" spans="1:16" x14ac:dyDescent="0.2">
      <c r="A239" s="1" t="s">
        <v>105</v>
      </c>
      <c r="B239" s="1" t="s">
        <v>30</v>
      </c>
      <c r="C239" s="1" t="s">
        <v>6</v>
      </c>
      <c r="D239">
        <v>1</v>
      </c>
      <c r="E239" s="1" t="s">
        <v>128</v>
      </c>
      <c r="F239" s="1" t="s">
        <v>28</v>
      </c>
      <c r="G239" s="1" t="s">
        <v>6</v>
      </c>
      <c r="H239">
        <v>1</v>
      </c>
      <c r="I239" s="10" t="s">
        <v>243</v>
      </c>
      <c r="J239" s="11"/>
      <c r="K239" s="11"/>
      <c r="L239" s="11"/>
      <c r="M239" s="1" t="s">
        <v>118</v>
      </c>
      <c r="N239" s="1" t="s">
        <v>28</v>
      </c>
      <c r="O239" s="1" t="s">
        <v>6</v>
      </c>
      <c r="P239">
        <v>1</v>
      </c>
    </row>
    <row r="240" spans="1:16" x14ac:dyDescent="0.2">
      <c r="A240" s="1" t="s">
        <v>128</v>
      </c>
      <c r="B240" s="1" t="s">
        <v>40</v>
      </c>
      <c r="C240" s="1" t="s">
        <v>6</v>
      </c>
      <c r="D240">
        <v>4</v>
      </c>
      <c r="E240" s="1" t="s">
        <v>129</v>
      </c>
      <c r="F240" s="1" t="s">
        <v>30</v>
      </c>
      <c r="G240" s="1" t="s">
        <v>6</v>
      </c>
      <c r="H240">
        <v>2</v>
      </c>
      <c r="I240" s="1" t="s">
        <v>0</v>
      </c>
      <c r="J240" s="1" t="s">
        <v>1</v>
      </c>
      <c r="K240" s="1" t="s">
        <v>2</v>
      </c>
      <c r="L240" t="s">
        <v>3</v>
      </c>
      <c r="M240" s="1" t="s">
        <v>128</v>
      </c>
      <c r="N240" s="1" t="s">
        <v>40</v>
      </c>
      <c r="O240" s="1" t="s">
        <v>6</v>
      </c>
      <c r="P240">
        <v>4</v>
      </c>
    </row>
    <row r="241" spans="1:16" x14ac:dyDescent="0.2">
      <c r="A241" s="1" t="s">
        <v>128</v>
      </c>
      <c r="B241" s="1" t="s">
        <v>41</v>
      </c>
      <c r="C241" s="1" t="s">
        <v>6</v>
      </c>
      <c r="D241">
        <v>4</v>
      </c>
      <c r="E241" s="1" t="s">
        <v>132</v>
      </c>
      <c r="F241" s="1" t="s">
        <v>28</v>
      </c>
      <c r="G241" s="1" t="s">
        <v>6</v>
      </c>
      <c r="H241">
        <v>1</v>
      </c>
      <c r="I241" s="1" t="s">
        <v>118</v>
      </c>
      <c r="J241" s="1" t="s">
        <v>28</v>
      </c>
      <c r="K241" s="1" t="s">
        <v>6</v>
      </c>
      <c r="L241">
        <v>1</v>
      </c>
      <c r="M241" s="1" t="s">
        <v>128</v>
      </c>
      <c r="N241" s="1" t="s">
        <v>41</v>
      </c>
      <c r="O241" s="1" t="s">
        <v>6</v>
      </c>
      <c r="P241">
        <v>4</v>
      </c>
    </row>
    <row r="242" spans="1:16" x14ac:dyDescent="0.2">
      <c r="A242" s="1" t="s">
        <v>170</v>
      </c>
      <c r="B242" s="1" t="s">
        <v>28</v>
      </c>
      <c r="C242" s="1" t="s">
        <v>6</v>
      </c>
      <c r="D242">
        <v>1</v>
      </c>
      <c r="E242" s="1" t="s">
        <v>170</v>
      </c>
      <c r="F242" s="1" t="s">
        <v>42</v>
      </c>
      <c r="G242" s="1" t="s">
        <v>6</v>
      </c>
      <c r="H242">
        <v>2</v>
      </c>
      <c r="M242" s="12" t="s">
        <v>258</v>
      </c>
      <c r="N242" s="13"/>
      <c r="O242" s="13"/>
      <c r="P242" s="13"/>
    </row>
    <row r="243" spans="1:16" x14ac:dyDescent="0.2">
      <c r="A243" s="8" t="s">
        <v>173</v>
      </c>
      <c r="B243" s="9"/>
      <c r="C243" s="9"/>
      <c r="D243" s="9"/>
      <c r="E243" s="1" t="s">
        <v>218</v>
      </c>
      <c r="F243" s="1" t="s">
        <v>5</v>
      </c>
      <c r="G243" s="1" t="s">
        <v>6</v>
      </c>
      <c r="H243">
        <v>3</v>
      </c>
      <c r="M243" s="1" t="s">
        <v>0</v>
      </c>
      <c r="N243" s="1" t="s">
        <v>1</v>
      </c>
      <c r="O243" s="1" t="s">
        <v>2</v>
      </c>
      <c r="P243" t="s">
        <v>3</v>
      </c>
    </row>
    <row r="244" spans="1:16" x14ac:dyDescent="0.2">
      <c r="A244" s="1" t="s">
        <v>0</v>
      </c>
      <c r="B244" s="1" t="s">
        <v>1</v>
      </c>
      <c r="C244" s="1" t="s">
        <v>2</v>
      </c>
      <c r="D244" t="s">
        <v>3</v>
      </c>
      <c r="E244" s="24" t="s">
        <v>221</v>
      </c>
      <c r="F244" s="24"/>
      <c r="G244" s="24"/>
      <c r="H244" s="24"/>
      <c r="M244" s="1" t="s">
        <v>118</v>
      </c>
      <c r="N244" s="1" t="s">
        <v>28</v>
      </c>
      <c r="O244" s="1" t="s">
        <v>6</v>
      </c>
      <c r="P244">
        <v>1</v>
      </c>
    </row>
    <row r="245" spans="1:16" x14ac:dyDescent="0.2">
      <c r="A245" s="1" t="s">
        <v>46</v>
      </c>
      <c r="B245" s="1" t="s">
        <v>30</v>
      </c>
      <c r="C245" s="1" t="s">
        <v>6</v>
      </c>
      <c r="D245">
        <v>3</v>
      </c>
      <c r="E245" s="1" t="s">
        <v>0</v>
      </c>
      <c r="F245" s="1" t="s">
        <v>1</v>
      </c>
      <c r="G245" s="1" t="s">
        <v>2</v>
      </c>
      <c r="H245" t="s">
        <v>3</v>
      </c>
      <c r="M245" s="1" t="s">
        <v>128</v>
      </c>
      <c r="N245" s="1" t="s">
        <v>40</v>
      </c>
      <c r="O245" s="1" t="s">
        <v>6</v>
      </c>
      <c r="P245">
        <v>2</v>
      </c>
    </row>
    <row r="246" spans="1:16" x14ac:dyDescent="0.2">
      <c r="A246" s="1" t="s">
        <v>61</v>
      </c>
      <c r="B246" s="1" t="s">
        <v>42</v>
      </c>
      <c r="C246" s="1" t="s">
        <v>6</v>
      </c>
      <c r="D246">
        <v>1</v>
      </c>
      <c r="E246" s="1" t="s">
        <v>23</v>
      </c>
      <c r="F246" s="1" t="s">
        <v>28</v>
      </c>
      <c r="G246" s="1" t="s">
        <v>6</v>
      </c>
      <c r="H246">
        <v>1</v>
      </c>
      <c r="M246" s="1" t="s">
        <v>128</v>
      </c>
      <c r="N246" s="1" t="s">
        <v>41</v>
      </c>
      <c r="O246" s="1" t="s">
        <v>6</v>
      </c>
      <c r="P246">
        <v>2</v>
      </c>
    </row>
    <row r="247" spans="1:16" x14ac:dyDescent="0.2">
      <c r="A247" s="1" t="s">
        <v>90</v>
      </c>
      <c r="B247" s="1" t="s">
        <v>28</v>
      </c>
      <c r="C247" s="1" t="s">
        <v>6</v>
      </c>
      <c r="D247">
        <v>1</v>
      </c>
      <c r="E247" s="1" t="s">
        <v>198</v>
      </c>
      <c r="F247" s="1" t="s">
        <v>124</v>
      </c>
      <c r="G247" s="1" t="s">
        <v>6</v>
      </c>
      <c r="H247">
        <v>4</v>
      </c>
      <c r="M247" s="14" t="s">
        <v>259</v>
      </c>
      <c r="N247" s="15"/>
      <c r="O247" s="15"/>
      <c r="P247" s="15"/>
    </row>
    <row r="248" spans="1:16" x14ac:dyDescent="0.2">
      <c r="A248" s="1" t="s">
        <v>105</v>
      </c>
      <c r="B248" s="1" t="s">
        <v>30</v>
      </c>
      <c r="C248" s="1" t="s">
        <v>6</v>
      </c>
      <c r="D248">
        <v>1</v>
      </c>
      <c r="E248" s="1" t="s">
        <v>128</v>
      </c>
      <c r="F248" s="1" t="s">
        <v>30</v>
      </c>
      <c r="G248" s="1" t="s">
        <v>6</v>
      </c>
      <c r="H248">
        <v>1</v>
      </c>
    </row>
    <row r="249" spans="1:16" x14ac:dyDescent="0.2">
      <c r="A249" s="1" t="s">
        <v>128</v>
      </c>
      <c r="B249" s="1" t="s">
        <v>40</v>
      </c>
      <c r="C249" s="1" t="s">
        <v>6</v>
      </c>
      <c r="D249">
        <v>4</v>
      </c>
      <c r="E249" s="1" t="s">
        <v>129</v>
      </c>
      <c r="F249" s="1" t="s">
        <v>30</v>
      </c>
      <c r="G249" s="1" t="s">
        <v>6</v>
      </c>
      <c r="H249">
        <v>2</v>
      </c>
    </row>
    <row r="250" spans="1:16" x14ac:dyDescent="0.2">
      <c r="A250" s="1" t="s">
        <v>128</v>
      </c>
      <c r="B250" s="1" t="s">
        <v>41</v>
      </c>
      <c r="C250" s="1" t="s">
        <v>6</v>
      </c>
      <c r="D250">
        <v>4</v>
      </c>
      <c r="E250" s="1" t="s">
        <v>170</v>
      </c>
      <c r="F250" s="1" t="s">
        <v>30</v>
      </c>
      <c r="G250" s="1" t="s">
        <v>6</v>
      </c>
      <c r="H250">
        <v>1</v>
      </c>
    </row>
    <row r="251" spans="1:16" x14ac:dyDescent="0.2">
      <c r="A251" s="1" t="s">
        <v>170</v>
      </c>
      <c r="B251" s="1" t="s">
        <v>28</v>
      </c>
      <c r="C251" s="1" t="s">
        <v>6</v>
      </c>
      <c r="D251">
        <v>1</v>
      </c>
      <c r="E251" s="1" t="s">
        <v>170</v>
      </c>
      <c r="F251" s="1" t="s">
        <v>42</v>
      </c>
      <c r="G251" s="1" t="s">
        <v>6</v>
      </c>
      <c r="H251">
        <v>2</v>
      </c>
    </row>
    <row r="252" spans="1:16" x14ac:dyDescent="0.2">
      <c r="A252" s="10" t="s">
        <v>174</v>
      </c>
      <c r="B252" s="11"/>
      <c r="C252" s="11"/>
      <c r="D252" s="11"/>
      <c r="E252" s="23" t="s">
        <v>222</v>
      </c>
      <c r="F252" s="23"/>
      <c r="G252" s="23"/>
      <c r="H252" s="23"/>
    </row>
    <row r="253" spans="1:16" x14ac:dyDescent="0.2">
      <c r="A253" s="1" t="s">
        <v>0</v>
      </c>
      <c r="B253" s="1" t="s">
        <v>1</v>
      </c>
      <c r="C253" s="1" t="s">
        <v>2</v>
      </c>
      <c r="D253" t="s">
        <v>3</v>
      </c>
      <c r="E253" s="1" t="s">
        <v>0</v>
      </c>
      <c r="F253" s="1" t="s">
        <v>1</v>
      </c>
      <c r="G253" s="1" t="s">
        <v>2</v>
      </c>
      <c r="H253" t="s">
        <v>3</v>
      </c>
    </row>
    <row r="254" spans="1:16" x14ac:dyDescent="0.2">
      <c r="A254" s="1" t="s">
        <v>46</v>
      </c>
      <c r="B254" s="1" t="s">
        <v>30</v>
      </c>
      <c r="C254" s="1" t="s">
        <v>6</v>
      </c>
      <c r="D254">
        <v>1</v>
      </c>
      <c r="E254" s="1" t="s">
        <v>23</v>
      </c>
      <c r="F254" s="1" t="s">
        <v>28</v>
      </c>
      <c r="G254" s="1" t="s">
        <v>6</v>
      </c>
      <c r="H254">
        <v>1</v>
      </c>
    </row>
    <row r="255" spans="1:16" x14ac:dyDescent="0.2">
      <c r="A255" s="1" t="s">
        <v>90</v>
      </c>
      <c r="B255" s="1" t="s">
        <v>28</v>
      </c>
      <c r="C255" s="1" t="s">
        <v>6</v>
      </c>
      <c r="D255">
        <v>1</v>
      </c>
    </row>
    <row r="256" spans="1:16" x14ac:dyDescent="0.2">
      <c r="A256" s="1" t="s">
        <v>128</v>
      </c>
      <c r="B256" s="1" t="s">
        <v>40</v>
      </c>
      <c r="C256" s="1" t="s">
        <v>6</v>
      </c>
      <c r="D256">
        <v>4</v>
      </c>
    </row>
    <row r="257" spans="1:4" x14ac:dyDescent="0.2">
      <c r="A257" s="1" t="s">
        <v>128</v>
      </c>
      <c r="B257" s="1" t="s">
        <v>41</v>
      </c>
      <c r="C257" s="1" t="s">
        <v>6</v>
      </c>
      <c r="D257">
        <v>4</v>
      </c>
    </row>
    <row r="258" spans="1:4" x14ac:dyDescent="0.2">
      <c r="A258" s="1" t="s">
        <v>170</v>
      </c>
      <c r="B258" s="1" t="s">
        <v>28</v>
      </c>
      <c r="C258" s="1" t="s">
        <v>6</v>
      </c>
      <c r="D258">
        <v>1</v>
      </c>
    </row>
    <row r="259" spans="1:4" x14ac:dyDescent="0.2">
      <c r="A259" s="12" t="s">
        <v>175</v>
      </c>
      <c r="B259" s="13"/>
      <c r="C259" s="13"/>
      <c r="D259" s="13"/>
    </row>
    <row r="260" spans="1:4" x14ac:dyDescent="0.2">
      <c r="A260" s="1" t="s">
        <v>0</v>
      </c>
      <c r="B260" s="1" t="s">
        <v>1</v>
      </c>
      <c r="C260" s="1" t="s">
        <v>2</v>
      </c>
      <c r="D260" t="s">
        <v>3</v>
      </c>
    </row>
    <row r="261" spans="1:4" x14ac:dyDescent="0.2">
      <c r="A261" s="1" t="s">
        <v>46</v>
      </c>
      <c r="B261" s="1" t="s">
        <v>42</v>
      </c>
      <c r="C261" s="1" t="s">
        <v>6</v>
      </c>
      <c r="D261">
        <v>1</v>
      </c>
    </row>
    <row r="262" spans="1:4" x14ac:dyDescent="0.2">
      <c r="A262" s="1" t="s">
        <v>46</v>
      </c>
      <c r="B262" s="1" t="s">
        <v>30</v>
      </c>
      <c r="C262" s="1" t="s">
        <v>6</v>
      </c>
      <c r="D262">
        <v>2</v>
      </c>
    </row>
    <row r="263" spans="1:4" x14ac:dyDescent="0.2">
      <c r="A263" s="1" t="s">
        <v>128</v>
      </c>
      <c r="B263" s="1" t="s">
        <v>40</v>
      </c>
      <c r="C263" s="1" t="s">
        <v>6</v>
      </c>
      <c r="D263">
        <v>4</v>
      </c>
    </row>
    <row r="264" spans="1:4" x14ac:dyDescent="0.2">
      <c r="A264" s="1" t="s">
        <v>128</v>
      </c>
      <c r="B264" s="1" t="s">
        <v>41</v>
      </c>
      <c r="C264" s="1" t="s">
        <v>6</v>
      </c>
      <c r="D264">
        <v>4</v>
      </c>
    </row>
    <row r="265" spans="1:4" x14ac:dyDescent="0.2">
      <c r="A265" s="1" t="s">
        <v>170</v>
      </c>
      <c r="B265" s="1" t="s">
        <v>28</v>
      </c>
      <c r="C265" s="1" t="s">
        <v>6</v>
      </c>
      <c r="D265">
        <v>1</v>
      </c>
    </row>
    <row r="266" spans="1:4" x14ac:dyDescent="0.2">
      <c r="A266" s="14" t="s">
        <v>176</v>
      </c>
      <c r="B266" s="15"/>
      <c r="C266" s="15"/>
      <c r="D266" s="15"/>
    </row>
    <row r="267" spans="1:4" x14ac:dyDescent="0.2">
      <c r="A267" s="1" t="s">
        <v>0</v>
      </c>
      <c r="B267" s="1" t="s">
        <v>1</v>
      </c>
      <c r="C267" s="1" t="s">
        <v>2</v>
      </c>
      <c r="D267" t="s">
        <v>3</v>
      </c>
    </row>
    <row r="268" spans="1:4" x14ac:dyDescent="0.2">
      <c r="A268" s="1" t="s">
        <v>46</v>
      </c>
      <c r="B268" s="1" t="s">
        <v>30</v>
      </c>
      <c r="C268" s="1" t="s">
        <v>6</v>
      </c>
      <c r="D268">
        <v>1</v>
      </c>
    </row>
    <row r="269" spans="1:4" x14ac:dyDescent="0.2">
      <c r="A269" s="1" t="s">
        <v>170</v>
      </c>
      <c r="B269" s="1" t="s">
        <v>28</v>
      </c>
      <c r="C269" s="1" t="s">
        <v>6</v>
      </c>
      <c r="D269">
        <v>1</v>
      </c>
    </row>
  </sheetData>
  <mergeCells count="23">
    <mergeCell ref="M242:P242"/>
    <mergeCell ref="M247:P247"/>
    <mergeCell ref="I1:L1"/>
    <mergeCell ref="I203:L203"/>
    <mergeCell ref="I227:L227"/>
    <mergeCell ref="I233:L233"/>
    <mergeCell ref="I239:L239"/>
    <mergeCell ref="M1:P1"/>
    <mergeCell ref="M186:P186"/>
    <mergeCell ref="M217:P217"/>
    <mergeCell ref="M228:P228"/>
    <mergeCell ref="M237:P237"/>
    <mergeCell ref="A266:D266"/>
    <mergeCell ref="E1:H1"/>
    <mergeCell ref="E217:H217"/>
    <mergeCell ref="E252:H252"/>
    <mergeCell ref="E244:H244"/>
    <mergeCell ref="A1:D1"/>
    <mergeCell ref="A204:D204"/>
    <mergeCell ref="A230:D230"/>
    <mergeCell ref="A243:D243"/>
    <mergeCell ref="A252:D252"/>
    <mergeCell ref="A259:D259"/>
  </mergeCells>
  <pageMargins left="0.511811024" right="0.511811024" top="0.78740157499999996" bottom="0.78740157499999996" header="0.31496062000000002" footer="0.31496062000000002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186D-AB97-5147-B58F-C97E98BFFB72}">
  <dimension ref="A1:AE967"/>
  <sheetViews>
    <sheetView tabSelected="1" topLeftCell="G86" zoomScaleNormal="220" workbookViewId="0">
      <selection activeCell="O117" sqref="O117"/>
    </sheetView>
  </sheetViews>
  <sheetFormatPr baseColWidth="10" defaultRowHeight="16" x14ac:dyDescent="0.2"/>
  <cols>
    <col min="1" max="1" width="9.83203125" style="1" bestFit="1" customWidth="1"/>
    <col min="2" max="2" width="8.83203125" style="1" bestFit="1" customWidth="1"/>
    <col min="3" max="3" width="10.5" style="1" bestFit="1" customWidth="1"/>
    <col min="4" max="4" width="7" style="1" bestFit="1" customWidth="1"/>
    <col min="5" max="5" width="6.83203125" style="1" bestFit="1" customWidth="1"/>
    <col min="6" max="6" width="11.83203125" bestFit="1" customWidth="1"/>
    <col min="7" max="7" width="4.83203125" customWidth="1"/>
    <col min="8" max="8" width="17.33203125" bestFit="1" customWidth="1"/>
    <col min="9" max="9" width="19" bestFit="1" customWidth="1"/>
    <col min="10" max="12" width="4.1640625" bestFit="1" customWidth="1"/>
    <col min="13" max="13" width="15.83203125" bestFit="1" customWidth="1"/>
    <col min="14" max="14" width="16.83203125" bestFit="1" customWidth="1"/>
    <col min="15" max="15" width="15.83203125" bestFit="1" customWidth="1"/>
    <col min="16" max="16" width="16.83203125" bestFit="1" customWidth="1"/>
    <col min="17" max="18" width="12.1640625" bestFit="1" customWidth="1"/>
    <col min="19" max="19" width="8" customWidth="1"/>
    <col min="20" max="20" width="7.6640625" customWidth="1"/>
    <col min="21" max="21" width="6.33203125" customWidth="1"/>
    <col min="22" max="22" width="6.1640625" customWidth="1"/>
    <col min="23" max="23" width="7.1640625" bestFit="1" customWidth="1"/>
    <col min="24" max="27" width="2.33203125" bestFit="1" customWidth="1"/>
    <col min="28" max="28" width="7.1640625" bestFit="1" customWidth="1"/>
    <col min="29" max="31" width="2.33203125" bestFit="1" customWidth="1"/>
    <col min="32" max="32" width="7.1640625" bestFit="1" customWidth="1"/>
    <col min="33" max="34" width="2.33203125" bestFit="1" customWidth="1"/>
    <col min="35" max="35" width="7.1640625" bestFit="1" customWidth="1"/>
    <col min="36" max="36" width="2.33203125" bestFit="1" customWidth="1"/>
    <col min="37" max="37" width="7.1640625" bestFit="1" customWidth="1"/>
    <col min="38" max="38" width="10.6640625" bestFit="1" customWidth="1"/>
  </cols>
  <sheetData>
    <row r="1" spans="1:31" x14ac:dyDescent="0.2">
      <c r="A1" s="1" t="s">
        <v>260</v>
      </c>
      <c r="B1" s="1" t="s">
        <v>261</v>
      </c>
      <c r="C1" s="1" t="s">
        <v>0</v>
      </c>
      <c r="D1" s="1" t="s">
        <v>1</v>
      </c>
      <c r="E1" s="1" t="s">
        <v>2</v>
      </c>
      <c r="F1" t="s">
        <v>3</v>
      </c>
      <c r="N1" s="33" t="s">
        <v>301</v>
      </c>
      <c r="O1" s="34"/>
      <c r="P1" s="34"/>
      <c r="Q1" s="34"/>
      <c r="R1" s="34"/>
      <c r="S1" s="34"/>
    </row>
    <row r="2" spans="1:31" x14ac:dyDescent="0.2">
      <c r="A2" s="1">
        <v>1</v>
      </c>
      <c r="B2" s="1">
        <v>0</v>
      </c>
      <c r="C2" s="1" t="s">
        <v>95</v>
      </c>
      <c r="D2" s="1" t="s">
        <v>13</v>
      </c>
      <c r="E2" s="1" t="s">
        <v>6</v>
      </c>
      <c r="F2">
        <v>4</v>
      </c>
      <c r="H2" s="16" t="s">
        <v>178</v>
      </c>
      <c r="I2" s="16" t="s">
        <v>262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263</v>
      </c>
    </row>
    <row r="3" spans="1:31" x14ac:dyDescent="0.2">
      <c r="A3" s="1">
        <v>1</v>
      </c>
      <c r="B3" s="1">
        <v>0</v>
      </c>
      <c r="C3" s="1" t="s">
        <v>95</v>
      </c>
      <c r="D3" s="1" t="s">
        <v>5</v>
      </c>
      <c r="E3" s="1" t="s">
        <v>6</v>
      </c>
      <c r="F3">
        <v>3</v>
      </c>
      <c r="H3" s="16" t="s">
        <v>177</v>
      </c>
      <c r="I3" s="1">
        <v>1</v>
      </c>
      <c r="J3" s="1">
        <v>2</v>
      </c>
      <c r="K3" s="1">
        <v>3</v>
      </c>
      <c r="L3" s="1">
        <v>4</v>
      </c>
      <c r="N3" t="s">
        <v>286</v>
      </c>
      <c r="O3">
        <v>388</v>
      </c>
      <c r="P3">
        <v>396</v>
      </c>
      <c r="Q3">
        <v>376</v>
      </c>
      <c r="R3">
        <v>383</v>
      </c>
      <c r="S3">
        <f>AVERAGE(O3:R3)</f>
        <v>385.75</v>
      </c>
    </row>
    <row r="4" spans="1:31" x14ac:dyDescent="0.2">
      <c r="A4" s="1">
        <v>1</v>
      </c>
      <c r="B4" s="1">
        <v>0</v>
      </c>
      <c r="C4" s="1" t="s">
        <v>145</v>
      </c>
      <c r="D4" s="1" t="s">
        <v>5</v>
      </c>
      <c r="E4" s="1" t="s">
        <v>6</v>
      </c>
      <c r="F4">
        <v>1</v>
      </c>
      <c r="H4" s="29">
        <v>0</v>
      </c>
      <c r="I4" s="18">
        <v>388</v>
      </c>
      <c r="J4" s="18">
        <v>396</v>
      </c>
      <c r="K4" s="18">
        <v>376</v>
      </c>
      <c r="L4" s="18">
        <v>383</v>
      </c>
      <c r="N4">
        <v>1</v>
      </c>
      <c r="O4">
        <v>61</v>
      </c>
      <c r="P4">
        <v>57</v>
      </c>
      <c r="Q4">
        <v>60</v>
      </c>
      <c r="R4">
        <v>72</v>
      </c>
      <c r="S4">
        <f t="shared" ref="S4:S9" si="0">AVERAGE(O4:R4)</f>
        <v>62.5</v>
      </c>
      <c r="T4">
        <f>1-(S4/S3)</f>
        <v>0.8379779650032404</v>
      </c>
    </row>
    <row r="5" spans="1:31" x14ac:dyDescent="0.2">
      <c r="A5" s="1">
        <v>1</v>
      </c>
      <c r="B5" s="1">
        <v>0</v>
      </c>
      <c r="C5" s="1" t="s">
        <v>46</v>
      </c>
      <c r="D5" s="1" t="s">
        <v>30</v>
      </c>
      <c r="E5" s="1" t="s">
        <v>6</v>
      </c>
      <c r="F5">
        <v>2</v>
      </c>
      <c r="H5" s="29">
        <v>1</v>
      </c>
      <c r="I5" s="18">
        <v>61</v>
      </c>
      <c r="J5" s="18">
        <v>57</v>
      </c>
      <c r="K5" s="18">
        <v>60</v>
      </c>
      <c r="L5" s="18">
        <v>72</v>
      </c>
      <c r="N5">
        <v>2</v>
      </c>
      <c r="O5">
        <v>22</v>
      </c>
      <c r="P5">
        <v>11</v>
      </c>
      <c r="Q5">
        <v>5</v>
      </c>
      <c r="R5">
        <v>19</v>
      </c>
      <c r="S5">
        <f t="shared" si="0"/>
        <v>14.25</v>
      </c>
      <c r="T5">
        <f t="shared" ref="T5:T9" si="1">1-(S5/S4)</f>
        <v>0.77200000000000002</v>
      </c>
    </row>
    <row r="6" spans="1:31" x14ac:dyDescent="0.2">
      <c r="A6" s="1">
        <v>1</v>
      </c>
      <c r="B6" s="1">
        <v>0</v>
      </c>
      <c r="C6" s="1" t="s">
        <v>46</v>
      </c>
      <c r="D6" s="1" t="s">
        <v>42</v>
      </c>
      <c r="E6" s="1" t="s">
        <v>6</v>
      </c>
      <c r="F6">
        <v>1</v>
      </c>
      <c r="H6" s="29">
        <v>2</v>
      </c>
      <c r="I6" s="18">
        <v>22</v>
      </c>
      <c r="J6" s="18">
        <v>11</v>
      </c>
      <c r="K6" s="18">
        <v>5</v>
      </c>
      <c r="L6" s="18">
        <v>19</v>
      </c>
      <c r="N6">
        <v>3</v>
      </c>
      <c r="O6">
        <v>15</v>
      </c>
      <c r="P6">
        <v>1</v>
      </c>
      <c r="Q6">
        <v>5</v>
      </c>
      <c r="R6">
        <v>13</v>
      </c>
      <c r="S6">
        <f t="shared" si="0"/>
        <v>8.5</v>
      </c>
      <c r="T6">
        <f t="shared" si="1"/>
        <v>0.40350877192982459</v>
      </c>
    </row>
    <row r="7" spans="1:31" x14ac:dyDescent="0.2">
      <c r="A7" s="1">
        <v>1</v>
      </c>
      <c r="B7" s="1">
        <v>0</v>
      </c>
      <c r="C7" s="1" t="s">
        <v>14</v>
      </c>
      <c r="D7" s="1" t="s">
        <v>5</v>
      </c>
      <c r="E7" s="1" t="s">
        <v>6</v>
      </c>
      <c r="F7">
        <v>2</v>
      </c>
      <c r="H7" s="29">
        <v>3</v>
      </c>
      <c r="I7" s="18">
        <v>15</v>
      </c>
      <c r="J7" s="18">
        <v>1</v>
      </c>
      <c r="K7" s="18">
        <v>5</v>
      </c>
      <c r="L7" s="18">
        <v>13</v>
      </c>
      <c r="N7">
        <v>4</v>
      </c>
      <c r="O7">
        <v>11</v>
      </c>
      <c r="P7">
        <v>0</v>
      </c>
      <c r="Q7">
        <v>1</v>
      </c>
      <c r="R7">
        <v>9</v>
      </c>
      <c r="S7">
        <f t="shared" si="0"/>
        <v>5.25</v>
      </c>
      <c r="T7">
        <f t="shared" si="1"/>
        <v>0.38235294117647056</v>
      </c>
    </row>
    <row r="8" spans="1:31" x14ac:dyDescent="0.2">
      <c r="A8" s="1">
        <v>1</v>
      </c>
      <c r="B8" s="1">
        <v>0</v>
      </c>
      <c r="C8" s="1" t="s">
        <v>69</v>
      </c>
      <c r="D8" s="1" t="s">
        <v>5</v>
      </c>
      <c r="E8" s="1" t="s">
        <v>6</v>
      </c>
      <c r="F8">
        <v>1</v>
      </c>
      <c r="H8" s="29">
        <v>4</v>
      </c>
      <c r="I8" s="18">
        <v>11</v>
      </c>
      <c r="J8" s="18">
        <v>0</v>
      </c>
      <c r="K8" s="18">
        <v>1</v>
      </c>
      <c r="L8" s="18">
        <v>9</v>
      </c>
      <c r="N8">
        <v>5</v>
      </c>
      <c r="O8">
        <v>12</v>
      </c>
      <c r="P8">
        <v>0</v>
      </c>
      <c r="Q8">
        <v>0</v>
      </c>
      <c r="R8">
        <v>5</v>
      </c>
      <c r="S8">
        <f t="shared" si="0"/>
        <v>4.25</v>
      </c>
      <c r="T8">
        <f t="shared" si="1"/>
        <v>0.19047619047619047</v>
      </c>
    </row>
    <row r="9" spans="1:31" x14ac:dyDescent="0.2">
      <c r="A9" s="1">
        <v>1</v>
      </c>
      <c r="B9" s="1">
        <v>0</v>
      </c>
      <c r="C9" s="1" t="s">
        <v>139</v>
      </c>
      <c r="D9" s="1" t="s">
        <v>5</v>
      </c>
      <c r="E9" s="1" t="s">
        <v>6</v>
      </c>
      <c r="F9">
        <v>1</v>
      </c>
      <c r="H9" s="29">
        <v>5</v>
      </c>
      <c r="I9" s="18">
        <v>12</v>
      </c>
      <c r="J9" s="18">
        <v>0</v>
      </c>
      <c r="K9" s="18">
        <v>0</v>
      </c>
      <c r="L9" s="18">
        <v>5</v>
      </c>
      <c r="N9">
        <v>6</v>
      </c>
      <c r="O9">
        <v>2</v>
      </c>
      <c r="P9">
        <v>0</v>
      </c>
      <c r="Q9">
        <v>0</v>
      </c>
      <c r="R9">
        <v>0</v>
      </c>
      <c r="S9">
        <f t="shared" si="0"/>
        <v>0.5</v>
      </c>
      <c r="T9">
        <f t="shared" si="1"/>
        <v>0.88235294117647056</v>
      </c>
    </row>
    <row r="10" spans="1:31" x14ac:dyDescent="0.2">
      <c r="A10" s="1">
        <v>1</v>
      </c>
      <c r="B10" s="1">
        <v>0</v>
      </c>
      <c r="C10" s="1" t="s">
        <v>47</v>
      </c>
      <c r="D10" s="1" t="s">
        <v>13</v>
      </c>
      <c r="E10" s="1" t="s">
        <v>6</v>
      </c>
      <c r="F10">
        <v>2</v>
      </c>
      <c r="H10" s="29">
        <v>6</v>
      </c>
      <c r="I10" s="18">
        <v>2</v>
      </c>
      <c r="J10" s="18">
        <v>0</v>
      </c>
      <c r="K10" s="18">
        <v>0</v>
      </c>
      <c r="L10" s="18">
        <v>0</v>
      </c>
      <c r="AE10" s="1"/>
    </row>
    <row r="11" spans="1:31" x14ac:dyDescent="0.2">
      <c r="A11" s="1">
        <v>1</v>
      </c>
      <c r="B11" s="1">
        <v>0</v>
      </c>
      <c r="C11" s="1" t="s">
        <v>41</v>
      </c>
      <c r="D11" s="1" t="s">
        <v>13</v>
      </c>
      <c r="E11" s="1" t="s">
        <v>6</v>
      </c>
      <c r="F11">
        <v>1</v>
      </c>
      <c r="AE11" s="1"/>
    </row>
    <row r="12" spans="1:31" x14ac:dyDescent="0.2">
      <c r="A12" s="1">
        <v>1</v>
      </c>
      <c r="B12" s="1">
        <v>0</v>
      </c>
      <c r="C12" s="1" t="s">
        <v>66</v>
      </c>
      <c r="D12" s="1" t="s">
        <v>5</v>
      </c>
      <c r="E12" s="1" t="s">
        <v>6</v>
      </c>
      <c r="F12">
        <v>1</v>
      </c>
      <c r="S12" s="18"/>
      <c r="AE12" s="1"/>
    </row>
    <row r="13" spans="1:31" x14ac:dyDescent="0.2">
      <c r="A13" s="1">
        <v>1</v>
      </c>
      <c r="B13" s="1">
        <v>0</v>
      </c>
      <c r="C13" s="1" t="s">
        <v>53</v>
      </c>
      <c r="D13" s="1" t="s">
        <v>28</v>
      </c>
      <c r="E13" s="1" t="s">
        <v>6</v>
      </c>
      <c r="F13">
        <v>3</v>
      </c>
      <c r="I13" s="31">
        <v>388</v>
      </c>
      <c r="S13" s="18"/>
      <c r="AE13" s="1"/>
    </row>
    <row r="14" spans="1:31" x14ac:dyDescent="0.2">
      <c r="A14" s="1">
        <v>1</v>
      </c>
      <c r="B14" s="1">
        <v>0</v>
      </c>
      <c r="C14" s="1" t="s">
        <v>48</v>
      </c>
      <c r="D14" s="1" t="s">
        <v>5</v>
      </c>
      <c r="E14" s="1" t="s">
        <v>6</v>
      </c>
      <c r="F14">
        <v>1</v>
      </c>
      <c r="I14" s="31">
        <v>396</v>
      </c>
      <c r="S14" s="18"/>
      <c r="AE14" s="1"/>
    </row>
    <row r="15" spans="1:31" x14ac:dyDescent="0.2">
      <c r="A15" s="1">
        <v>1</v>
      </c>
      <c r="B15" s="1">
        <v>0</v>
      </c>
      <c r="C15" s="1" t="s">
        <v>48</v>
      </c>
      <c r="D15" s="1" t="s">
        <v>28</v>
      </c>
      <c r="E15" s="1" t="s">
        <v>6</v>
      </c>
      <c r="F15">
        <v>1</v>
      </c>
      <c r="I15" s="31">
        <v>376</v>
      </c>
      <c r="S15" s="18"/>
      <c r="AE15" s="1"/>
    </row>
    <row r="16" spans="1:31" x14ac:dyDescent="0.2">
      <c r="A16" s="1">
        <v>1</v>
      </c>
      <c r="B16" s="1">
        <v>0</v>
      </c>
      <c r="C16" s="1" t="s">
        <v>29</v>
      </c>
      <c r="D16" s="1" t="s">
        <v>30</v>
      </c>
      <c r="E16" s="1" t="s">
        <v>6</v>
      </c>
      <c r="F16">
        <v>3</v>
      </c>
      <c r="I16" s="31">
        <v>383</v>
      </c>
      <c r="S16" s="18"/>
      <c r="AE16" s="1"/>
    </row>
    <row r="17" spans="1:31" x14ac:dyDescent="0.2">
      <c r="A17" s="1">
        <v>1</v>
      </c>
      <c r="B17" s="1">
        <v>0</v>
      </c>
      <c r="C17" s="1" t="s">
        <v>29</v>
      </c>
      <c r="D17" s="1" t="s">
        <v>5</v>
      </c>
      <c r="E17" s="1" t="s">
        <v>6</v>
      </c>
      <c r="F17">
        <v>1</v>
      </c>
      <c r="S17" s="18"/>
      <c r="AE17" s="1"/>
    </row>
    <row r="18" spans="1:31" x14ac:dyDescent="0.2">
      <c r="A18" s="1">
        <v>1</v>
      </c>
      <c r="B18" s="1">
        <v>0</v>
      </c>
      <c r="C18" s="1" t="s">
        <v>127</v>
      </c>
      <c r="D18" s="1" t="s">
        <v>5</v>
      </c>
      <c r="E18" s="1" t="s">
        <v>6</v>
      </c>
      <c r="F18">
        <v>2</v>
      </c>
      <c r="S18" s="18"/>
      <c r="AE18" s="1"/>
    </row>
    <row r="19" spans="1:31" x14ac:dyDescent="0.2">
      <c r="A19" s="1">
        <v>1</v>
      </c>
      <c r="B19" s="1">
        <v>0</v>
      </c>
      <c r="C19" s="1" t="s">
        <v>127</v>
      </c>
      <c r="D19" s="1" t="s">
        <v>28</v>
      </c>
      <c r="E19" s="1" t="s">
        <v>6</v>
      </c>
      <c r="F19">
        <v>1</v>
      </c>
      <c r="S19" s="18"/>
      <c r="AE19" s="1"/>
    </row>
    <row r="20" spans="1:31" x14ac:dyDescent="0.2">
      <c r="A20" s="1">
        <v>1</v>
      </c>
      <c r="B20" s="1">
        <v>0</v>
      </c>
      <c r="C20" s="1" t="s">
        <v>126</v>
      </c>
      <c r="D20" s="1" t="s">
        <v>5</v>
      </c>
      <c r="E20" s="1" t="s">
        <v>6</v>
      </c>
      <c r="F20">
        <v>2</v>
      </c>
      <c r="S20" s="18"/>
      <c r="AE20" s="1"/>
    </row>
    <row r="21" spans="1:31" x14ac:dyDescent="0.2">
      <c r="A21" s="1">
        <v>1</v>
      </c>
      <c r="B21" s="1">
        <v>0</v>
      </c>
      <c r="C21" s="1" t="s">
        <v>108</v>
      </c>
      <c r="D21" s="1" t="s">
        <v>5</v>
      </c>
      <c r="E21" s="1" t="s">
        <v>6</v>
      </c>
      <c r="F21">
        <v>1</v>
      </c>
      <c r="S21" s="18"/>
      <c r="AE21" s="1"/>
    </row>
    <row r="22" spans="1:31" x14ac:dyDescent="0.2">
      <c r="A22" s="1">
        <v>1</v>
      </c>
      <c r="B22" s="1">
        <v>0</v>
      </c>
      <c r="C22" s="1" t="s">
        <v>61</v>
      </c>
      <c r="D22" s="1" t="s">
        <v>30</v>
      </c>
      <c r="E22" s="1" t="s">
        <v>6</v>
      </c>
      <c r="F22">
        <v>4</v>
      </c>
      <c r="AE22" s="1"/>
    </row>
    <row r="23" spans="1:31" x14ac:dyDescent="0.2">
      <c r="A23" s="1">
        <v>1</v>
      </c>
      <c r="B23" s="1">
        <v>0</v>
      </c>
      <c r="C23" s="1" t="s">
        <v>61</v>
      </c>
      <c r="D23" s="1" t="s">
        <v>5</v>
      </c>
      <c r="E23" s="1" t="s">
        <v>6</v>
      </c>
      <c r="F23">
        <v>2</v>
      </c>
      <c r="AE23" s="1"/>
    </row>
    <row r="24" spans="1:31" x14ac:dyDescent="0.2">
      <c r="A24" s="1">
        <v>1</v>
      </c>
      <c r="B24" s="1">
        <v>0</v>
      </c>
      <c r="C24" s="1" t="s">
        <v>72</v>
      </c>
      <c r="D24" s="1" t="s">
        <v>30</v>
      </c>
      <c r="E24" s="1" t="s">
        <v>6</v>
      </c>
      <c r="F24">
        <v>5</v>
      </c>
      <c r="AE24" s="1"/>
    </row>
    <row r="25" spans="1:31" x14ac:dyDescent="0.2">
      <c r="A25" s="1">
        <v>1</v>
      </c>
      <c r="B25" s="1">
        <v>0</v>
      </c>
      <c r="C25" s="1" t="s">
        <v>72</v>
      </c>
      <c r="D25" s="1" t="s">
        <v>5</v>
      </c>
      <c r="E25" s="1" t="s">
        <v>6</v>
      </c>
      <c r="F25">
        <v>2</v>
      </c>
      <c r="AE25" s="1"/>
    </row>
    <row r="26" spans="1:31" x14ac:dyDescent="0.2">
      <c r="A26" s="1">
        <v>1</v>
      </c>
      <c r="B26" s="1">
        <v>0</v>
      </c>
      <c r="C26" s="1" t="s">
        <v>166</v>
      </c>
      <c r="D26" s="1" t="s">
        <v>5</v>
      </c>
      <c r="E26" s="1" t="s">
        <v>6</v>
      </c>
      <c r="F26">
        <v>3</v>
      </c>
      <c r="AE26" s="1"/>
    </row>
    <row r="27" spans="1:31" x14ac:dyDescent="0.2">
      <c r="A27" s="1">
        <v>1</v>
      </c>
      <c r="B27" s="1">
        <v>0</v>
      </c>
      <c r="C27" s="1" t="s">
        <v>100</v>
      </c>
      <c r="D27" s="1" t="s">
        <v>5</v>
      </c>
      <c r="E27" s="1" t="s">
        <v>6</v>
      </c>
      <c r="F27">
        <v>2</v>
      </c>
      <c r="AE27" s="1"/>
    </row>
    <row r="28" spans="1:31" x14ac:dyDescent="0.2">
      <c r="A28" s="1">
        <v>1</v>
      </c>
      <c r="B28" s="1">
        <v>0</v>
      </c>
      <c r="C28" s="1" t="s">
        <v>109</v>
      </c>
      <c r="D28" s="1" t="s">
        <v>13</v>
      </c>
      <c r="E28" s="1" t="s">
        <v>6</v>
      </c>
      <c r="F28">
        <v>1</v>
      </c>
      <c r="AE28" s="1"/>
    </row>
    <row r="29" spans="1:31" x14ac:dyDescent="0.2">
      <c r="A29" s="1">
        <v>1</v>
      </c>
      <c r="B29" s="1">
        <v>0</v>
      </c>
      <c r="C29" s="1" t="s">
        <v>131</v>
      </c>
      <c r="D29" s="1" t="s">
        <v>5</v>
      </c>
      <c r="E29" s="1" t="s">
        <v>6</v>
      </c>
      <c r="F29">
        <v>3</v>
      </c>
      <c r="AE29" s="1"/>
    </row>
    <row r="30" spans="1:31" x14ac:dyDescent="0.2">
      <c r="A30" s="1">
        <v>1</v>
      </c>
      <c r="B30" s="1">
        <v>0</v>
      </c>
      <c r="C30" s="1" t="s">
        <v>155</v>
      </c>
      <c r="D30" s="1" t="s">
        <v>13</v>
      </c>
      <c r="E30" s="1" t="s">
        <v>6</v>
      </c>
      <c r="F30">
        <v>1</v>
      </c>
      <c r="AE30" s="1"/>
    </row>
    <row r="31" spans="1:31" x14ac:dyDescent="0.2">
      <c r="A31" s="1">
        <v>1</v>
      </c>
      <c r="B31" s="1">
        <v>0</v>
      </c>
      <c r="C31" s="1" t="s">
        <v>74</v>
      </c>
      <c r="D31" s="1" t="s">
        <v>5</v>
      </c>
      <c r="E31" s="1" t="s">
        <v>6</v>
      </c>
      <c r="F31">
        <v>4</v>
      </c>
      <c r="AE31" s="1"/>
    </row>
    <row r="32" spans="1:31" x14ac:dyDescent="0.2">
      <c r="A32" s="1">
        <v>1</v>
      </c>
      <c r="B32" s="1">
        <v>0</v>
      </c>
      <c r="C32" s="1" t="s">
        <v>121</v>
      </c>
      <c r="D32" s="1" t="s">
        <v>40</v>
      </c>
      <c r="E32" s="1" t="s">
        <v>6</v>
      </c>
      <c r="F32">
        <v>2</v>
      </c>
      <c r="H32" s="16" t="s">
        <v>261</v>
      </c>
      <c r="I32" t="s">
        <v>270</v>
      </c>
      <c r="AE32" s="1"/>
    </row>
    <row r="33" spans="1:31" x14ac:dyDescent="0.2">
      <c r="A33" s="1">
        <v>1</v>
      </c>
      <c r="B33" s="1">
        <v>0</v>
      </c>
      <c r="C33" s="1" t="s">
        <v>121</v>
      </c>
      <c r="D33" s="1" t="s">
        <v>41</v>
      </c>
      <c r="E33" s="1" t="s">
        <v>6</v>
      </c>
      <c r="F33">
        <v>2</v>
      </c>
      <c r="N33" s="33" t="s">
        <v>302</v>
      </c>
      <c r="O33" s="34"/>
      <c r="P33" s="34"/>
      <c r="Q33" s="34"/>
      <c r="R33" s="34"/>
      <c r="AE33" s="1"/>
    </row>
    <row r="34" spans="1:31" x14ac:dyDescent="0.2">
      <c r="A34" s="1">
        <v>1</v>
      </c>
      <c r="B34" s="1">
        <v>0</v>
      </c>
      <c r="C34" s="1" t="s">
        <v>121</v>
      </c>
      <c r="D34" s="1" t="s">
        <v>28</v>
      </c>
      <c r="E34" s="1" t="s">
        <v>6</v>
      </c>
      <c r="F34">
        <v>1</v>
      </c>
      <c r="H34" s="16" t="s">
        <v>178</v>
      </c>
      <c r="I34" s="16" t="s">
        <v>262</v>
      </c>
      <c r="N34" t="s">
        <v>269</v>
      </c>
      <c r="O34" s="30" t="s">
        <v>265</v>
      </c>
      <c r="P34" s="30" t="s">
        <v>266</v>
      </c>
      <c r="Q34" s="30" t="s">
        <v>267</v>
      </c>
      <c r="R34" s="30" t="s">
        <v>268</v>
      </c>
      <c r="AE34" s="1"/>
    </row>
    <row r="35" spans="1:31" x14ac:dyDescent="0.2">
      <c r="A35" s="1">
        <v>1</v>
      </c>
      <c r="B35" s="1">
        <v>0</v>
      </c>
      <c r="C35" s="1" t="s">
        <v>153</v>
      </c>
      <c r="D35" s="1" t="s">
        <v>5</v>
      </c>
      <c r="E35" s="1" t="s">
        <v>6</v>
      </c>
      <c r="F35">
        <v>1</v>
      </c>
      <c r="H35" s="16" t="s">
        <v>177</v>
      </c>
      <c r="I35" s="1">
        <v>1</v>
      </c>
      <c r="J35" s="1">
        <v>2</v>
      </c>
      <c r="K35" s="1">
        <v>3</v>
      </c>
      <c r="L35" s="1">
        <v>4</v>
      </c>
      <c r="N35" s="17" t="s">
        <v>271</v>
      </c>
      <c r="O35" s="18">
        <v>9</v>
      </c>
      <c r="P35" s="18">
        <v>2</v>
      </c>
      <c r="Q35" s="18">
        <v>4</v>
      </c>
      <c r="R35" s="18"/>
      <c r="AE35" s="1"/>
    </row>
    <row r="36" spans="1:31" x14ac:dyDescent="0.2">
      <c r="A36" s="1">
        <v>1</v>
      </c>
      <c r="B36" s="1">
        <v>0</v>
      </c>
      <c r="C36" s="1" t="s">
        <v>22</v>
      </c>
      <c r="D36" s="1" t="s">
        <v>5</v>
      </c>
      <c r="E36" s="1" t="s">
        <v>6</v>
      </c>
      <c r="F36">
        <v>2</v>
      </c>
      <c r="H36" s="17" t="s">
        <v>124</v>
      </c>
      <c r="I36" s="18">
        <v>9</v>
      </c>
      <c r="J36" s="18">
        <v>6</v>
      </c>
      <c r="K36" s="18">
        <v>4</v>
      </c>
      <c r="L36" s="18"/>
      <c r="N36" s="17" t="s">
        <v>272</v>
      </c>
      <c r="O36" s="18">
        <v>14</v>
      </c>
      <c r="P36" s="18">
        <v>8</v>
      </c>
      <c r="Q36" s="18">
        <v>10</v>
      </c>
      <c r="R36" s="18">
        <v>6</v>
      </c>
      <c r="AE36" s="1"/>
    </row>
    <row r="37" spans="1:31" x14ac:dyDescent="0.2">
      <c r="A37" s="1">
        <v>1</v>
      </c>
      <c r="B37" s="1">
        <v>0</v>
      </c>
      <c r="C37" s="1" t="s">
        <v>141</v>
      </c>
      <c r="D37" s="1" t="s">
        <v>5</v>
      </c>
      <c r="E37" s="1" t="s">
        <v>6</v>
      </c>
      <c r="F37">
        <v>1</v>
      </c>
      <c r="H37" s="17" t="s">
        <v>40</v>
      </c>
      <c r="I37" s="18">
        <v>46</v>
      </c>
      <c r="J37" s="18">
        <v>16</v>
      </c>
      <c r="K37" s="18">
        <v>18</v>
      </c>
      <c r="L37" s="18">
        <v>28</v>
      </c>
      <c r="N37" s="17" t="s">
        <v>273</v>
      </c>
      <c r="O37" s="18">
        <v>14</v>
      </c>
      <c r="P37" s="18">
        <v>8</v>
      </c>
      <c r="Q37" s="18">
        <v>10</v>
      </c>
      <c r="R37" s="18">
        <v>6</v>
      </c>
      <c r="AE37" s="1"/>
    </row>
    <row r="38" spans="1:31" x14ac:dyDescent="0.2">
      <c r="A38" s="1">
        <v>1</v>
      </c>
      <c r="B38" s="1">
        <v>0</v>
      </c>
      <c r="C38" s="1" t="s">
        <v>89</v>
      </c>
      <c r="D38" s="1" t="s">
        <v>5</v>
      </c>
      <c r="E38" s="1" t="s">
        <v>6</v>
      </c>
      <c r="F38">
        <v>1</v>
      </c>
      <c r="H38" s="17" t="s">
        <v>41</v>
      </c>
      <c r="I38" s="18">
        <v>46</v>
      </c>
      <c r="J38" s="18">
        <v>16</v>
      </c>
      <c r="K38" s="18">
        <v>18</v>
      </c>
      <c r="L38" s="18">
        <v>28</v>
      </c>
      <c r="N38" s="17" t="s">
        <v>274</v>
      </c>
      <c r="O38" s="18">
        <v>31</v>
      </c>
      <c r="P38" s="18">
        <v>18</v>
      </c>
      <c r="Q38" s="18">
        <v>16</v>
      </c>
      <c r="R38" s="18">
        <v>22</v>
      </c>
      <c r="AE38" s="1"/>
    </row>
    <row r="39" spans="1:31" x14ac:dyDescent="0.2">
      <c r="A39" s="1">
        <v>1</v>
      </c>
      <c r="B39" s="1">
        <v>0</v>
      </c>
      <c r="C39" s="1" t="s">
        <v>59</v>
      </c>
      <c r="D39" s="1" t="s">
        <v>28</v>
      </c>
      <c r="E39" s="1" t="s">
        <v>6</v>
      </c>
      <c r="F39">
        <v>2</v>
      </c>
      <c r="H39" s="17" t="s">
        <v>30</v>
      </c>
      <c r="I39" s="18">
        <v>60</v>
      </c>
      <c r="J39" s="18">
        <v>38</v>
      </c>
      <c r="K39" s="18">
        <v>32</v>
      </c>
      <c r="L39" s="18">
        <v>42</v>
      </c>
      <c r="N39" s="17" t="s">
        <v>275</v>
      </c>
      <c r="O39" s="18">
        <v>31</v>
      </c>
      <c r="P39" s="18">
        <v>34</v>
      </c>
      <c r="Q39" s="18">
        <v>37</v>
      </c>
      <c r="R39" s="18">
        <v>32</v>
      </c>
      <c r="AE39" s="1"/>
    </row>
    <row r="40" spans="1:31" x14ac:dyDescent="0.2">
      <c r="A40" s="1">
        <v>1</v>
      </c>
      <c r="B40" s="1">
        <v>0</v>
      </c>
      <c r="C40" s="1" t="s">
        <v>45</v>
      </c>
      <c r="D40" s="1" t="s">
        <v>5</v>
      </c>
      <c r="E40" s="1" t="s">
        <v>6</v>
      </c>
      <c r="F40">
        <v>1</v>
      </c>
      <c r="H40" s="17" t="s">
        <v>28</v>
      </c>
      <c r="I40" s="18">
        <v>49</v>
      </c>
      <c r="J40" s="18">
        <v>46</v>
      </c>
      <c r="K40" s="18">
        <v>54</v>
      </c>
      <c r="L40" s="18">
        <v>49</v>
      </c>
      <c r="N40" s="17" t="s">
        <v>276</v>
      </c>
      <c r="O40" s="18">
        <v>23</v>
      </c>
      <c r="P40" s="18">
        <v>21</v>
      </c>
      <c r="Q40" s="18">
        <v>9</v>
      </c>
      <c r="R40" s="18">
        <v>26</v>
      </c>
      <c r="AE40" s="1"/>
    </row>
    <row r="41" spans="1:31" x14ac:dyDescent="0.2">
      <c r="A41" s="1">
        <v>1</v>
      </c>
      <c r="B41" s="1">
        <v>0</v>
      </c>
      <c r="C41" s="1" t="s">
        <v>107</v>
      </c>
      <c r="D41" s="1" t="s">
        <v>5</v>
      </c>
      <c r="E41" s="1" t="s">
        <v>6</v>
      </c>
      <c r="F41">
        <v>1</v>
      </c>
      <c r="H41" s="17" t="s">
        <v>42</v>
      </c>
      <c r="I41" s="18">
        <v>33</v>
      </c>
      <c r="J41" s="18">
        <v>34</v>
      </c>
      <c r="K41" s="18">
        <v>21</v>
      </c>
      <c r="L41" s="18">
        <v>59</v>
      </c>
      <c r="N41" s="17" t="s">
        <v>277</v>
      </c>
      <c r="O41" s="18">
        <v>2</v>
      </c>
      <c r="P41" s="18">
        <v>2</v>
      </c>
      <c r="Q41" s="18">
        <v>2</v>
      </c>
      <c r="R41" s="18">
        <v>1</v>
      </c>
      <c r="AE41" s="1"/>
    </row>
    <row r="42" spans="1:31" x14ac:dyDescent="0.2">
      <c r="A42" s="1">
        <v>1</v>
      </c>
      <c r="B42" s="1">
        <v>0</v>
      </c>
      <c r="C42" s="1" t="s">
        <v>123</v>
      </c>
      <c r="D42" s="1" t="s">
        <v>124</v>
      </c>
      <c r="E42" s="1" t="s">
        <v>6</v>
      </c>
      <c r="F42">
        <v>9</v>
      </c>
      <c r="H42" s="17" t="s">
        <v>52</v>
      </c>
      <c r="I42" s="18">
        <v>2</v>
      </c>
      <c r="J42" s="18">
        <v>2</v>
      </c>
      <c r="K42" s="18">
        <v>2</v>
      </c>
      <c r="L42" s="18">
        <v>1</v>
      </c>
      <c r="N42" s="17" t="s">
        <v>278</v>
      </c>
      <c r="O42" s="18">
        <v>192</v>
      </c>
      <c r="P42" s="18">
        <v>216</v>
      </c>
      <c r="Q42" s="18">
        <v>204</v>
      </c>
      <c r="R42" s="18">
        <v>216</v>
      </c>
      <c r="AE42" s="1"/>
    </row>
    <row r="43" spans="1:31" x14ac:dyDescent="0.2">
      <c r="A43" s="1">
        <v>1</v>
      </c>
      <c r="B43" s="1">
        <v>0</v>
      </c>
      <c r="C43" s="1" t="s">
        <v>44</v>
      </c>
      <c r="D43" s="1" t="s">
        <v>5</v>
      </c>
      <c r="E43" s="1" t="s">
        <v>6</v>
      </c>
      <c r="F43">
        <v>2</v>
      </c>
      <c r="H43" s="17" t="s">
        <v>5</v>
      </c>
      <c r="I43" s="18">
        <v>194</v>
      </c>
      <c r="J43" s="18">
        <v>219</v>
      </c>
      <c r="K43" s="18">
        <v>213</v>
      </c>
      <c r="L43" s="18">
        <v>217</v>
      </c>
      <c r="N43" s="17" t="s">
        <v>279</v>
      </c>
      <c r="O43" s="18">
        <v>72</v>
      </c>
      <c r="P43" s="18">
        <v>86</v>
      </c>
      <c r="Q43" s="18">
        <v>84</v>
      </c>
      <c r="R43" s="18">
        <v>73</v>
      </c>
      <c r="AE43" s="1"/>
    </row>
    <row r="44" spans="1:31" x14ac:dyDescent="0.2">
      <c r="A44" s="1">
        <v>1</v>
      </c>
      <c r="B44" s="1">
        <v>0</v>
      </c>
      <c r="C44" s="1" t="s">
        <v>135</v>
      </c>
      <c r="D44" s="1" t="s">
        <v>5</v>
      </c>
      <c r="E44" s="1" t="s">
        <v>6</v>
      </c>
      <c r="F44">
        <v>1</v>
      </c>
      <c r="H44" s="17" t="s">
        <v>13</v>
      </c>
      <c r="I44" s="18">
        <v>72</v>
      </c>
      <c r="J44" s="18">
        <v>86</v>
      </c>
      <c r="K44" s="18">
        <v>85</v>
      </c>
      <c r="L44" s="18">
        <v>73</v>
      </c>
      <c r="N44" s="17" t="s">
        <v>280</v>
      </c>
      <c r="O44" s="18"/>
      <c r="P44" s="18">
        <v>1</v>
      </c>
      <c r="Q44" s="18"/>
      <c r="R44" s="18">
        <v>1</v>
      </c>
      <c r="AE44" s="1"/>
    </row>
    <row r="45" spans="1:31" x14ac:dyDescent="0.2">
      <c r="A45" s="1">
        <v>1</v>
      </c>
      <c r="B45" s="1">
        <v>0</v>
      </c>
      <c r="C45" s="1" t="s">
        <v>165</v>
      </c>
      <c r="D45" s="1" t="s">
        <v>5</v>
      </c>
      <c r="E45" s="1" t="s">
        <v>6</v>
      </c>
      <c r="F45">
        <v>1</v>
      </c>
      <c r="H45" s="17" t="s">
        <v>132</v>
      </c>
      <c r="I45" s="18"/>
      <c r="J45" s="18">
        <v>2</v>
      </c>
      <c r="K45" s="18"/>
      <c r="L45" s="18">
        <v>4</v>
      </c>
      <c r="N45" s="17" t="s">
        <v>290</v>
      </c>
      <c r="O45" s="18">
        <f>SUM(O35:O44)</f>
        <v>388</v>
      </c>
      <c r="P45" s="18">
        <f t="shared" ref="P45:R45" si="2">SUM(P35:P44)</f>
        <v>396</v>
      </c>
      <c r="Q45" s="18">
        <f t="shared" si="2"/>
        <v>376</v>
      </c>
      <c r="R45" s="18">
        <f t="shared" si="2"/>
        <v>383</v>
      </c>
      <c r="S45">
        <f>AVERAGE(Tabela25[[#This Row],[Sample 1]:[Sample 4]])</f>
        <v>385.75</v>
      </c>
      <c r="AE45" s="1"/>
    </row>
    <row r="46" spans="1:31" x14ac:dyDescent="0.2">
      <c r="A46" s="1">
        <v>1</v>
      </c>
      <c r="B46" s="1">
        <v>0</v>
      </c>
      <c r="C46" s="1" t="s">
        <v>103</v>
      </c>
      <c r="D46" s="1" t="s">
        <v>5</v>
      </c>
      <c r="E46" s="1" t="s">
        <v>6</v>
      </c>
      <c r="F46">
        <v>4</v>
      </c>
      <c r="AE46" s="1"/>
    </row>
    <row r="47" spans="1:31" x14ac:dyDescent="0.2">
      <c r="A47" s="1">
        <v>1</v>
      </c>
      <c r="B47" s="1">
        <v>0</v>
      </c>
      <c r="C47" s="1" t="s">
        <v>8</v>
      </c>
      <c r="D47" s="1" t="s">
        <v>5</v>
      </c>
      <c r="E47" s="1" t="s">
        <v>6</v>
      </c>
      <c r="F47">
        <v>1</v>
      </c>
      <c r="AE47" s="1"/>
    </row>
    <row r="48" spans="1:31" x14ac:dyDescent="0.2">
      <c r="A48" s="1">
        <v>1</v>
      </c>
      <c r="B48" s="1">
        <v>0</v>
      </c>
      <c r="C48" s="1" t="s">
        <v>120</v>
      </c>
      <c r="D48" s="1" t="s">
        <v>5</v>
      </c>
      <c r="E48" s="1" t="s">
        <v>6</v>
      </c>
      <c r="F48">
        <v>1</v>
      </c>
      <c r="AE48" s="1"/>
    </row>
    <row r="49" spans="1:31" x14ac:dyDescent="0.2">
      <c r="A49" s="1">
        <v>1</v>
      </c>
      <c r="B49" s="1">
        <v>0</v>
      </c>
      <c r="C49" s="1" t="s">
        <v>23</v>
      </c>
      <c r="D49" s="1" t="s">
        <v>5</v>
      </c>
      <c r="E49" s="1" t="s">
        <v>6</v>
      </c>
      <c r="F49">
        <v>2</v>
      </c>
      <c r="AE49" s="1"/>
    </row>
    <row r="50" spans="1:31" x14ac:dyDescent="0.2">
      <c r="A50" s="1">
        <v>1</v>
      </c>
      <c r="B50" s="1">
        <v>0</v>
      </c>
      <c r="C50" s="1" t="s">
        <v>79</v>
      </c>
      <c r="D50" s="1" t="s">
        <v>5</v>
      </c>
      <c r="E50" s="1" t="s">
        <v>6</v>
      </c>
      <c r="F50">
        <v>1</v>
      </c>
      <c r="AE50" s="1"/>
    </row>
    <row r="51" spans="1:31" x14ac:dyDescent="0.2">
      <c r="A51" s="1">
        <v>1</v>
      </c>
      <c r="B51" s="1">
        <v>0</v>
      </c>
      <c r="C51" s="1" t="s">
        <v>86</v>
      </c>
      <c r="D51" s="1" t="s">
        <v>13</v>
      </c>
      <c r="E51" s="1" t="s">
        <v>6</v>
      </c>
      <c r="F51">
        <v>1</v>
      </c>
      <c r="AE51" s="1"/>
    </row>
    <row r="52" spans="1:31" x14ac:dyDescent="0.2">
      <c r="A52" s="1">
        <v>1</v>
      </c>
      <c r="B52" s="1">
        <v>0</v>
      </c>
      <c r="C52" s="1" t="s">
        <v>147</v>
      </c>
      <c r="D52" s="1" t="s">
        <v>42</v>
      </c>
      <c r="E52" s="1" t="s">
        <v>6</v>
      </c>
      <c r="F52">
        <v>6</v>
      </c>
      <c r="AE52" s="1"/>
    </row>
    <row r="53" spans="1:31" x14ac:dyDescent="0.2">
      <c r="A53" s="1">
        <v>1</v>
      </c>
      <c r="B53" s="1">
        <v>0</v>
      </c>
      <c r="C53" s="1" t="s">
        <v>147</v>
      </c>
      <c r="D53" s="1" t="s">
        <v>30</v>
      </c>
      <c r="E53" s="1" t="s">
        <v>6</v>
      </c>
      <c r="F53">
        <v>3</v>
      </c>
      <c r="AE53" s="1"/>
    </row>
    <row r="54" spans="1:31" x14ac:dyDescent="0.2">
      <c r="A54" s="1">
        <v>1</v>
      </c>
      <c r="B54" s="1">
        <v>0</v>
      </c>
      <c r="C54" s="1" t="s">
        <v>113</v>
      </c>
      <c r="D54" s="1" t="s">
        <v>28</v>
      </c>
      <c r="E54" s="1" t="s">
        <v>6</v>
      </c>
      <c r="F54">
        <v>1</v>
      </c>
      <c r="AE54" s="1"/>
    </row>
    <row r="55" spans="1:31" x14ac:dyDescent="0.2">
      <c r="A55" s="1">
        <v>1</v>
      </c>
      <c r="B55" s="1">
        <v>0</v>
      </c>
      <c r="C55" s="1" t="s">
        <v>113</v>
      </c>
      <c r="D55" s="1" t="s">
        <v>5</v>
      </c>
      <c r="E55" s="1" t="s">
        <v>6</v>
      </c>
      <c r="F55">
        <v>1</v>
      </c>
      <c r="AE55" s="1"/>
    </row>
    <row r="56" spans="1:31" x14ac:dyDescent="0.2">
      <c r="A56" s="1">
        <v>1</v>
      </c>
      <c r="B56" s="1">
        <v>0</v>
      </c>
      <c r="C56" s="1" t="s">
        <v>64</v>
      </c>
      <c r="D56" s="1" t="s">
        <v>52</v>
      </c>
      <c r="E56" s="1" t="s">
        <v>6</v>
      </c>
      <c r="F56">
        <v>1</v>
      </c>
      <c r="AE56" s="1"/>
    </row>
    <row r="57" spans="1:31" x14ac:dyDescent="0.2">
      <c r="A57" s="1">
        <v>1</v>
      </c>
      <c r="B57" s="1">
        <v>0</v>
      </c>
      <c r="C57" s="1" t="s">
        <v>152</v>
      </c>
      <c r="D57" s="1" t="s">
        <v>5</v>
      </c>
      <c r="E57" s="1" t="s">
        <v>6</v>
      </c>
      <c r="F57">
        <v>1</v>
      </c>
      <c r="AE57" s="1"/>
    </row>
    <row r="58" spans="1:31" x14ac:dyDescent="0.2">
      <c r="A58" s="1">
        <v>1</v>
      </c>
      <c r="B58" s="1">
        <v>0</v>
      </c>
      <c r="C58" s="1" t="s">
        <v>114</v>
      </c>
      <c r="D58" s="1" t="s">
        <v>13</v>
      </c>
      <c r="E58" s="1" t="s">
        <v>6</v>
      </c>
      <c r="F58">
        <v>4</v>
      </c>
      <c r="AE58" s="1"/>
    </row>
    <row r="59" spans="1:31" x14ac:dyDescent="0.2">
      <c r="A59" s="1">
        <v>1</v>
      </c>
      <c r="B59" s="1">
        <v>0</v>
      </c>
      <c r="C59" s="1" t="s">
        <v>114</v>
      </c>
      <c r="D59" s="1" t="s">
        <v>5</v>
      </c>
      <c r="E59" s="1" t="s">
        <v>6</v>
      </c>
      <c r="F59">
        <v>2</v>
      </c>
      <c r="AE59" s="1"/>
    </row>
    <row r="60" spans="1:31" x14ac:dyDescent="0.2">
      <c r="A60" s="1">
        <v>1</v>
      </c>
      <c r="B60" s="1">
        <v>0</v>
      </c>
      <c r="C60" s="1" t="s">
        <v>164</v>
      </c>
      <c r="D60" s="1" t="s">
        <v>5</v>
      </c>
      <c r="E60" s="1" t="s">
        <v>6</v>
      </c>
      <c r="F60">
        <v>2</v>
      </c>
      <c r="AE60" s="1"/>
    </row>
    <row r="61" spans="1:31" x14ac:dyDescent="0.2">
      <c r="A61" s="1">
        <v>1</v>
      </c>
      <c r="B61" s="1">
        <v>0</v>
      </c>
      <c r="C61" s="1" t="s">
        <v>88</v>
      </c>
      <c r="D61" s="1" t="s">
        <v>28</v>
      </c>
      <c r="E61" s="1" t="s">
        <v>6</v>
      </c>
      <c r="F61">
        <v>2</v>
      </c>
      <c r="AE61" s="1"/>
    </row>
    <row r="62" spans="1:31" x14ac:dyDescent="0.2">
      <c r="A62" s="1">
        <v>1</v>
      </c>
      <c r="B62" s="1">
        <v>0</v>
      </c>
      <c r="C62" s="1" t="s">
        <v>33</v>
      </c>
      <c r="D62" s="1" t="s">
        <v>5</v>
      </c>
      <c r="E62" s="1" t="s">
        <v>6</v>
      </c>
      <c r="F62">
        <v>2</v>
      </c>
      <c r="AE62" s="1"/>
    </row>
    <row r="63" spans="1:31" x14ac:dyDescent="0.2">
      <c r="A63" s="1">
        <v>1</v>
      </c>
      <c r="B63" s="1">
        <v>0</v>
      </c>
      <c r="C63" s="1" t="s">
        <v>85</v>
      </c>
      <c r="D63" s="1" t="s">
        <v>5</v>
      </c>
      <c r="E63" s="1" t="s">
        <v>6</v>
      </c>
      <c r="F63">
        <v>1</v>
      </c>
      <c r="AE63" s="1"/>
    </row>
    <row r="64" spans="1:31" x14ac:dyDescent="0.2">
      <c r="A64" s="1">
        <v>1</v>
      </c>
      <c r="B64" s="1">
        <v>0</v>
      </c>
      <c r="C64" s="1" t="s">
        <v>143</v>
      </c>
      <c r="D64" s="1" t="s">
        <v>5</v>
      </c>
      <c r="E64" s="1" t="s">
        <v>6</v>
      </c>
      <c r="F64">
        <v>2</v>
      </c>
      <c r="AE64" s="1"/>
    </row>
    <row r="65" spans="1:31" x14ac:dyDescent="0.2">
      <c r="A65" s="1">
        <v>1</v>
      </c>
      <c r="B65" s="1">
        <v>0</v>
      </c>
      <c r="C65" s="1" t="s">
        <v>150</v>
      </c>
      <c r="D65" s="1" t="s">
        <v>5</v>
      </c>
      <c r="E65" s="1" t="s">
        <v>6</v>
      </c>
      <c r="F65">
        <v>1</v>
      </c>
      <c r="AE65" s="1"/>
    </row>
    <row r="66" spans="1:31" x14ac:dyDescent="0.2">
      <c r="A66" s="1">
        <v>1</v>
      </c>
      <c r="B66" s="1">
        <v>0</v>
      </c>
      <c r="C66" s="1" t="s">
        <v>92</v>
      </c>
      <c r="D66" s="1" t="s">
        <v>13</v>
      </c>
      <c r="E66" s="1" t="s">
        <v>6</v>
      </c>
      <c r="F66">
        <v>2</v>
      </c>
      <c r="AE66" s="1"/>
    </row>
    <row r="67" spans="1:31" x14ac:dyDescent="0.2">
      <c r="A67" s="1">
        <v>1</v>
      </c>
      <c r="B67" s="1">
        <v>0</v>
      </c>
      <c r="C67" s="1" t="s">
        <v>92</v>
      </c>
      <c r="D67" s="1" t="s">
        <v>5</v>
      </c>
      <c r="E67" s="1" t="s">
        <v>6</v>
      </c>
      <c r="F67">
        <v>1</v>
      </c>
      <c r="AE67" s="1"/>
    </row>
    <row r="68" spans="1:31" x14ac:dyDescent="0.2">
      <c r="A68" s="1">
        <v>1</v>
      </c>
      <c r="B68" s="1">
        <v>0</v>
      </c>
      <c r="C68" s="1" t="s">
        <v>21</v>
      </c>
      <c r="D68" s="1" t="s">
        <v>5</v>
      </c>
      <c r="E68" s="1" t="s">
        <v>6</v>
      </c>
      <c r="F68">
        <v>1</v>
      </c>
      <c r="AE68" s="1"/>
    </row>
    <row r="69" spans="1:31" x14ac:dyDescent="0.2">
      <c r="A69" s="1">
        <v>1</v>
      </c>
      <c r="B69" s="1">
        <v>0</v>
      </c>
      <c r="C69" s="1" t="s">
        <v>19</v>
      </c>
      <c r="D69" s="1" t="s">
        <v>5</v>
      </c>
      <c r="E69" s="1" t="s">
        <v>6</v>
      </c>
      <c r="F69">
        <v>1</v>
      </c>
      <c r="AE69" s="1"/>
    </row>
    <row r="70" spans="1:31" x14ac:dyDescent="0.2">
      <c r="A70" s="1">
        <v>1</v>
      </c>
      <c r="B70" s="1">
        <v>0</v>
      </c>
      <c r="C70" s="1" t="s">
        <v>26</v>
      </c>
      <c r="D70" s="1" t="s">
        <v>13</v>
      </c>
      <c r="E70" s="1" t="s">
        <v>6</v>
      </c>
      <c r="F70">
        <v>4</v>
      </c>
      <c r="AE70" s="1"/>
    </row>
    <row r="71" spans="1:31" x14ac:dyDescent="0.2">
      <c r="A71" s="1">
        <v>1</v>
      </c>
      <c r="B71" s="1">
        <v>0</v>
      </c>
      <c r="C71" s="1" t="s">
        <v>26</v>
      </c>
      <c r="D71" s="1" t="s">
        <v>5</v>
      </c>
      <c r="E71" s="1" t="s">
        <v>6</v>
      </c>
      <c r="F71">
        <v>3</v>
      </c>
      <c r="AE71" s="1"/>
    </row>
    <row r="72" spans="1:31" x14ac:dyDescent="0.2">
      <c r="A72" s="1">
        <v>1</v>
      </c>
      <c r="B72" s="1">
        <v>0</v>
      </c>
      <c r="C72" s="1" t="s">
        <v>77</v>
      </c>
      <c r="D72" s="1" t="s">
        <v>5</v>
      </c>
      <c r="E72" s="1" t="s">
        <v>6</v>
      </c>
      <c r="F72">
        <v>1</v>
      </c>
      <c r="AE72" s="1"/>
    </row>
    <row r="73" spans="1:31" x14ac:dyDescent="0.2">
      <c r="A73" s="1">
        <v>1</v>
      </c>
      <c r="B73" s="1">
        <v>0</v>
      </c>
      <c r="C73" s="1" t="s">
        <v>151</v>
      </c>
      <c r="D73" s="1" t="s">
        <v>13</v>
      </c>
      <c r="E73" s="1" t="s">
        <v>6</v>
      </c>
      <c r="F73">
        <v>1</v>
      </c>
      <c r="AE73" s="1"/>
    </row>
    <row r="74" spans="1:31" x14ac:dyDescent="0.2">
      <c r="A74" s="1">
        <v>1</v>
      </c>
      <c r="B74" s="1">
        <v>0</v>
      </c>
      <c r="C74" s="1" t="s">
        <v>38</v>
      </c>
      <c r="D74" s="1" t="s">
        <v>5</v>
      </c>
      <c r="E74" s="1" t="s">
        <v>6</v>
      </c>
      <c r="F74">
        <v>1</v>
      </c>
      <c r="N74" s="33" t="s">
        <v>303</v>
      </c>
      <c r="O74" s="34"/>
      <c r="P74" s="34"/>
      <c r="Q74" s="34"/>
      <c r="R74" s="34"/>
      <c r="AE74" s="1"/>
    </row>
    <row r="75" spans="1:31" x14ac:dyDescent="0.2">
      <c r="A75" s="1">
        <v>1</v>
      </c>
      <c r="B75" s="1">
        <v>0</v>
      </c>
      <c r="C75" s="1" t="s">
        <v>158</v>
      </c>
      <c r="D75" s="1" t="s">
        <v>13</v>
      </c>
      <c r="E75" s="1" t="s">
        <v>6</v>
      </c>
      <c r="F75">
        <v>2</v>
      </c>
      <c r="N75" t="s">
        <v>269</v>
      </c>
      <c r="O75" s="30" t="s">
        <v>265</v>
      </c>
      <c r="P75" s="30" t="s">
        <v>266</v>
      </c>
      <c r="Q75" s="30" t="s">
        <v>267</v>
      </c>
      <c r="R75" s="30" t="s">
        <v>268</v>
      </c>
      <c r="AE75" s="1"/>
    </row>
    <row r="76" spans="1:31" x14ac:dyDescent="0.2">
      <c r="A76" s="1">
        <v>1</v>
      </c>
      <c r="B76" s="1">
        <v>0</v>
      </c>
      <c r="C76" s="1" t="s">
        <v>58</v>
      </c>
      <c r="D76" s="1" t="s">
        <v>13</v>
      </c>
      <c r="E76" s="1" t="s">
        <v>6</v>
      </c>
      <c r="F76">
        <v>2</v>
      </c>
      <c r="N76" s="17" t="s">
        <v>271</v>
      </c>
      <c r="O76" s="18">
        <v>0</v>
      </c>
      <c r="P76" s="18">
        <v>0</v>
      </c>
      <c r="Q76" s="18">
        <v>0</v>
      </c>
      <c r="R76" s="18">
        <v>0</v>
      </c>
      <c r="AE76" s="1"/>
    </row>
    <row r="77" spans="1:31" x14ac:dyDescent="0.2">
      <c r="A77" s="1">
        <v>1</v>
      </c>
      <c r="B77" s="1">
        <v>0</v>
      </c>
      <c r="C77" s="1" t="s">
        <v>58</v>
      </c>
      <c r="D77" s="1" t="s">
        <v>5</v>
      </c>
      <c r="E77" s="1" t="s">
        <v>6</v>
      </c>
      <c r="F77">
        <v>1</v>
      </c>
      <c r="N77" s="17" t="s">
        <v>272</v>
      </c>
      <c r="O77" s="18">
        <v>16</v>
      </c>
      <c r="P77" s="18">
        <v>8</v>
      </c>
      <c r="Q77" s="18">
        <v>8</v>
      </c>
      <c r="R77" s="18">
        <v>8</v>
      </c>
      <c r="AE77" s="1"/>
    </row>
    <row r="78" spans="1:31" x14ac:dyDescent="0.2">
      <c r="A78" s="1">
        <v>1</v>
      </c>
      <c r="B78" s="1">
        <v>0</v>
      </c>
      <c r="C78" s="1" t="s">
        <v>10</v>
      </c>
      <c r="D78" s="1" t="s">
        <v>5</v>
      </c>
      <c r="E78" s="1" t="s">
        <v>6</v>
      </c>
      <c r="F78">
        <v>3</v>
      </c>
      <c r="N78" s="17" t="s">
        <v>273</v>
      </c>
      <c r="O78" s="18">
        <v>16</v>
      </c>
      <c r="P78" s="18">
        <v>8</v>
      </c>
      <c r="Q78" s="18">
        <v>8</v>
      </c>
      <c r="R78" s="18">
        <v>8</v>
      </c>
      <c r="AE78" s="1"/>
    </row>
    <row r="79" spans="1:31" x14ac:dyDescent="0.2">
      <c r="A79" s="1">
        <v>1</v>
      </c>
      <c r="B79" s="1">
        <v>0</v>
      </c>
      <c r="C79" s="1" t="s">
        <v>128</v>
      </c>
      <c r="D79" s="1" t="s">
        <v>40</v>
      </c>
      <c r="E79" s="1" t="s">
        <v>6</v>
      </c>
      <c r="F79">
        <v>4</v>
      </c>
      <c r="N79" s="17" t="s">
        <v>274</v>
      </c>
      <c r="O79" s="18">
        <v>15</v>
      </c>
      <c r="P79" s="18">
        <v>16</v>
      </c>
      <c r="Q79" s="18">
        <v>12</v>
      </c>
      <c r="R79" s="18">
        <v>14</v>
      </c>
      <c r="AE79" s="1"/>
    </row>
    <row r="80" spans="1:31" x14ac:dyDescent="0.2">
      <c r="A80" s="1">
        <v>1</v>
      </c>
      <c r="B80" s="1">
        <v>0</v>
      </c>
      <c r="C80" s="1" t="s">
        <v>128</v>
      </c>
      <c r="D80" s="1" t="s">
        <v>41</v>
      </c>
      <c r="E80" s="1" t="s">
        <v>6</v>
      </c>
      <c r="F80">
        <v>4</v>
      </c>
      <c r="N80" s="17" t="s">
        <v>275</v>
      </c>
      <c r="O80" s="18">
        <v>9</v>
      </c>
      <c r="P80" s="18">
        <v>10</v>
      </c>
      <c r="Q80" s="18">
        <v>13</v>
      </c>
      <c r="R80" s="18">
        <v>11</v>
      </c>
      <c r="AE80" s="1"/>
    </row>
    <row r="81" spans="1:31" x14ac:dyDescent="0.2">
      <c r="A81" s="1">
        <v>1</v>
      </c>
      <c r="B81" s="1">
        <v>0</v>
      </c>
      <c r="C81" s="1" t="s">
        <v>128</v>
      </c>
      <c r="D81" s="1" t="s">
        <v>30</v>
      </c>
      <c r="E81" s="1" t="s">
        <v>6</v>
      </c>
      <c r="F81">
        <v>3</v>
      </c>
      <c r="N81" s="17" t="s">
        <v>276</v>
      </c>
      <c r="O81" s="18">
        <v>3</v>
      </c>
      <c r="P81" s="18">
        <v>11</v>
      </c>
      <c r="Q81" s="18">
        <v>12</v>
      </c>
      <c r="R81" s="18">
        <v>29</v>
      </c>
      <c r="AE81" s="1"/>
    </row>
    <row r="82" spans="1:31" x14ac:dyDescent="0.2">
      <c r="A82" s="1">
        <v>1</v>
      </c>
      <c r="B82" s="1">
        <v>0</v>
      </c>
      <c r="C82" s="1" t="s">
        <v>128</v>
      </c>
      <c r="D82" s="1" t="s">
        <v>5</v>
      </c>
      <c r="E82" s="1" t="s">
        <v>6</v>
      </c>
      <c r="F82">
        <v>1</v>
      </c>
      <c r="N82" s="17" t="s">
        <v>277</v>
      </c>
      <c r="O82" s="18">
        <v>0</v>
      </c>
      <c r="P82" s="18">
        <v>0</v>
      </c>
      <c r="Q82" s="18">
        <v>0</v>
      </c>
      <c r="R82" s="18">
        <v>0</v>
      </c>
      <c r="AE82" s="1"/>
    </row>
    <row r="83" spans="1:31" x14ac:dyDescent="0.2">
      <c r="A83" s="1">
        <v>1</v>
      </c>
      <c r="B83" s="1">
        <v>0</v>
      </c>
      <c r="C83" s="1" t="s">
        <v>128</v>
      </c>
      <c r="D83" s="1" t="s">
        <v>42</v>
      </c>
      <c r="E83" s="1" t="s">
        <v>6</v>
      </c>
      <c r="F83">
        <v>1</v>
      </c>
      <c r="N83" s="17" t="s">
        <v>278</v>
      </c>
      <c r="O83" s="18">
        <v>2</v>
      </c>
      <c r="P83" s="18">
        <v>3</v>
      </c>
      <c r="Q83" s="18">
        <v>7</v>
      </c>
      <c r="R83" s="18">
        <v>0</v>
      </c>
      <c r="AE83" s="1"/>
    </row>
    <row r="84" spans="1:31" x14ac:dyDescent="0.2">
      <c r="A84" s="1">
        <v>1</v>
      </c>
      <c r="B84" s="1">
        <v>0</v>
      </c>
      <c r="C84" s="1" t="s">
        <v>28</v>
      </c>
      <c r="D84" s="1" t="s">
        <v>5</v>
      </c>
      <c r="E84" s="1" t="s">
        <v>6</v>
      </c>
      <c r="F84">
        <v>1</v>
      </c>
      <c r="N84" s="17" t="s">
        <v>279</v>
      </c>
      <c r="O84" s="18">
        <v>0</v>
      </c>
      <c r="P84" s="18">
        <v>0</v>
      </c>
      <c r="Q84" s="18">
        <v>0</v>
      </c>
      <c r="R84" s="18">
        <v>0</v>
      </c>
      <c r="AE84" s="1"/>
    </row>
    <row r="85" spans="1:31" x14ac:dyDescent="0.2">
      <c r="A85" s="1">
        <v>1</v>
      </c>
      <c r="B85" s="1">
        <v>0</v>
      </c>
      <c r="C85" s="1" t="s">
        <v>75</v>
      </c>
      <c r="D85" s="1" t="s">
        <v>13</v>
      </c>
      <c r="E85" s="1" t="s">
        <v>6</v>
      </c>
      <c r="F85">
        <v>2</v>
      </c>
      <c r="N85" s="17" t="s">
        <v>280</v>
      </c>
      <c r="O85" s="18">
        <v>0</v>
      </c>
      <c r="P85" s="18">
        <v>1</v>
      </c>
      <c r="Q85" s="18">
        <v>0</v>
      </c>
      <c r="R85" s="18">
        <v>2</v>
      </c>
      <c r="AE85" s="1"/>
    </row>
    <row r="86" spans="1:31" x14ac:dyDescent="0.2">
      <c r="A86" s="1">
        <v>1</v>
      </c>
      <c r="B86" s="1">
        <v>0</v>
      </c>
      <c r="C86" s="1" t="s">
        <v>75</v>
      </c>
      <c r="D86" s="1" t="s">
        <v>5</v>
      </c>
      <c r="E86" s="1" t="s">
        <v>6</v>
      </c>
      <c r="F86">
        <v>1</v>
      </c>
      <c r="N86" s="17"/>
      <c r="O86" s="18">
        <f>SUM(Tabela2527[Sample 1])</f>
        <v>61</v>
      </c>
      <c r="P86" s="18">
        <f>SUM(Tabela2527[Sample 2])</f>
        <v>57</v>
      </c>
      <c r="Q86" s="18">
        <f>SUM(Tabela2527[Sample 3])</f>
        <v>60</v>
      </c>
      <c r="R86" s="18">
        <f>SUM(Tabela2527[Sample 4])</f>
        <v>72</v>
      </c>
      <c r="S86">
        <f>AVERAGE(Tabela2527[[#Totals],[Sample 1]:[Sample 4]])</f>
        <v>62.5</v>
      </c>
      <c r="T86">
        <f>1-S86/S45</f>
        <v>0.8379779650032404</v>
      </c>
      <c r="AE86" s="1"/>
    </row>
    <row r="87" spans="1:31" x14ac:dyDescent="0.2">
      <c r="A87" s="1">
        <v>1</v>
      </c>
      <c r="B87" s="1">
        <v>0</v>
      </c>
      <c r="C87" s="1" t="s">
        <v>122</v>
      </c>
      <c r="D87" s="1" t="s">
        <v>5</v>
      </c>
      <c r="E87" s="1" t="s">
        <v>6</v>
      </c>
      <c r="F87">
        <v>1</v>
      </c>
      <c r="AE87" s="1"/>
    </row>
    <row r="88" spans="1:31" x14ac:dyDescent="0.2">
      <c r="A88" s="1">
        <v>1</v>
      </c>
      <c r="B88" s="1">
        <v>0</v>
      </c>
      <c r="C88" s="1" t="s">
        <v>90</v>
      </c>
      <c r="D88" s="1" t="s">
        <v>28</v>
      </c>
      <c r="E88" s="1" t="s">
        <v>6</v>
      </c>
      <c r="F88">
        <v>1</v>
      </c>
      <c r="AE88" s="1"/>
    </row>
    <row r="89" spans="1:31" x14ac:dyDescent="0.2">
      <c r="A89" s="1">
        <v>1</v>
      </c>
      <c r="B89" s="1">
        <v>0</v>
      </c>
      <c r="C89" s="1" t="s">
        <v>55</v>
      </c>
      <c r="D89" s="1" t="s">
        <v>5</v>
      </c>
      <c r="E89" s="1" t="s">
        <v>6</v>
      </c>
      <c r="F89">
        <v>1</v>
      </c>
      <c r="AE89" s="1"/>
    </row>
    <row r="90" spans="1:31" x14ac:dyDescent="0.2">
      <c r="A90" s="1">
        <v>1</v>
      </c>
      <c r="B90" s="1">
        <v>0</v>
      </c>
      <c r="C90" s="1" t="s">
        <v>67</v>
      </c>
      <c r="D90" s="1" t="s">
        <v>5</v>
      </c>
      <c r="E90" s="1" t="s">
        <v>6</v>
      </c>
      <c r="F90">
        <v>3</v>
      </c>
      <c r="AE90" s="1"/>
    </row>
    <row r="91" spans="1:31" x14ac:dyDescent="0.2">
      <c r="A91" s="1">
        <v>1</v>
      </c>
      <c r="B91" s="1">
        <v>0</v>
      </c>
      <c r="C91" s="1" t="s">
        <v>67</v>
      </c>
      <c r="D91" s="1" t="s">
        <v>28</v>
      </c>
      <c r="E91" s="1" t="s">
        <v>6</v>
      </c>
      <c r="F91">
        <v>3</v>
      </c>
      <c r="AE91" s="1"/>
    </row>
    <row r="92" spans="1:31" x14ac:dyDescent="0.2">
      <c r="A92" s="1">
        <v>1</v>
      </c>
      <c r="B92" s="1">
        <v>0</v>
      </c>
      <c r="C92" s="1" t="s">
        <v>117</v>
      </c>
      <c r="D92" s="1" t="s">
        <v>28</v>
      </c>
      <c r="E92" s="1" t="s">
        <v>6</v>
      </c>
      <c r="F92">
        <v>2</v>
      </c>
      <c r="AE92" s="1"/>
    </row>
    <row r="93" spans="1:31" x14ac:dyDescent="0.2">
      <c r="A93" s="1">
        <v>1</v>
      </c>
      <c r="B93" s="1">
        <v>0</v>
      </c>
      <c r="C93" s="1" t="s">
        <v>137</v>
      </c>
      <c r="D93" s="1" t="s">
        <v>13</v>
      </c>
      <c r="E93" s="1" t="s">
        <v>6</v>
      </c>
      <c r="F93">
        <v>2</v>
      </c>
      <c r="AE93" s="1"/>
    </row>
    <row r="94" spans="1:31" x14ac:dyDescent="0.2">
      <c r="A94" s="1">
        <v>1</v>
      </c>
      <c r="B94" s="1">
        <v>0</v>
      </c>
      <c r="C94" s="1" t="s">
        <v>80</v>
      </c>
      <c r="D94" s="1" t="s">
        <v>5</v>
      </c>
      <c r="E94" s="1" t="s">
        <v>6</v>
      </c>
      <c r="F94">
        <v>1</v>
      </c>
      <c r="AE94" s="1"/>
    </row>
    <row r="95" spans="1:31" x14ac:dyDescent="0.2">
      <c r="A95" s="1">
        <v>1</v>
      </c>
      <c r="B95" s="1">
        <v>0</v>
      </c>
      <c r="C95" s="1" t="s">
        <v>148</v>
      </c>
      <c r="D95" s="1" t="s">
        <v>13</v>
      </c>
      <c r="E95" s="1" t="s">
        <v>6</v>
      </c>
      <c r="F95">
        <v>4</v>
      </c>
      <c r="AE95" s="1"/>
    </row>
    <row r="96" spans="1:31" x14ac:dyDescent="0.2">
      <c r="A96" s="1">
        <v>1</v>
      </c>
      <c r="B96" s="1">
        <v>0</v>
      </c>
      <c r="C96" s="1" t="s">
        <v>56</v>
      </c>
      <c r="D96" s="1" t="s">
        <v>13</v>
      </c>
      <c r="E96" s="1" t="s">
        <v>6</v>
      </c>
      <c r="F96">
        <v>2</v>
      </c>
      <c r="AE96" s="1"/>
    </row>
    <row r="97" spans="1:31" x14ac:dyDescent="0.2">
      <c r="A97" s="1">
        <v>1</v>
      </c>
      <c r="B97" s="1">
        <v>0</v>
      </c>
      <c r="C97" s="1" t="s">
        <v>4</v>
      </c>
      <c r="D97" s="1" t="s">
        <v>5</v>
      </c>
      <c r="E97" s="1" t="s">
        <v>6</v>
      </c>
      <c r="F97">
        <v>1</v>
      </c>
      <c r="AE97" s="1"/>
    </row>
    <row r="98" spans="1:31" x14ac:dyDescent="0.2">
      <c r="A98" s="1">
        <v>1</v>
      </c>
      <c r="B98" s="1">
        <v>0</v>
      </c>
      <c r="C98" s="1" t="s">
        <v>84</v>
      </c>
      <c r="D98" s="1" t="s">
        <v>5</v>
      </c>
      <c r="E98" s="1" t="s">
        <v>6</v>
      </c>
      <c r="F98">
        <v>2</v>
      </c>
      <c r="AE98" s="1"/>
    </row>
    <row r="99" spans="1:31" x14ac:dyDescent="0.2">
      <c r="A99" s="1">
        <v>1</v>
      </c>
      <c r="B99" s="1">
        <v>0</v>
      </c>
      <c r="C99" s="1" t="s">
        <v>129</v>
      </c>
      <c r="D99" s="1" t="s">
        <v>5</v>
      </c>
      <c r="E99" s="1" t="s">
        <v>6</v>
      </c>
      <c r="F99">
        <v>4</v>
      </c>
      <c r="AE99" s="1"/>
    </row>
    <row r="100" spans="1:31" x14ac:dyDescent="0.2">
      <c r="A100" s="1">
        <v>1</v>
      </c>
      <c r="B100" s="1">
        <v>0</v>
      </c>
      <c r="C100" s="1" t="s">
        <v>115</v>
      </c>
      <c r="D100" s="1" t="s">
        <v>5</v>
      </c>
      <c r="E100" s="1" t="s">
        <v>6</v>
      </c>
      <c r="F100">
        <v>3</v>
      </c>
      <c r="AE100" s="1"/>
    </row>
    <row r="101" spans="1:31" x14ac:dyDescent="0.2">
      <c r="A101" s="1">
        <v>1</v>
      </c>
      <c r="B101" s="1">
        <v>0</v>
      </c>
      <c r="C101" s="1" t="s">
        <v>49</v>
      </c>
      <c r="D101" s="1" t="s">
        <v>13</v>
      </c>
      <c r="E101" s="1" t="s">
        <v>6</v>
      </c>
      <c r="F101">
        <v>4</v>
      </c>
      <c r="AE101" s="1"/>
    </row>
    <row r="102" spans="1:31" x14ac:dyDescent="0.2">
      <c r="A102" s="1">
        <v>1</v>
      </c>
      <c r="B102" s="1">
        <v>0</v>
      </c>
      <c r="C102" s="1" t="s">
        <v>49</v>
      </c>
      <c r="D102" s="1" t="s">
        <v>5</v>
      </c>
      <c r="E102" s="1" t="s">
        <v>6</v>
      </c>
      <c r="F102">
        <v>3</v>
      </c>
      <c r="AE102" s="1"/>
    </row>
    <row r="103" spans="1:31" x14ac:dyDescent="0.2">
      <c r="A103" s="1">
        <v>1</v>
      </c>
      <c r="B103" s="1">
        <v>0</v>
      </c>
      <c r="C103" s="1" t="s">
        <v>130</v>
      </c>
      <c r="D103" s="1" t="s">
        <v>5</v>
      </c>
      <c r="E103" s="1" t="s">
        <v>6</v>
      </c>
      <c r="F103">
        <v>2</v>
      </c>
      <c r="AE103" s="1"/>
    </row>
    <row r="104" spans="1:31" x14ac:dyDescent="0.2">
      <c r="A104" s="1">
        <v>1</v>
      </c>
      <c r="B104" s="1">
        <v>0</v>
      </c>
      <c r="C104" s="1" t="s">
        <v>146</v>
      </c>
      <c r="D104" s="1" t="s">
        <v>13</v>
      </c>
      <c r="E104" s="1" t="s">
        <v>6</v>
      </c>
      <c r="F104">
        <v>2</v>
      </c>
      <c r="AE104" s="1"/>
    </row>
    <row r="105" spans="1:31" x14ac:dyDescent="0.2">
      <c r="A105" s="1">
        <v>1</v>
      </c>
      <c r="B105" s="1">
        <v>0</v>
      </c>
      <c r="C105" s="1" t="s">
        <v>106</v>
      </c>
      <c r="D105" s="1" t="s">
        <v>5</v>
      </c>
      <c r="E105" s="1" t="s">
        <v>6</v>
      </c>
      <c r="F105">
        <v>1</v>
      </c>
      <c r="AE105" s="1"/>
    </row>
    <row r="106" spans="1:31" x14ac:dyDescent="0.2">
      <c r="A106" s="1">
        <v>1</v>
      </c>
      <c r="B106" s="1">
        <v>0</v>
      </c>
      <c r="C106" s="1" t="s">
        <v>118</v>
      </c>
      <c r="D106" s="1" t="s">
        <v>5</v>
      </c>
      <c r="E106" s="1" t="s">
        <v>6</v>
      </c>
      <c r="F106">
        <v>2</v>
      </c>
      <c r="AE106" s="1"/>
    </row>
    <row r="107" spans="1:31" x14ac:dyDescent="0.2">
      <c r="A107" s="1">
        <v>1</v>
      </c>
      <c r="B107" s="1">
        <v>0</v>
      </c>
      <c r="C107" s="1" t="s">
        <v>140</v>
      </c>
      <c r="D107" s="1" t="s">
        <v>13</v>
      </c>
      <c r="E107" s="1" t="s">
        <v>6</v>
      </c>
      <c r="F107">
        <v>2</v>
      </c>
      <c r="AE107" s="1"/>
    </row>
    <row r="108" spans="1:31" x14ac:dyDescent="0.2">
      <c r="A108" s="1">
        <v>1</v>
      </c>
      <c r="B108" s="1">
        <v>0</v>
      </c>
      <c r="C108" s="1" t="s">
        <v>140</v>
      </c>
      <c r="D108" s="1" t="s">
        <v>40</v>
      </c>
      <c r="E108" s="1" t="s">
        <v>6</v>
      </c>
      <c r="F108">
        <v>2</v>
      </c>
      <c r="AE108" s="1"/>
    </row>
    <row r="109" spans="1:31" x14ac:dyDescent="0.2">
      <c r="A109" s="1">
        <v>1</v>
      </c>
      <c r="B109" s="1">
        <v>0</v>
      </c>
      <c r="C109" s="1" t="s">
        <v>140</v>
      </c>
      <c r="D109" s="1" t="s">
        <v>41</v>
      </c>
      <c r="E109" s="1" t="s">
        <v>6</v>
      </c>
      <c r="F109">
        <v>2</v>
      </c>
      <c r="AE109" s="1"/>
    </row>
    <row r="110" spans="1:31" x14ac:dyDescent="0.2">
      <c r="A110" s="1">
        <v>1</v>
      </c>
      <c r="B110" s="1">
        <v>0</v>
      </c>
      <c r="C110" s="1" t="s">
        <v>140</v>
      </c>
      <c r="D110" s="1" t="s">
        <v>28</v>
      </c>
      <c r="E110" s="1" t="s">
        <v>6</v>
      </c>
      <c r="F110">
        <v>1</v>
      </c>
      <c r="AE110" s="1"/>
    </row>
    <row r="111" spans="1:31" x14ac:dyDescent="0.2">
      <c r="A111" s="1">
        <v>1</v>
      </c>
      <c r="B111" s="1">
        <v>0</v>
      </c>
      <c r="C111" s="1" t="s">
        <v>52</v>
      </c>
      <c r="D111" s="1" t="s">
        <v>13</v>
      </c>
      <c r="E111" s="1" t="s">
        <v>6</v>
      </c>
      <c r="F111">
        <v>2</v>
      </c>
      <c r="AE111" s="1"/>
    </row>
    <row r="112" spans="1:31" x14ac:dyDescent="0.2">
      <c r="A112" s="1">
        <v>1</v>
      </c>
      <c r="B112" s="1">
        <v>0</v>
      </c>
      <c r="C112" s="1" t="s">
        <v>52</v>
      </c>
      <c r="D112" s="1" t="s">
        <v>5</v>
      </c>
      <c r="E112" s="1" t="s">
        <v>6</v>
      </c>
      <c r="F112">
        <v>1</v>
      </c>
      <c r="AE112" s="1"/>
    </row>
    <row r="113" spans="1:31" x14ac:dyDescent="0.2">
      <c r="A113" s="1">
        <v>1</v>
      </c>
      <c r="B113" s="1">
        <v>0</v>
      </c>
      <c r="C113" s="1" t="s">
        <v>65</v>
      </c>
      <c r="D113" s="1" t="s">
        <v>5</v>
      </c>
      <c r="E113" s="1" t="s">
        <v>6</v>
      </c>
      <c r="F113">
        <v>2</v>
      </c>
      <c r="AE113" s="1"/>
    </row>
    <row r="114" spans="1:31" x14ac:dyDescent="0.2">
      <c r="A114" s="1">
        <v>1</v>
      </c>
      <c r="B114" s="1">
        <v>0</v>
      </c>
      <c r="C114" s="1" t="s">
        <v>18</v>
      </c>
      <c r="D114" s="1" t="s">
        <v>5</v>
      </c>
      <c r="E114" s="1" t="s">
        <v>6</v>
      </c>
      <c r="F114">
        <v>3</v>
      </c>
      <c r="AE114" s="1"/>
    </row>
    <row r="115" spans="1:31" x14ac:dyDescent="0.2">
      <c r="A115" s="1">
        <v>1</v>
      </c>
      <c r="B115" s="1">
        <v>0</v>
      </c>
      <c r="C115" s="1" t="s">
        <v>39</v>
      </c>
      <c r="D115" s="1" t="s">
        <v>40</v>
      </c>
      <c r="E115" s="1" t="s">
        <v>6</v>
      </c>
      <c r="F115">
        <v>6</v>
      </c>
      <c r="N115" s="37" t="s">
        <v>281</v>
      </c>
      <c r="O115" s="38"/>
      <c r="P115" s="38"/>
      <c r="Q115" s="38"/>
      <c r="R115" s="38"/>
      <c r="AE115" s="1"/>
    </row>
    <row r="116" spans="1:31" x14ac:dyDescent="0.2">
      <c r="A116" s="1">
        <v>1</v>
      </c>
      <c r="B116" s="1">
        <v>0</v>
      </c>
      <c r="C116" s="1" t="s">
        <v>39</v>
      </c>
      <c r="D116" s="1" t="s">
        <v>41</v>
      </c>
      <c r="E116" s="1" t="s">
        <v>6</v>
      </c>
      <c r="F116">
        <v>6</v>
      </c>
      <c r="N116" t="s">
        <v>264</v>
      </c>
      <c r="O116" s="30" t="s">
        <v>265</v>
      </c>
      <c r="P116" s="30" t="s">
        <v>266</v>
      </c>
      <c r="Q116" s="30" t="s">
        <v>267</v>
      </c>
      <c r="R116" s="30" t="s">
        <v>268</v>
      </c>
      <c r="AE116" s="1"/>
    </row>
    <row r="117" spans="1:31" x14ac:dyDescent="0.2">
      <c r="A117" s="1">
        <v>1</v>
      </c>
      <c r="B117" s="1">
        <v>0</v>
      </c>
      <c r="C117" s="1" t="s">
        <v>39</v>
      </c>
      <c r="D117" s="1" t="s">
        <v>30</v>
      </c>
      <c r="E117" s="1" t="s">
        <v>6</v>
      </c>
      <c r="F117">
        <v>4</v>
      </c>
      <c r="N117" s="17" t="s">
        <v>282</v>
      </c>
      <c r="O117" s="18">
        <v>157</v>
      </c>
      <c r="P117" s="18">
        <v>173</v>
      </c>
      <c r="Q117" s="18">
        <v>166</v>
      </c>
      <c r="R117" s="18">
        <v>153</v>
      </c>
      <c r="S117">
        <f>AVERAGE(O117:R117)</f>
        <v>162.25</v>
      </c>
      <c r="AE117" s="1"/>
    </row>
    <row r="118" spans="1:31" x14ac:dyDescent="0.2">
      <c r="A118" s="1">
        <v>1</v>
      </c>
      <c r="B118" s="1">
        <v>0</v>
      </c>
      <c r="C118" s="1" t="s">
        <v>39</v>
      </c>
      <c r="D118" s="1" t="s">
        <v>28</v>
      </c>
      <c r="E118" s="1" t="s">
        <v>6</v>
      </c>
      <c r="F118">
        <v>3</v>
      </c>
      <c r="N118" s="17">
        <v>1</v>
      </c>
      <c r="O118" s="18">
        <v>14</v>
      </c>
      <c r="P118" s="18">
        <v>19</v>
      </c>
      <c r="Q118" s="18">
        <v>18</v>
      </c>
      <c r="R118" s="18">
        <v>24</v>
      </c>
      <c r="S118">
        <f t="shared" ref="S118:S123" si="3">AVERAGE(O118:R118)</f>
        <v>18.75</v>
      </c>
      <c r="T118" s="48">
        <f>(S118/S117)-1</f>
        <v>-0.88443759630200303</v>
      </c>
      <c r="AE118" s="1"/>
    </row>
    <row r="119" spans="1:31" x14ac:dyDescent="0.2">
      <c r="A119" s="1">
        <v>1</v>
      </c>
      <c r="B119" s="1">
        <v>0</v>
      </c>
      <c r="C119" s="1" t="s">
        <v>39</v>
      </c>
      <c r="D119" s="1" t="s">
        <v>5</v>
      </c>
      <c r="E119" s="1" t="s">
        <v>6</v>
      </c>
      <c r="F119">
        <v>2</v>
      </c>
      <c r="N119" s="17">
        <v>2</v>
      </c>
      <c r="O119" s="18">
        <v>10</v>
      </c>
      <c r="P119" s="18">
        <v>5</v>
      </c>
      <c r="Q119" s="18">
        <v>4</v>
      </c>
      <c r="R119" s="18">
        <v>8</v>
      </c>
      <c r="S119">
        <f t="shared" si="3"/>
        <v>6.75</v>
      </c>
      <c r="T119" s="48">
        <f t="shared" ref="T119:T123" si="4">(S119/S118)-1</f>
        <v>-0.64</v>
      </c>
      <c r="AE119" s="1"/>
    </row>
    <row r="120" spans="1:31" x14ac:dyDescent="0.2">
      <c r="A120" s="1">
        <v>1</v>
      </c>
      <c r="B120" s="1">
        <v>0</v>
      </c>
      <c r="C120" s="1" t="s">
        <v>39</v>
      </c>
      <c r="D120" s="1" t="s">
        <v>42</v>
      </c>
      <c r="E120" s="1" t="s">
        <v>6</v>
      </c>
      <c r="F120">
        <v>1</v>
      </c>
      <c r="N120" s="17">
        <v>3</v>
      </c>
      <c r="O120" s="18">
        <v>6</v>
      </c>
      <c r="P120" s="18">
        <v>1</v>
      </c>
      <c r="Q120" s="18">
        <v>3</v>
      </c>
      <c r="R120" s="18">
        <v>5</v>
      </c>
      <c r="S120">
        <f t="shared" si="3"/>
        <v>3.75</v>
      </c>
      <c r="T120" s="48">
        <f t="shared" si="4"/>
        <v>-0.44444444444444442</v>
      </c>
      <c r="AE120" s="1"/>
    </row>
    <row r="121" spans="1:31" x14ac:dyDescent="0.2">
      <c r="A121" s="1">
        <v>1</v>
      </c>
      <c r="B121" s="1">
        <v>0</v>
      </c>
      <c r="C121" s="1" t="s">
        <v>51</v>
      </c>
      <c r="D121" s="1" t="s">
        <v>42</v>
      </c>
      <c r="E121" s="1" t="s">
        <v>6</v>
      </c>
      <c r="F121">
        <v>5</v>
      </c>
      <c r="N121" s="17">
        <v>4</v>
      </c>
      <c r="O121" s="18">
        <v>4</v>
      </c>
      <c r="P121" s="18">
        <v>0</v>
      </c>
      <c r="Q121" s="18">
        <v>1</v>
      </c>
      <c r="R121" s="18">
        <v>2</v>
      </c>
      <c r="S121">
        <f t="shared" si="3"/>
        <v>1.75</v>
      </c>
      <c r="T121" s="48">
        <f t="shared" si="4"/>
        <v>-0.53333333333333333</v>
      </c>
      <c r="AE121" s="1"/>
    </row>
    <row r="122" spans="1:31" x14ac:dyDescent="0.2">
      <c r="A122" s="1">
        <v>1</v>
      </c>
      <c r="B122" s="1">
        <v>0</v>
      </c>
      <c r="C122" s="1" t="s">
        <v>20</v>
      </c>
      <c r="D122" s="1" t="s">
        <v>5</v>
      </c>
      <c r="E122" s="1" t="s">
        <v>6</v>
      </c>
      <c r="F122">
        <v>1</v>
      </c>
      <c r="N122" s="17">
        <v>5</v>
      </c>
      <c r="O122" s="18">
        <v>3</v>
      </c>
      <c r="P122" s="18">
        <v>0</v>
      </c>
      <c r="Q122" s="18">
        <v>0</v>
      </c>
      <c r="R122" s="18">
        <v>2</v>
      </c>
      <c r="S122">
        <f t="shared" si="3"/>
        <v>1.25</v>
      </c>
      <c r="T122" s="48">
        <f t="shared" si="4"/>
        <v>-0.2857142857142857</v>
      </c>
      <c r="AE122" s="1"/>
    </row>
    <row r="123" spans="1:31" x14ac:dyDescent="0.2">
      <c r="A123" s="1">
        <v>1</v>
      </c>
      <c r="B123" s="1">
        <v>0</v>
      </c>
      <c r="C123" s="1" t="s">
        <v>98</v>
      </c>
      <c r="D123" s="1" t="s">
        <v>5</v>
      </c>
      <c r="E123" s="1" t="s">
        <v>6</v>
      </c>
      <c r="F123">
        <v>1</v>
      </c>
      <c r="N123" s="17">
        <v>6</v>
      </c>
      <c r="O123" s="18">
        <v>2</v>
      </c>
      <c r="P123" s="18">
        <v>0</v>
      </c>
      <c r="Q123" s="18">
        <v>0</v>
      </c>
      <c r="R123" s="18">
        <v>0</v>
      </c>
      <c r="S123">
        <f t="shared" si="3"/>
        <v>0.5</v>
      </c>
      <c r="T123" s="48">
        <f t="shared" si="4"/>
        <v>-0.6</v>
      </c>
      <c r="AE123" s="1"/>
    </row>
    <row r="124" spans="1:31" x14ac:dyDescent="0.2">
      <c r="A124" s="1">
        <v>1</v>
      </c>
      <c r="B124" s="1">
        <v>0</v>
      </c>
      <c r="C124" s="1" t="s">
        <v>9</v>
      </c>
      <c r="D124" s="1" t="s">
        <v>5</v>
      </c>
      <c r="E124" s="1" t="s">
        <v>6</v>
      </c>
      <c r="F124">
        <v>2</v>
      </c>
      <c r="AE124" s="1"/>
    </row>
    <row r="125" spans="1:31" x14ac:dyDescent="0.2">
      <c r="A125" s="1">
        <v>1</v>
      </c>
      <c r="B125" s="1">
        <v>0</v>
      </c>
      <c r="C125" s="1" t="s">
        <v>71</v>
      </c>
      <c r="D125" s="1" t="s">
        <v>5</v>
      </c>
      <c r="E125" s="1" t="s">
        <v>6</v>
      </c>
      <c r="F125">
        <v>2</v>
      </c>
      <c r="AE125" s="1"/>
    </row>
    <row r="126" spans="1:31" x14ac:dyDescent="0.2">
      <c r="A126" s="1">
        <v>1</v>
      </c>
      <c r="B126" s="1">
        <v>0</v>
      </c>
      <c r="C126" s="1" t="s">
        <v>133</v>
      </c>
      <c r="D126" s="1" t="s">
        <v>13</v>
      </c>
      <c r="E126" s="1" t="s">
        <v>6</v>
      </c>
      <c r="F126">
        <v>2</v>
      </c>
      <c r="AE126" s="1"/>
    </row>
    <row r="127" spans="1:31" x14ac:dyDescent="0.2">
      <c r="A127" s="1">
        <v>1</v>
      </c>
      <c r="B127" s="1">
        <v>0</v>
      </c>
      <c r="C127" s="1" t="s">
        <v>133</v>
      </c>
      <c r="D127" s="1" t="s">
        <v>5</v>
      </c>
      <c r="E127" s="1" t="s">
        <v>6</v>
      </c>
      <c r="F127">
        <v>1</v>
      </c>
      <c r="S127" s="50">
        <f>S3/S117</f>
        <v>2.3775038520801233</v>
      </c>
      <c r="AE127" s="1"/>
    </row>
    <row r="128" spans="1:31" x14ac:dyDescent="0.2">
      <c r="A128" s="1">
        <v>1</v>
      </c>
      <c r="B128" s="1">
        <v>0</v>
      </c>
      <c r="C128" s="1" t="s">
        <v>111</v>
      </c>
      <c r="D128" s="1" t="s">
        <v>5</v>
      </c>
      <c r="E128" s="1" t="s">
        <v>6</v>
      </c>
      <c r="F128">
        <v>1</v>
      </c>
      <c r="S128" s="50">
        <f t="shared" ref="S128:S134" si="5">S4/S118</f>
        <v>3.3333333333333335</v>
      </c>
      <c r="AE128" s="1"/>
    </row>
    <row r="129" spans="1:31" x14ac:dyDescent="0.2">
      <c r="A129" s="1">
        <v>1</v>
      </c>
      <c r="B129" s="1">
        <v>0</v>
      </c>
      <c r="C129" s="1" t="s">
        <v>54</v>
      </c>
      <c r="D129" s="1" t="s">
        <v>13</v>
      </c>
      <c r="E129" s="1" t="s">
        <v>6</v>
      </c>
      <c r="F129">
        <v>1</v>
      </c>
      <c r="S129" s="50">
        <f t="shared" si="5"/>
        <v>2.1111111111111112</v>
      </c>
      <c r="AE129" s="1"/>
    </row>
    <row r="130" spans="1:31" x14ac:dyDescent="0.2">
      <c r="A130" s="1">
        <v>1</v>
      </c>
      <c r="B130" s="1">
        <v>0</v>
      </c>
      <c r="C130" s="1" t="s">
        <v>102</v>
      </c>
      <c r="D130" s="1" t="s">
        <v>5</v>
      </c>
      <c r="E130" s="1" t="s">
        <v>6</v>
      </c>
      <c r="F130">
        <v>1</v>
      </c>
      <c r="S130" s="50">
        <f t="shared" si="5"/>
        <v>2.2666666666666666</v>
      </c>
      <c r="AE130" s="1"/>
    </row>
    <row r="131" spans="1:31" x14ac:dyDescent="0.2">
      <c r="A131" s="1">
        <v>1</v>
      </c>
      <c r="B131" s="1">
        <v>0</v>
      </c>
      <c r="C131" s="1" t="s">
        <v>167</v>
      </c>
      <c r="D131" s="1" t="s">
        <v>42</v>
      </c>
      <c r="E131" s="1" t="s">
        <v>6</v>
      </c>
      <c r="F131">
        <v>1</v>
      </c>
      <c r="S131" s="50">
        <f t="shared" si="5"/>
        <v>3</v>
      </c>
      <c r="AE131" s="1"/>
    </row>
    <row r="132" spans="1:31" x14ac:dyDescent="0.2">
      <c r="A132" s="1">
        <v>1</v>
      </c>
      <c r="B132" s="1">
        <v>0</v>
      </c>
      <c r="C132" s="1" t="s">
        <v>138</v>
      </c>
      <c r="D132" s="1" t="s">
        <v>5</v>
      </c>
      <c r="E132" s="1" t="s">
        <v>6</v>
      </c>
      <c r="F132">
        <v>2</v>
      </c>
      <c r="S132" s="50">
        <f t="shared" si="5"/>
        <v>3.4</v>
      </c>
      <c r="AE132" s="1"/>
    </row>
    <row r="133" spans="1:31" x14ac:dyDescent="0.2">
      <c r="A133" s="1">
        <v>1</v>
      </c>
      <c r="B133" s="1">
        <v>0</v>
      </c>
      <c r="C133" s="1" t="s">
        <v>12</v>
      </c>
      <c r="D133" s="1" t="s">
        <v>13</v>
      </c>
      <c r="E133" s="1" t="s">
        <v>6</v>
      </c>
      <c r="F133">
        <v>2</v>
      </c>
      <c r="S133" s="50">
        <f t="shared" si="5"/>
        <v>1</v>
      </c>
      <c r="AE133" s="1"/>
    </row>
    <row r="134" spans="1:31" x14ac:dyDescent="0.2">
      <c r="A134" s="1">
        <v>1</v>
      </c>
      <c r="B134" s="1">
        <v>0</v>
      </c>
      <c r="C134" s="1" t="s">
        <v>12</v>
      </c>
      <c r="D134" s="1" t="s">
        <v>5</v>
      </c>
      <c r="E134" s="1" t="s">
        <v>6</v>
      </c>
      <c r="F134">
        <v>1</v>
      </c>
      <c r="AE134" s="1"/>
    </row>
    <row r="135" spans="1:31" x14ac:dyDescent="0.2">
      <c r="A135" s="1">
        <v>1</v>
      </c>
      <c r="B135" s="1">
        <v>0</v>
      </c>
      <c r="C135" s="1" t="s">
        <v>25</v>
      </c>
      <c r="D135" s="1" t="s">
        <v>5</v>
      </c>
      <c r="E135" s="1" t="s">
        <v>6</v>
      </c>
      <c r="F135">
        <v>2</v>
      </c>
      <c r="AE135" s="1"/>
    </row>
    <row r="136" spans="1:31" x14ac:dyDescent="0.2">
      <c r="A136" s="1">
        <v>1</v>
      </c>
      <c r="B136" s="1">
        <v>0</v>
      </c>
      <c r="C136" s="1" t="s">
        <v>7</v>
      </c>
      <c r="D136" s="1" t="s">
        <v>5</v>
      </c>
      <c r="E136" s="1" t="s">
        <v>6</v>
      </c>
      <c r="F136">
        <v>1</v>
      </c>
      <c r="AE136" s="1"/>
    </row>
    <row r="137" spans="1:31" x14ac:dyDescent="0.2">
      <c r="A137" s="1">
        <v>1</v>
      </c>
      <c r="B137" s="1">
        <v>0</v>
      </c>
      <c r="C137" s="1" t="s">
        <v>37</v>
      </c>
      <c r="D137" s="1" t="s">
        <v>30</v>
      </c>
      <c r="E137" s="1" t="s">
        <v>6</v>
      </c>
      <c r="F137">
        <v>1</v>
      </c>
      <c r="AE137" s="1"/>
    </row>
    <row r="138" spans="1:31" x14ac:dyDescent="0.2">
      <c r="A138" s="1">
        <v>1</v>
      </c>
      <c r="B138" s="1">
        <v>0</v>
      </c>
      <c r="C138" s="1" t="s">
        <v>37</v>
      </c>
      <c r="D138" s="1" t="s">
        <v>28</v>
      </c>
      <c r="E138" s="1" t="s">
        <v>6</v>
      </c>
      <c r="F138">
        <v>1</v>
      </c>
      <c r="AE138" s="1"/>
    </row>
    <row r="139" spans="1:31" x14ac:dyDescent="0.2">
      <c r="A139" s="1">
        <v>1</v>
      </c>
      <c r="B139" s="1">
        <v>0</v>
      </c>
      <c r="C139" s="1" t="s">
        <v>154</v>
      </c>
      <c r="D139" s="1" t="s">
        <v>5</v>
      </c>
      <c r="E139" s="1" t="s">
        <v>6</v>
      </c>
      <c r="F139">
        <v>1</v>
      </c>
      <c r="AE139" s="1"/>
    </row>
    <row r="140" spans="1:31" x14ac:dyDescent="0.2">
      <c r="A140" s="1">
        <v>1</v>
      </c>
      <c r="B140" s="1">
        <v>0</v>
      </c>
      <c r="C140" s="1" t="s">
        <v>17</v>
      </c>
      <c r="D140" s="1" t="s">
        <v>5</v>
      </c>
      <c r="E140" s="1" t="s">
        <v>6</v>
      </c>
      <c r="F140">
        <v>2</v>
      </c>
      <c r="AE140" s="1"/>
    </row>
    <row r="141" spans="1:31" x14ac:dyDescent="0.2">
      <c r="A141" s="1">
        <v>1</v>
      </c>
      <c r="B141" s="1">
        <v>0</v>
      </c>
      <c r="C141" s="1" t="s">
        <v>161</v>
      </c>
      <c r="D141" s="1" t="s">
        <v>5</v>
      </c>
      <c r="E141" s="1" t="s">
        <v>6</v>
      </c>
      <c r="F141">
        <v>1</v>
      </c>
      <c r="AE141" s="1"/>
    </row>
    <row r="142" spans="1:31" x14ac:dyDescent="0.2">
      <c r="A142" s="1">
        <v>1</v>
      </c>
      <c r="B142" s="1">
        <v>0</v>
      </c>
      <c r="C142" s="1" t="s">
        <v>96</v>
      </c>
      <c r="D142" s="1" t="s">
        <v>5</v>
      </c>
      <c r="E142" s="1" t="s">
        <v>6</v>
      </c>
      <c r="F142">
        <v>1</v>
      </c>
      <c r="AE142" s="1"/>
    </row>
    <row r="143" spans="1:31" x14ac:dyDescent="0.2">
      <c r="A143" s="1">
        <v>1</v>
      </c>
      <c r="B143" s="1">
        <v>0</v>
      </c>
      <c r="C143" s="1" t="s">
        <v>96</v>
      </c>
      <c r="D143" s="1" t="s">
        <v>30</v>
      </c>
      <c r="E143" s="1" t="s">
        <v>6</v>
      </c>
      <c r="F143">
        <v>1</v>
      </c>
      <c r="AE143" s="1"/>
    </row>
    <row r="144" spans="1:31" x14ac:dyDescent="0.2">
      <c r="A144" s="1">
        <v>1</v>
      </c>
      <c r="B144" s="1">
        <v>0</v>
      </c>
      <c r="C144" s="1" t="s">
        <v>159</v>
      </c>
      <c r="D144" s="1" t="s">
        <v>5</v>
      </c>
      <c r="E144" s="1" t="s">
        <v>6</v>
      </c>
      <c r="F144">
        <v>1</v>
      </c>
      <c r="AE144" s="1"/>
    </row>
    <row r="145" spans="1:31" x14ac:dyDescent="0.2">
      <c r="A145" s="1">
        <v>1</v>
      </c>
      <c r="B145" s="1">
        <v>0</v>
      </c>
      <c r="C145" s="1" t="s">
        <v>144</v>
      </c>
      <c r="D145" s="1" t="s">
        <v>13</v>
      </c>
      <c r="E145" s="1" t="s">
        <v>6</v>
      </c>
      <c r="F145">
        <v>2</v>
      </c>
      <c r="AE145" s="1"/>
    </row>
    <row r="146" spans="1:31" x14ac:dyDescent="0.2">
      <c r="A146" s="1">
        <v>1</v>
      </c>
      <c r="B146" s="1">
        <v>0</v>
      </c>
      <c r="C146" s="1" t="s">
        <v>144</v>
      </c>
      <c r="D146" s="1" t="s">
        <v>5</v>
      </c>
      <c r="E146" s="1" t="s">
        <v>6</v>
      </c>
      <c r="F146">
        <v>1</v>
      </c>
      <c r="AE146" s="1"/>
    </row>
    <row r="147" spans="1:31" x14ac:dyDescent="0.2">
      <c r="A147" s="1">
        <v>1</v>
      </c>
      <c r="B147" s="1">
        <v>0</v>
      </c>
      <c r="C147" s="1" t="s">
        <v>91</v>
      </c>
      <c r="D147" s="1" t="s">
        <v>5</v>
      </c>
      <c r="E147" s="1" t="s">
        <v>6</v>
      </c>
      <c r="F147">
        <v>1</v>
      </c>
      <c r="H147" s="16" t="s">
        <v>261</v>
      </c>
      <c r="I147" s="29">
        <v>0</v>
      </c>
      <c r="AE147" s="1"/>
    </row>
    <row r="148" spans="1:31" x14ac:dyDescent="0.2">
      <c r="A148" s="1">
        <v>1</v>
      </c>
      <c r="B148" s="1">
        <v>0</v>
      </c>
      <c r="C148" s="1" t="s">
        <v>163</v>
      </c>
      <c r="D148" s="1" t="s">
        <v>5</v>
      </c>
      <c r="E148" s="1" t="s">
        <v>6</v>
      </c>
      <c r="F148">
        <v>1</v>
      </c>
      <c r="N148" s="41" t="s">
        <v>284</v>
      </c>
      <c r="O148" s="42"/>
      <c r="P148" s="42"/>
      <c r="Q148" s="42"/>
      <c r="R148" s="42"/>
      <c r="S148" s="42"/>
      <c r="AE148" s="1"/>
    </row>
    <row r="149" spans="1:31" x14ac:dyDescent="0.2">
      <c r="A149" s="1">
        <v>1</v>
      </c>
      <c r="B149" s="1">
        <v>0</v>
      </c>
      <c r="C149" s="1" t="s">
        <v>125</v>
      </c>
      <c r="D149" s="1" t="s">
        <v>5</v>
      </c>
      <c r="E149" s="1" t="s">
        <v>6</v>
      </c>
      <c r="F149">
        <v>1</v>
      </c>
      <c r="H149" s="16" t="s">
        <v>178</v>
      </c>
      <c r="I149" s="16" t="s">
        <v>262</v>
      </c>
      <c r="N149" s="32" t="s">
        <v>283</v>
      </c>
      <c r="O149" s="30" t="s">
        <v>265</v>
      </c>
      <c r="P149" s="30" t="s">
        <v>266</v>
      </c>
      <c r="Q149" s="30" t="s">
        <v>267</v>
      </c>
      <c r="R149" s="26" t="s">
        <v>268</v>
      </c>
      <c r="S149" s="40" t="s">
        <v>263</v>
      </c>
    </row>
    <row r="150" spans="1:31" x14ac:dyDescent="0.2">
      <c r="A150" s="1">
        <v>1</v>
      </c>
      <c r="B150" s="1">
        <v>0</v>
      </c>
      <c r="C150" s="1" t="s">
        <v>31</v>
      </c>
      <c r="D150" s="1" t="s">
        <v>5</v>
      </c>
      <c r="E150" s="1" t="s">
        <v>6</v>
      </c>
      <c r="F150">
        <v>2</v>
      </c>
      <c r="H150" s="16" t="s">
        <v>177</v>
      </c>
      <c r="I150" s="1">
        <v>1</v>
      </c>
      <c r="J150" s="1">
        <v>2</v>
      </c>
      <c r="K150" s="1">
        <v>3</v>
      </c>
      <c r="L150" s="1">
        <v>4</v>
      </c>
      <c r="N150" s="19" t="s">
        <v>128</v>
      </c>
      <c r="O150" s="39">
        <v>13</v>
      </c>
      <c r="P150" s="39">
        <v>18</v>
      </c>
      <c r="Q150" s="39">
        <v>17</v>
      </c>
      <c r="R150" s="39">
        <v>13</v>
      </c>
      <c r="S150">
        <f>AVERAGE(O150:R150)</f>
        <v>15.25</v>
      </c>
    </row>
    <row r="151" spans="1:31" x14ac:dyDescent="0.2">
      <c r="A151" s="1">
        <v>1</v>
      </c>
      <c r="B151" s="1">
        <v>0</v>
      </c>
      <c r="C151" s="1" t="s">
        <v>31</v>
      </c>
      <c r="D151" s="1" t="s">
        <v>28</v>
      </c>
      <c r="E151" s="1" t="s">
        <v>6</v>
      </c>
      <c r="F151">
        <v>1</v>
      </c>
      <c r="H151" s="17" t="s">
        <v>128</v>
      </c>
      <c r="I151" s="18">
        <v>13</v>
      </c>
      <c r="J151" s="18">
        <v>18</v>
      </c>
      <c r="K151" s="18">
        <v>17</v>
      </c>
      <c r="L151" s="18">
        <v>13</v>
      </c>
      <c r="N151" s="19" t="s">
        <v>70</v>
      </c>
      <c r="O151" s="39">
        <v>9</v>
      </c>
      <c r="P151" s="39">
        <v>7</v>
      </c>
      <c r="Q151" s="39">
        <v>7</v>
      </c>
      <c r="R151" s="39">
        <v>9</v>
      </c>
      <c r="S151">
        <f>AVERAGE(O151:R151)</f>
        <v>8</v>
      </c>
    </row>
    <row r="152" spans="1:31" x14ac:dyDescent="0.2">
      <c r="A152" s="1">
        <v>1</v>
      </c>
      <c r="B152" s="1">
        <v>0</v>
      </c>
      <c r="C152" s="1" t="s">
        <v>162</v>
      </c>
      <c r="D152" s="1" t="s">
        <v>42</v>
      </c>
      <c r="E152" s="1" t="s">
        <v>6</v>
      </c>
      <c r="F152">
        <v>5</v>
      </c>
      <c r="H152" s="17" t="s">
        <v>70</v>
      </c>
      <c r="I152" s="18">
        <v>9</v>
      </c>
      <c r="J152" s="18">
        <v>7</v>
      </c>
      <c r="K152" s="18">
        <v>7</v>
      </c>
      <c r="L152" s="18">
        <v>9</v>
      </c>
      <c r="N152" s="19" t="s">
        <v>49</v>
      </c>
      <c r="O152" s="39">
        <v>7</v>
      </c>
      <c r="P152" s="39">
        <v>7</v>
      </c>
      <c r="Q152" s="39">
        <v>7</v>
      </c>
      <c r="R152" s="39">
        <v>4</v>
      </c>
      <c r="S152">
        <f>AVERAGE(O152:R152)</f>
        <v>6.25</v>
      </c>
    </row>
    <row r="153" spans="1:31" x14ac:dyDescent="0.2">
      <c r="A153" s="1">
        <v>1</v>
      </c>
      <c r="B153" s="1">
        <v>0</v>
      </c>
      <c r="C153" s="1" t="s">
        <v>60</v>
      </c>
      <c r="D153" s="1" t="s">
        <v>13</v>
      </c>
      <c r="E153" s="1" t="s">
        <v>6</v>
      </c>
      <c r="F153">
        <v>1</v>
      </c>
      <c r="H153" s="17" t="s">
        <v>49</v>
      </c>
      <c r="I153" s="18">
        <v>7</v>
      </c>
      <c r="J153" s="18">
        <v>7</v>
      </c>
      <c r="K153" s="18">
        <v>7</v>
      </c>
      <c r="L153" s="18">
        <v>4</v>
      </c>
      <c r="N153" s="19" t="s">
        <v>39</v>
      </c>
      <c r="O153" s="39">
        <v>22</v>
      </c>
      <c r="P153" s="39">
        <v>1</v>
      </c>
      <c r="Q153" s="39">
        <v>0</v>
      </c>
      <c r="R153" s="39">
        <v>1</v>
      </c>
      <c r="S153">
        <f>AVERAGE(O153:R153)</f>
        <v>6</v>
      </c>
    </row>
    <row r="154" spans="1:31" x14ac:dyDescent="0.2">
      <c r="A154" s="1">
        <v>1</v>
      </c>
      <c r="B154" s="1">
        <v>0</v>
      </c>
      <c r="C154" s="1" t="s">
        <v>78</v>
      </c>
      <c r="D154" s="1" t="s">
        <v>5</v>
      </c>
      <c r="E154" s="1" t="s">
        <v>6</v>
      </c>
      <c r="F154">
        <v>1</v>
      </c>
      <c r="H154" s="17" t="s">
        <v>39</v>
      </c>
      <c r="I154" s="18">
        <v>22</v>
      </c>
      <c r="J154" s="18">
        <v>1</v>
      </c>
      <c r="K154" s="18"/>
      <c r="L154" s="18">
        <v>1</v>
      </c>
      <c r="N154" s="19" t="s">
        <v>72</v>
      </c>
      <c r="O154" s="39">
        <v>7</v>
      </c>
      <c r="P154" s="39">
        <v>5</v>
      </c>
      <c r="Q154" s="39">
        <v>5</v>
      </c>
      <c r="R154" s="39">
        <v>6</v>
      </c>
      <c r="S154">
        <f>AVERAGE(O154:R154)</f>
        <v>5.75</v>
      </c>
    </row>
    <row r="155" spans="1:31" x14ac:dyDescent="0.2">
      <c r="A155" s="1">
        <v>1</v>
      </c>
      <c r="B155" s="1">
        <v>0</v>
      </c>
      <c r="C155" s="1" t="s">
        <v>105</v>
      </c>
      <c r="D155" s="1" t="s">
        <v>30</v>
      </c>
      <c r="E155" s="1" t="s">
        <v>6</v>
      </c>
      <c r="F155">
        <v>3</v>
      </c>
      <c r="H155" s="17" t="s">
        <v>72</v>
      </c>
      <c r="I155" s="18">
        <v>7</v>
      </c>
      <c r="J155" s="18">
        <v>5</v>
      </c>
      <c r="K155" s="18">
        <v>5</v>
      </c>
      <c r="L155" s="18">
        <v>6</v>
      </c>
      <c r="N155" s="19" t="s">
        <v>136</v>
      </c>
      <c r="O155" s="39">
        <v>3</v>
      </c>
      <c r="P155" s="39">
        <v>6</v>
      </c>
      <c r="Q155" s="39">
        <v>6</v>
      </c>
      <c r="R155" s="39">
        <v>6</v>
      </c>
      <c r="S155">
        <f>AVERAGE(O155:R155)</f>
        <v>5.25</v>
      </c>
    </row>
    <row r="156" spans="1:31" x14ac:dyDescent="0.2">
      <c r="A156" s="1">
        <v>1</v>
      </c>
      <c r="B156" s="1">
        <v>0</v>
      </c>
      <c r="C156" s="1" t="s">
        <v>105</v>
      </c>
      <c r="D156" s="1" t="s">
        <v>42</v>
      </c>
      <c r="E156" s="1" t="s">
        <v>6</v>
      </c>
      <c r="F156">
        <v>1</v>
      </c>
      <c r="H156" s="17" t="s">
        <v>136</v>
      </c>
      <c r="I156" s="18">
        <v>3</v>
      </c>
      <c r="J156" s="18">
        <v>6</v>
      </c>
      <c r="K156" s="18">
        <v>6</v>
      </c>
      <c r="L156" s="18">
        <v>6</v>
      </c>
      <c r="N156" s="19" t="s">
        <v>121</v>
      </c>
      <c r="O156" s="39">
        <v>5</v>
      </c>
      <c r="P156" s="39">
        <v>5</v>
      </c>
      <c r="Q156" s="39">
        <v>5</v>
      </c>
      <c r="R156" s="39">
        <v>5</v>
      </c>
      <c r="S156">
        <f>AVERAGE(O156:R156)</f>
        <v>5</v>
      </c>
    </row>
    <row r="157" spans="1:31" x14ac:dyDescent="0.2">
      <c r="A157" s="1">
        <v>1</v>
      </c>
      <c r="B157" s="1">
        <v>0</v>
      </c>
      <c r="C157" s="1" t="s">
        <v>73</v>
      </c>
      <c r="D157" s="1" t="s">
        <v>5</v>
      </c>
      <c r="E157" s="1" t="s">
        <v>6</v>
      </c>
      <c r="F157">
        <v>1</v>
      </c>
      <c r="H157" s="17" t="s">
        <v>121</v>
      </c>
      <c r="I157" s="18">
        <v>5</v>
      </c>
      <c r="J157" s="18">
        <v>5</v>
      </c>
      <c r="K157" s="18">
        <v>5</v>
      </c>
      <c r="L157" s="18">
        <v>5</v>
      </c>
      <c r="N157" s="19" t="s">
        <v>160</v>
      </c>
      <c r="O157" s="39">
        <v>2</v>
      </c>
      <c r="P157" s="39">
        <v>2</v>
      </c>
      <c r="Q157" s="39">
        <v>2</v>
      </c>
      <c r="R157" s="39">
        <v>14</v>
      </c>
      <c r="S157">
        <f>AVERAGE(O157:R157)</f>
        <v>5</v>
      </c>
    </row>
    <row r="158" spans="1:31" x14ac:dyDescent="0.2">
      <c r="A158" s="1">
        <v>1</v>
      </c>
      <c r="B158" s="1">
        <v>0</v>
      </c>
      <c r="C158" s="1" t="s">
        <v>16</v>
      </c>
      <c r="D158" s="1" t="s">
        <v>5</v>
      </c>
      <c r="E158" s="1" t="s">
        <v>6</v>
      </c>
      <c r="F158">
        <v>1</v>
      </c>
      <c r="H158" s="17" t="s">
        <v>160</v>
      </c>
      <c r="I158" s="18">
        <v>2</v>
      </c>
      <c r="J158" s="18">
        <v>2</v>
      </c>
      <c r="K158" s="18">
        <v>2</v>
      </c>
      <c r="L158" s="18">
        <v>14</v>
      </c>
      <c r="N158" s="19" t="s">
        <v>170</v>
      </c>
      <c r="O158" s="39">
        <v>0</v>
      </c>
      <c r="P158" s="39">
        <v>4</v>
      </c>
      <c r="Q158" s="39">
        <v>10</v>
      </c>
      <c r="R158" s="39">
        <v>5</v>
      </c>
      <c r="S158">
        <f>AVERAGE(O158:R158)</f>
        <v>4.75</v>
      </c>
    </row>
    <row r="159" spans="1:31" x14ac:dyDescent="0.2">
      <c r="A159" s="1">
        <v>1</v>
      </c>
      <c r="B159" s="1">
        <v>0</v>
      </c>
      <c r="C159" s="1" t="s">
        <v>57</v>
      </c>
      <c r="D159" s="1" t="s">
        <v>5</v>
      </c>
      <c r="E159" s="1" t="s">
        <v>6</v>
      </c>
      <c r="F159">
        <v>1</v>
      </c>
      <c r="H159" s="17" t="s">
        <v>170</v>
      </c>
      <c r="I159" s="18"/>
      <c r="J159" s="18">
        <v>4</v>
      </c>
      <c r="K159" s="18">
        <v>10</v>
      </c>
      <c r="L159" s="18">
        <v>5</v>
      </c>
      <c r="N159" s="19" t="s">
        <v>67</v>
      </c>
      <c r="O159" s="39">
        <v>6</v>
      </c>
      <c r="P159" s="39">
        <v>6</v>
      </c>
      <c r="Q159" s="39">
        <v>0</v>
      </c>
      <c r="R159" s="39">
        <v>6</v>
      </c>
      <c r="S159">
        <f>AVERAGE(O159:R159)</f>
        <v>4.5</v>
      </c>
    </row>
    <row r="160" spans="1:31" x14ac:dyDescent="0.2">
      <c r="A160" s="1">
        <v>1</v>
      </c>
      <c r="B160" s="1">
        <v>0</v>
      </c>
      <c r="C160" s="1" t="s">
        <v>11</v>
      </c>
      <c r="D160" s="1" t="s">
        <v>5</v>
      </c>
      <c r="E160" s="1" t="s">
        <v>6</v>
      </c>
      <c r="F160">
        <v>2</v>
      </c>
      <c r="H160" s="17" t="s">
        <v>189</v>
      </c>
      <c r="I160" s="18"/>
      <c r="J160" s="18">
        <v>6</v>
      </c>
      <c r="K160" s="18">
        <v>6</v>
      </c>
      <c r="L160" s="18">
        <v>6</v>
      </c>
      <c r="N160" s="19" t="s">
        <v>93</v>
      </c>
      <c r="O160" s="39">
        <v>4</v>
      </c>
      <c r="P160" s="39">
        <v>2</v>
      </c>
      <c r="Q160" s="39">
        <v>6</v>
      </c>
      <c r="R160" s="39">
        <v>6</v>
      </c>
      <c r="S160">
        <f>AVERAGE(O160:R160)</f>
        <v>4.5</v>
      </c>
    </row>
    <row r="161" spans="1:19" x14ac:dyDescent="0.2">
      <c r="A161" s="1">
        <v>1</v>
      </c>
      <c r="B161" s="1">
        <v>0</v>
      </c>
      <c r="C161" s="1" t="s">
        <v>15</v>
      </c>
      <c r="D161" s="1" t="s">
        <v>5</v>
      </c>
      <c r="E161" s="1" t="s">
        <v>6</v>
      </c>
      <c r="F161">
        <v>1</v>
      </c>
      <c r="H161" s="17" t="s">
        <v>218</v>
      </c>
      <c r="I161" s="18"/>
      <c r="J161" s="18">
        <v>9</v>
      </c>
      <c r="K161" s="18"/>
      <c r="L161" s="18">
        <v>9</v>
      </c>
      <c r="N161" s="19" t="s">
        <v>189</v>
      </c>
      <c r="O161" s="39">
        <v>0</v>
      </c>
      <c r="P161" s="39">
        <v>6</v>
      </c>
      <c r="Q161" s="39">
        <v>6</v>
      </c>
      <c r="R161" s="39">
        <v>6</v>
      </c>
      <c r="S161">
        <f>AVERAGE(O161:R161)</f>
        <v>4.5</v>
      </c>
    </row>
    <row r="162" spans="1:19" x14ac:dyDescent="0.2">
      <c r="A162" s="1">
        <v>1</v>
      </c>
      <c r="B162" s="1">
        <v>0</v>
      </c>
      <c r="C162" s="1" t="s">
        <v>94</v>
      </c>
      <c r="D162" s="1" t="s">
        <v>13</v>
      </c>
      <c r="E162" s="1" t="s">
        <v>6</v>
      </c>
      <c r="F162">
        <v>2</v>
      </c>
      <c r="H162" s="17" t="s">
        <v>67</v>
      </c>
      <c r="I162" s="18">
        <v>6</v>
      </c>
      <c r="J162" s="18">
        <v>6</v>
      </c>
      <c r="K162" s="18"/>
      <c r="L162" s="18">
        <v>6</v>
      </c>
      <c r="N162" s="19" t="s">
        <v>218</v>
      </c>
      <c r="O162" s="39">
        <v>0</v>
      </c>
      <c r="P162" s="39">
        <v>9</v>
      </c>
      <c r="Q162" s="39">
        <v>0</v>
      </c>
      <c r="R162" s="39">
        <v>9</v>
      </c>
      <c r="S162">
        <f>AVERAGE(O162:R162)</f>
        <v>4.5</v>
      </c>
    </row>
    <row r="163" spans="1:19" x14ac:dyDescent="0.2">
      <c r="A163" s="1">
        <v>1</v>
      </c>
      <c r="B163" s="1">
        <v>0</v>
      </c>
      <c r="C163" s="1" t="s">
        <v>112</v>
      </c>
      <c r="D163" s="1" t="s">
        <v>5</v>
      </c>
      <c r="E163" s="1" t="s">
        <v>6</v>
      </c>
      <c r="F163">
        <v>1</v>
      </c>
      <c r="H163" s="17" t="s">
        <v>93</v>
      </c>
      <c r="I163" s="18">
        <v>4</v>
      </c>
      <c r="J163" s="18">
        <v>2</v>
      </c>
      <c r="K163" s="18">
        <v>6</v>
      </c>
      <c r="L163" s="18">
        <v>6</v>
      </c>
      <c r="N163" s="19" t="s">
        <v>23</v>
      </c>
      <c r="O163" s="39">
        <v>2</v>
      </c>
      <c r="P163" s="39">
        <v>2</v>
      </c>
      <c r="Q163" s="39">
        <v>9</v>
      </c>
      <c r="R163" s="39">
        <v>4</v>
      </c>
      <c r="S163">
        <f>AVERAGE(O163:R163)</f>
        <v>4.25</v>
      </c>
    </row>
    <row r="164" spans="1:19" x14ac:dyDescent="0.2">
      <c r="A164" s="1">
        <v>1</v>
      </c>
      <c r="B164" s="1">
        <v>0</v>
      </c>
      <c r="C164" s="1" t="s">
        <v>93</v>
      </c>
      <c r="D164" s="1" t="s">
        <v>5</v>
      </c>
      <c r="E164" s="1" t="s">
        <v>6</v>
      </c>
      <c r="F164">
        <v>2</v>
      </c>
      <c r="H164" s="17" t="s">
        <v>23</v>
      </c>
      <c r="I164" s="18">
        <v>2</v>
      </c>
      <c r="J164" s="18">
        <v>2</v>
      </c>
      <c r="K164" s="18">
        <v>9</v>
      </c>
      <c r="L164" s="18">
        <v>4</v>
      </c>
      <c r="N164" s="19" t="s">
        <v>147</v>
      </c>
      <c r="O164" s="39">
        <v>9</v>
      </c>
      <c r="P164" s="39">
        <v>1</v>
      </c>
      <c r="Q164" s="39">
        <v>1</v>
      </c>
      <c r="R164" s="39">
        <v>5</v>
      </c>
      <c r="S164">
        <f>AVERAGE(O164:R164)</f>
        <v>4</v>
      </c>
    </row>
    <row r="165" spans="1:19" x14ac:dyDescent="0.2">
      <c r="A165" s="1">
        <v>1</v>
      </c>
      <c r="B165" s="1">
        <v>0</v>
      </c>
      <c r="C165" s="1" t="s">
        <v>93</v>
      </c>
      <c r="D165" s="1" t="s">
        <v>30</v>
      </c>
      <c r="E165" s="1" t="s">
        <v>6</v>
      </c>
      <c r="F165">
        <v>2</v>
      </c>
      <c r="H165" s="17" t="s">
        <v>97</v>
      </c>
      <c r="I165" s="18">
        <v>4</v>
      </c>
      <c r="J165" s="18">
        <v>4</v>
      </c>
      <c r="K165" s="18">
        <v>4</v>
      </c>
      <c r="L165" s="18">
        <v>4</v>
      </c>
      <c r="N165" s="19" t="s">
        <v>97</v>
      </c>
      <c r="O165" s="39">
        <v>4</v>
      </c>
      <c r="P165" s="39">
        <v>4</v>
      </c>
      <c r="Q165" s="39">
        <v>4</v>
      </c>
      <c r="R165" s="39">
        <v>4</v>
      </c>
      <c r="S165">
        <f>AVERAGE(O165:R165)</f>
        <v>4</v>
      </c>
    </row>
    <row r="166" spans="1:19" x14ac:dyDescent="0.2">
      <c r="A166" s="1">
        <v>1</v>
      </c>
      <c r="B166" s="1">
        <v>0</v>
      </c>
      <c r="C166" s="1" t="s">
        <v>142</v>
      </c>
      <c r="D166" s="1" t="s">
        <v>5</v>
      </c>
      <c r="E166" s="1" t="s">
        <v>6</v>
      </c>
      <c r="F166">
        <v>3</v>
      </c>
      <c r="H166" s="17" t="s">
        <v>197</v>
      </c>
      <c r="I166" s="18"/>
      <c r="J166" s="18">
        <v>2</v>
      </c>
      <c r="K166" s="18">
        <v>11</v>
      </c>
      <c r="L166" s="18">
        <v>3</v>
      </c>
      <c r="N166" s="19" t="s">
        <v>144</v>
      </c>
      <c r="O166" s="39">
        <v>3</v>
      </c>
      <c r="P166" s="39">
        <v>3</v>
      </c>
      <c r="Q166" s="39">
        <v>3</v>
      </c>
      <c r="R166" s="39">
        <v>7</v>
      </c>
      <c r="S166">
        <f>AVERAGE(O166:R166)</f>
        <v>4</v>
      </c>
    </row>
    <row r="167" spans="1:19" x14ac:dyDescent="0.2">
      <c r="A167" s="1">
        <v>1</v>
      </c>
      <c r="B167" s="1">
        <v>0</v>
      </c>
      <c r="C167" s="1" t="s">
        <v>110</v>
      </c>
      <c r="D167" s="1" t="s">
        <v>5</v>
      </c>
      <c r="E167" s="1" t="s">
        <v>6</v>
      </c>
      <c r="F167">
        <v>1</v>
      </c>
      <c r="H167" s="17" t="s">
        <v>147</v>
      </c>
      <c r="I167" s="18">
        <v>9</v>
      </c>
      <c r="J167" s="18">
        <v>1</v>
      </c>
      <c r="K167" s="18">
        <v>1</v>
      </c>
      <c r="L167" s="18">
        <v>5</v>
      </c>
      <c r="N167" s="19" t="s">
        <v>119</v>
      </c>
      <c r="O167" s="39">
        <v>3</v>
      </c>
      <c r="P167" s="39">
        <v>5</v>
      </c>
      <c r="Q167" s="39">
        <v>5</v>
      </c>
      <c r="R167" s="39">
        <v>3</v>
      </c>
      <c r="S167">
        <f>AVERAGE(O167:R167)</f>
        <v>4</v>
      </c>
    </row>
    <row r="168" spans="1:19" x14ac:dyDescent="0.2">
      <c r="A168" s="1">
        <v>1</v>
      </c>
      <c r="B168" s="1">
        <v>0</v>
      </c>
      <c r="C168" s="1" t="s">
        <v>62</v>
      </c>
      <c r="D168" s="1" t="s">
        <v>5</v>
      </c>
      <c r="E168" s="1" t="s">
        <v>6</v>
      </c>
      <c r="F168">
        <v>1</v>
      </c>
      <c r="H168" s="17" t="s">
        <v>144</v>
      </c>
      <c r="I168" s="18">
        <v>3</v>
      </c>
      <c r="J168" s="18">
        <v>3</v>
      </c>
      <c r="K168" s="18">
        <v>3</v>
      </c>
      <c r="L168" s="18">
        <v>7</v>
      </c>
      <c r="N168" s="19" t="s">
        <v>197</v>
      </c>
      <c r="O168" s="39">
        <v>0</v>
      </c>
      <c r="P168" s="39">
        <v>2</v>
      </c>
      <c r="Q168" s="39">
        <v>11</v>
      </c>
      <c r="R168" s="39">
        <v>3</v>
      </c>
      <c r="S168">
        <f>AVERAGE(O168:R168)</f>
        <v>4</v>
      </c>
    </row>
    <row r="169" spans="1:19" x14ac:dyDescent="0.2">
      <c r="A169" s="1">
        <v>1</v>
      </c>
      <c r="B169" s="1">
        <v>0</v>
      </c>
      <c r="C169" s="1" t="s">
        <v>83</v>
      </c>
      <c r="D169" s="1" t="s">
        <v>5</v>
      </c>
      <c r="E169" s="1" t="s">
        <v>6</v>
      </c>
      <c r="F169">
        <v>2</v>
      </c>
      <c r="H169" s="17" t="s">
        <v>119</v>
      </c>
      <c r="I169" s="18">
        <v>3</v>
      </c>
      <c r="J169" s="18">
        <v>5</v>
      </c>
      <c r="K169" s="18">
        <v>5</v>
      </c>
      <c r="L169" s="18">
        <v>3</v>
      </c>
      <c r="N169" s="19" t="s">
        <v>191</v>
      </c>
      <c r="O169" s="39">
        <v>0</v>
      </c>
      <c r="P169" s="39">
        <v>6</v>
      </c>
      <c r="Q169" s="39">
        <v>5</v>
      </c>
      <c r="R169" s="39">
        <v>5</v>
      </c>
      <c r="S169">
        <f>AVERAGE(O169:R169)</f>
        <v>4</v>
      </c>
    </row>
    <row r="170" spans="1:19" x14ac:dyDescent="0.2">
      <c r="A170" s="1">
        <v>1</v>
      </c>
      <c r="B170" s="1">
        <v>0</v>
      </c>
      <c r="C170" s="1" t="s">
        <v>27</v>
      </c>
      <c r="D170" s="1" t="s">
        <v>28</v>
      </c>
      <c r="E170" s="1" t="s">
        <v>6</v>
      </c>
      <c r="F170">
        <v>2</v>
      </c>
      <c r="H170" s="17" t="s">
        <v>191</v>
      </c>
      <c r="I170" s="18"/>
      <c r="J170" s="18">
        <v>6</v>
      </c>
      <c r="K170" s="18">
        <v>5</v>
      </c>
      <c r="L170" s="18">
        <v>5</v>
      </c>
      <c r="N170" s="19" t="s">
        <v>129</v>
      </c>
      <c r="O170" s="39">
        <v>4</v>
      </c>
      <c r="P170" s="39">
        <v>3</v>
      </c>
      <c r="Q170" s="39">
        <v>4</v>
      </c>
      <c r="R170" s="39">
        <v>4</v>
      </c>
      <c r="S170">
        <f>AVERAGE(O170:R170)</f>
        <v>3.75</v>
      </c>
    </row>
    <row r="171" spans="1:19" x14ac:dyDescent="0.2">
      <c r="A171" s="1">
        <v>1</v>
      </c>
      <c r="B171" s="1">
        <v>0</v>
      </c>
      <c r="C171" s="1" t="s">
        <v>97</v>
      </c>
      <c r="D171" s="1" t="s">
        <v>13</v>
      </c>
      <c r="E171" s="1" t="s">
        <v>6</v>
      </c>
      <c r="F171">
        <v>4</v>
      </c>
      <c r="H171" s="17" t="s">
        <v>83</v>
      </c>
      <c r="I171" s="18">
        <v>2</v>
      </c>
      <c r="J171" s="18">
        <v>4</v>
      </c>
      <c r="K171" s="18">
        <v>5</v>
      </c>
      <c r="L171" s="18">
        <v>4</v>
      </c>
      <c r="N171" s="19" t="s">
        <v>83</v>
      </c>
      <c r="O171" s="39">
        <v>2</v>
      </c>
      <c r="P171" s="39">
        <v>4</v>
      </c>
      <c r="Q171" s="39">
        <v>5</v>
      </c>
      <c r="R171" s="39">
        <v>4</v>
      </c>
      <c r="S171">
        <f>AVERAGE(O171:R171)</f>
        <v>3.75</v>
      </c>
    </row>
    <row r="172" spans="1:19" x14ac:dyDescent="0.2">
      <c r="A172" s="1">
        <v>1</v>
      </c>
      <c r="B172" s="1">
        <v>0</v>
      </c>
      <c r="C172" s="1" t="s">
        <v>43</v>
      </c>
      <c r="D172" s="1" t="s">
        <v>5</v>
      </c>
      <c r="E172" s="1" t="s">
        <v>6</v>
      </c>
      <c r="F172">
        <v>1</v>
      </c>
      <c r="H172" s="17" t="s">
        <v>129</v>
      </c>
      <c r="I172" s="18">
        <v>4</v>
      </c>
      <c r="J172" s="18">
        <v>3</v>
      </c>
      <c r="K172" s="18">
        <v>4</v>
      </c>
      <c r="L172" s="18">
        <v>4</v>
      </c>
      <c r="N172" s="19" t="s">
        <v>26</v>
      </c>
      <c r="O172" s="39">
        <v>7</v>
      </c>
      <c r="P172" s="39">
        <v>7</v>
      </c>
      <c r="Q172" s="39">
        <v>0</v>
      </c>
      <c r="R172" s="39">
        <v>0</v>
      </c>
      <c r="S172">
        <f>AVERAGE(O172:R172)</f>
        <v>3.5</v>
      </c>
    </row>
    <row r="173" spans="1:19" x14ac:dyDescent="0.2">
      <c r="A173" s="1">
        <v>1</v>
      </c>
      <c r="B173" s="1">
        <v>0</v>
      </c>
      <c r="C173" s="1" t="s">
        <v>70</v>
      </c>
      <c r="D173" s="1" t="s">
        <v>13</v>
      </c>
      <c r="E173" s="1" t="s">
        <v>6</v>
      </c>
      <c r="F173">
        <v>5</v>
      </c>
      <c r="H173" s="17" t="s">
        <v>26</v>
      </c>
      <c r="I173" s="18">
        <v>7</v>
      </c>
      <c r="J173" s="18">
        <v>7</v>
      </c>
      <c r="K173" s="18"/>
      <c r="L173" s="18"/>
      <c r="N173" s="19" t="s">
        <v>95</v>
      </c>
      <c r="O173" s="39">
        <v>7</v>
      </c>
      <c r="P173" s="39">
        <v>7</v>
      </c>
      <c r="Q173" s="39">
        <v>0</v>
      </c>
      <c r="R173" s="39">
        <v>0</v>
      </c>
      <c r="S173">
        <f>AVERAGE(O173:R173)</f>
        <v>3.5</v>
      </c>
    </row>
    <row r="174" spans="1:19" x14ac:dyDescent="0.2">
      <c r="A174" s="1">
        <v>1</v>
      </c>
      <c r="B174" s="1">
        <v>0</v>
      </c>
      <c r="C174" s="1" t="s">
        <v>70</v>
      </c>
      <c r="D174" s="1" t="s">
        <v>5</v>
      </c>
      <c r="E174" s="1" t="s">
        <v>6</v>
      </c>
      <c r="F174">
        <v>4</v>
      </c>
      <c r="H174" s="17" t="s">
        <v>148</v>
      </c>
      <c r="I174" s="18">
        <v>4</v>
      </c>
      <c r="J174" s="18"/>
      <c r="K174" s="18">
        <v>4</v>
      </c>
      <c r="L174" s="18">
        <v>6</v>
      </c>
      <c r="N174" s="19" t="s">
        <v>148</v>
      </c>
      <c r="O174" s="39">
        <v>4</v>
      </c>
      <c r="P174" s="39">
        <v>0</v>
      </c>
      <c r="Q174" s="39">
        <v>4</v>
      </c>
      <c r="R174" s="39">
        <v>6</v>
      </c>
      <c r="S174">
        <f>AVERAGE(O174:R174)</f>
        <v>3.5</v>
      </c>
    </row>
    <row r="175" spans="1:19" x14ac:dyDescent="0.2">
      <c r="A175" s="1">
        <v>1</v>
      </c>
      <c r="B175" s="1">
        <v>0</v>
      </c>
      <c r="C175" s="1" t="s">
        <v>149</v>
      </c>
      <c r="D175" s="1" t="s">
        <v>52</v>
      </c>
      <c r="E175" s="1" t="s">
        <v>6</v>
      </c>
      <c r="F175">
        <v>1</v>
      </c>
      <c r="H175" s="17" t="s">
        <v>82</v>
      </c>
      <c r="I175" s="18">
        <v>4</v>
      </c>
      <c r="J175" s="18">
        <v>2</v>
      </c>
      <c r="K175" s="18">
        <v>4</v>
      </c>
      <c r="L175" s="18">
        <v>4</v>
      </c>
      <c r="N175" s="19" t="s">
        <v>82</v>
      </c>
      <c r="O175" s="39">
        <v>4</v>
      </c>
      <c r="P175" s="39">
        <v>2</v>
      </c>
      <c r="Q175" s="39">
        <v>4</v>
      </c>
      <c r="R175" s="39">
        <v>4</v>
      </c>
      <c r="S175">
        <f>AVERAGE(O175:R175)</f>
        <v>3.5</v>
      </c>
    </row>
    <row r="176" spans="1:19" x14ac:dyDescent="0.2">
      <c r="A176" s="1">
        <v>1</v>
      </c>
      <c r="B176" s="1">
        <v>0</v>
      </c>
      <c r="C176" s="1" t="s">
        <v>149</v>
      </c>
      <c r="D176" s="1" t="s">
        <v>42</v>
      </c>
      <c r="E176" s="1" t="s">
        <v>6</v>
      </c>
      <c r="F176">
        <v>1</v>
      </c>
      <c r="H176" s="17" t="s">
        <v>125</v>
      </c>
      <c r="I176" s="18">
        <v>1</v>
      </c>
      <c r="J176" s="18">
        <v>6</v>
      </c>
      <c r="K176" s="18">
        <v>1</v>
      </c>
      <c r="L176" s="18">
        <v>6</v>
      </c>
      <c r="N176" s="19" t="s">
        <v>103</v>
      </c>
      <c r="O176" s="39">
        <v>4</v>
      </c>
      <c r="P176" s="39">
        <v>4</v>
      </c>
      <c r="Q176" s="39">
        <v>2</v>
      </c>
      <c r="R176" s="39">
        <v>4</v>
      </c>
      <c r="S176">
        <f>AVERAGE(O176:R176)</f>
        <v>3.5</v>
      </c>
    </row>
    <row r="177" spans="1:19" x14ac:dyDescent="0.2">
      <c r="A177" s="1">
        <v>1</v>
      </c>
      <c r="B177" s="1">
        <v>0</v>
      </c>
      <c r="C177" s="1" t="s">
        <v>104</v>
      </c>
      <c r="D177" s="1" t="s">
        <v>5</v>
      </c>
      <c r="E177" s="1" t="s">
        <v>6</v>
      </c>
      <c r="F177">
        <v>2</v>
      </c>
      <c r="H177" s="17" t="s">
        <v>103</v>
      </c>
      <c r="I177" s="18">
        <v>4</v>
      </c>
      <c r="J177" s="18">
        <v>4</v>
      </c>
      <c r="K177" s="18">
        <v>2</v>
      </c>
      <c r="L177" s="18">
        <v>4</v>
      </c>
      <c r="N177" s="19" t="s">
        <v>125</v>
      </c>
      <c r="O177" s="39">
        <v>1</v>
      </c>
      <c r="P177" s="39">
        <v>6</v>
      </c>
      <c r="Q177" s="39">
        <v>1</v>
      </c>
      <c r="R177" s="39">
        <v>6</v>
      </c>
      <c r="S177">
        <f>AVERAGE(O177:R177)</f>
        <v>3.5</v>
      </c>
    </row>
    <row r="178" spans="1:19" x14ac:dyDescent="0.2">
      <c r="A178" s="1">
        <v>1</v>
      </c>
      <c r="B178" s="1">
        <v>0</v>
      </c>
      <c r="C178" s="1" t="s">
        <v>132</v>
      </c>
      <c r="D178" s="1" t="s">
        <v>5</v>
      </c>
      <c r="E178" s="1" t="s">
        <v>6</v>
      </c>
      <c r="F178">
        <v>3</v>
      </c>
      <c r="H178" s="17" t="s">
        <v>95</v>
      </c>
      <c r="I178" s="18">
        <v>7</v>
      </c>
      <c r="J178" s="18">
        <v>7</v>
      </c>
      <c r="K178" s="18"/>
      <c r="L178" s="18"/>
      <c r="N178" s="19" t="s">
        <v>123</v>
      </c>
      <c r="O178" s="39">
        <v>9</v>
      </c>
      <c r="P178" s="39">
        <v>4</v>
      </c>
      <c r="Q178" s="39">
        <v>0</v>
      </c>
      <c r="R178" s="39">
        <v>0</v>
      </c>
      <c r="S178">
        <f>AVERAGE(O178:R178)</f>
        <v>3.25</v>
      </c>
    </row>
    <row r="179" spans="1:19" x14ac:dyDescent="0.2">
      <c r="A179" s="1">
        <v>1</v>
      </c>
      <c r="B179" s="1">
        <v>0</v>
      </c>
      <c r="C179" s="1" t="s">
        <v>156</v>
      </c>
      <c r="D179" s="1" t="s">
        <v>5</v>
      </c>
      <c r="E179" s="1" t="s">
        <v>6</v>
      </c>
      <c r="F179">
        <v>1</v>
      </c>
      <c r="H179" s="17" t="s">
        <v>157</v>
      </c>
      <c r="I179" s="18">
        <v>1</v>
      </c>
      <c r="J179" s="18">
        <v>4</v>
      </c>
      <c r="K179" s="18">
        <v>4</v>
      </c>
      <c r="L179" s="18">
        <v>4</v>
      </c>
      <c r="N179" s="19" t="s">
        <v>61</v>
      </c>
      <c r="O179" s="39">
        <v>6</v>
      </c>
      <c r="P179" s="39">
        <v>2</v>
      </c>
      <c r="Q179" s="39">
        <v>3</v>
      </c>
      <c r="R179" s="39">
        <v>2</v>
      </c>
      <c r="S179">
        <f>AVERAGE(O179:R179)</f>
        <v>3.25</v>
      </c>
    </row>
    <row r="180" spans="1:19" x14ac:dyDescent="0.2">
      <c r="A180" s="1">
        <v>1</v>
      </c>
      <c r="B180" s="1">
        <v>0</v>
      </c>
      <c r="C180" s="1" t="s">
        <v>63</v>
      </c>
      <c r="D180" s="1" t="s">
        <v>5</v>
      </c>
      <c r="E180" s="1" t="s">
        <v>6</v>
      </c>
      <c r="F180">
        <v>2</v>
      </c>
      <c r="H180" s="17" t="s">
        <v>61</v>
      </c>
      <c r="I180" s="18">
        <v>6</v>
      </c>
      <c r="J180" s="18">
        <v>2</v>
      </c>
      <c r="K180" s="18">
        <v>3</v>
      </c>
      <c r="L180" s="18">
        <v>2</v>
      </c>
      <c r="N180" s="19" t="s">
        <v>157</v>
      </c>
      <c r="O180" s="39">
        <v>1</v>
      </c>
      <c r="P180" s="39">
        <v>4</v>
      </c>
      <c r="Q180" s="39">
        <v>4</v>
      </c>
      <c r="R180" s="39">
        <v>4</v>
      </c>
      <c r="S180">
        <f>AVERAGE(O180:R180)</f>
        <v>3.25</v>
      </c>
    </row>
    <row r="181" spans="1:19" x14ac:dyDescent="0.2">
      <c r="A181" s="1">
        <v>1</v>
      </c>
      <c r="B181" s="1">
        <v>0</v>
      </c>
      <c r="C181" s="1" t="s">
        <v>36</v>
      </c>
      <c r="D181" s="1" t="s">
        <v>5</v>
      </c>
      <c r="E181" s="1" t="s">
        <v>6</v>
      </c>
      <c r="F181">
        <v>1</v>
      </c>
      <c r="H181" s="17" t="s">
        <v>123</v>
      </c>
      <c r="I181" s="18">
        <v>9</v>
      </c>
      <c r="J181" s="18">
        <v>4</v>
      </c>
      <c r="K181" s="18"/>
      <c r="L181" s="18"/>
      <c r="N181" s="19" t="s">
        <v>53</v>
      </c>
      <c r="O181" s="39">
        <v>3</v>
      </c>
      <c r="P181" s="39">
        <v>3</v>
      </c>
      <c r="Q181" s="39">
        <v>3</v>
      </c>
      <c r="R181" s="39">
        <v>3</v>
      </c>
      <c r="S181">
        <f>AVERAGE(O181:R181)</f>
        <v>3</v>
      </c>
    </row>
    <row r="182" spans="1:19" x14ac:dyDescent="0.2">
      <c r="A182" s="1">
        <v>1</v>
      </c>
      <c r="B182" s="1">
        <v>0</v>
      </c>
      <c r="C182" s="1" t="s">
        <v>157</v>
      </c>
      <c r="D182" s="1" t="s">
        <v>42</v>
      </c>
      <c r="E182" s="1" t="s">
        <v>6</v>
      </c>
      <c r="F182">
        <v>1</v>
      </c>
      <c r="H182" s="17" t="s">
        <v>53</v>
      </c>
      <c r="I182" s="18">
        <v>3</v>
      </c>
      <c r="J182" s="18">
        <v>3</v>
      </c>
      <c r="K182" s="18">
        <v>3</v>
      </c>
      <c r="L182" s="18">
        <v>3</v>
      </c>
      <c r="N182" s="19" t="s">
        <v>101</v>
      </c>
      <c r="O182" s="39">
        <v>3</v>
      </c>
      <c r="P182" s="39">
        <v>3</v>
      </c>
      <c r="Q182" s="39">
        <v>3</v>
      </c>
      <c r="R182" s="39">
        <v>3</v>
      </c>
      <c r="S182">
        <f>AVERAGE(O182:R182)</f>
        <v>3</v>
      </c>
    </row>
    <row r="183" spans="1:19" x14ac:dyDescent="0.2">
      <c r="A183" s="1">
        <v>1</v>
      </c>
      <c r="B183" s="1">
        <v>0</v>
      </c>
      <c r="C183" s="1" t="s">
        <v>119</v>
      </c>
      <c r="D183" s="1" t="s">
        <v>13</v>
      </c>
      <c r="E183" s="1" t="s">
        <v>6</v>
      </c>
      <c r="F183">
        <v>2</v>
      </c>
      <c r="H183" s="17" t="s">
        <v>186</v>
      </c>
      <c r="I183" s="18"/>
      <c r="J183" s="18">
        <v>6</v>
      </c>
      <c r="K183" s="18"/>
      <c r="L183" s="18">
        <v>6</v>
      </c>
      <c r="N183" s="19" t="s">
        <v>52</v>
      </c>
      <c r="O183" s="39">
        <v>3</v>
      </c>
      <c r="P183" s="39">
        <v>3</v>
      </c>
      <c r="Q183" s="39">
        <v>3</v>
      </c>
      <c r="R183" s="39">
        <v>3</v>
      </c>
      <c r="S183">
        <f>AVERAGE(O183:R183)</f>
        <v>3</v>
      </c>
    </row>
    <row r="184" spans="1:19" x14ac:dyDescent="0.2">
      <c r="A184" s="1">
        <v>1</v>
      </c>
      <c r="B184" s="1">
        <v>0</v>
      </c>
      <c r="C184" s="1" t="s">
        <v>119</v>
      </c>
      <c r="D184" s="1" t="s">
        <v>5</v>
      </c>
      <c r="E184" s="1" t="s">
        <v>6</v>
      </c>
      <c r="F184">
        <v>1</v>
      </c>
      <c r="H184" s="17" t="s">
        <v>101</v>
      </c>
      <c r="I184" s="18">
        <v>3</v>
      </c>
      <c r="J184" s="18">
        <v>3</v>
      </c>
      <c r="K184" s="18">
        <v>3</v>
      </c>
      <c r="L184" s="18">
        <v>3</v>
      </c>
      <c r="N184" s="19" t="s">
        <v>12</v>
      </c>
      <c r="O184" s="39">
        <v>3</v>
      </c>
      <c r="P184" s="39">
        <v>3</v>
      </c>
      <c r="Q184" s="39">
        <v>3</v>
      </c>
      <c r="R184" s="39">
        <v>3</v>
      </c>
      <c r="S184">
        <f>AVERAGE(O184:R184)</f>
        <v>3</v>
      </c>
    </row>
    <row r="185" spans="1:19" x14ac:dyDescent="0.2">
      <c r="A185" s="1">
        <v>1</v>
      </c>
      <c r="B185" s="1">
        <v>0</v>
      </c>
      <c r="C185" s="1" t="s">
        <v>134</v>
      </c>
      <c r="D185" s="1" t="s">
        <v>5</v>
      </c>
      <c r="E185" s="1" t="s">
        <v>6</v>
      </c>
      <c r="F185">
        <v>1</v>
      </c>
      <c r="H185" s="17" t="s">
        <v>52</v>
      </c>
      <c r="I185" s="18">
        <v>3</v>
      </c>
      <c r="J185" s="18">
        <v>3</v>
      </c>
      <c r="K185" s="18">
        <v>3</v>
      </c>
      <c r="L185" s="18">
        <v>3</v>
      </c>
      <c r="N185" s="19" t="s">
        <v>186</v>
      </c>
      <c r="O185" s="39">
        <v>0</v>
      </c>
      <c r="P185" s="39">
        <v>6</v>
      </c>
      <c r="Q185" s="39">
        <v>0</v>
      </c>
      <c r="R185" s="39">
        <v>6</v>
      </c>
      <c r="S185">
        <f>AVERAGE(O185:R185)</f>
        <v>3</v>
      </c>
    </row>
    <row r="186" spans="1:19" x14ac:dyDescent="0.2">
      <c r="A186" s="1">
        <v>1</v>
      </c>
      <c r="B186" s="1">
        <v>0</v>
      </c>
      <c r="C186" s="1" t="s">
        <v>68</v>
      </c>
      <c r="D186" s="1" t="s">
        <v>5</v>
      </c>
      <c r="E186" s="1" t="s">
        <v>6</v>
      </c>
      <c r="F186">
        <v>4</v>
      </c>
      <c r="H186" s="17" t="s">
        <v>12</v>
      </c>
      <c r="I186" s="18">
        <v>3</v>
      </c>
      <c r="J186" s="18">
        <v>3</v>
      </c>
      <c r="K186" s="18">
        <v>3</v>
      </c>
      <c r="L186" s="18">
        <v>3</v>
      </c>
      <c r="N186" s="19" t="s">
        <v>162</v>
      </c>
      <c r="O186" s="39">
        <v>5</v>
      </c>
      <c r="P186" s="39">
        <v>1</v>
      </c>
      <c r="Q186" s="39">
        <v>0</v>
      </c>
      <c r="R186" s="39">
        <v>5</v>
      </c>
      <c r="S186">
        <f>AVERAGE(O186:R186)</f>
        <v>2.75</v>
      </c>
    </row>
    <row r="187" spans="1:19" x14ac:dyDescent="0.2">
      <c r="A187" s="1">
        <v>1</v>
      </c>
      <c r="B187" s="1">
        <v>0</v>
      </c>
      <c r="C187" s="1" t="s">
        <v>116</v>
      </c>
      <c r="D187" s="1" t="s">
        <v>5</v>
      </c>
      <c r="E187" s="1" t="s">
        <v>6</v>
      </c>
      <c r="F187">
        <v>1</v>
      </c>
      <c r="H187" s="17" t="s">
        <v>162</v>
      </c>
      <c r="I187" s="18">
        <v>5</v>
      </c>
      <c r="J187" s="18">
        <v>1</v>
      </c>
      <c r="K187" s="18"/>
      <c r="L187" s="18">
        <v>5</v>
      </c>
      <c r="N187" s="19" t="s">
        <v>116</v>
      </c>
      <c r="O187" s="39">
        <v>1</v>
      </c>
      <c r="P187" s="39">
        <v>3</v>
      </c>
      <c r="Q187" s="39">
        <v>3</v>
      </c>
      <c r="R187" s="39">
        <v>4</v>
      </c>
      <c r="S187">
        <f>AVERAGE(O187:R187)</f>
        <v>2.75</v>
      </c>
    </row>
    <row r="188" spans="1:19" x14ac:dyDescent="0.2">
      <c r="A188" s="1">
        <v>1</v>
      </c>
      <c r="B188" s="1">
        <v>0</v>
      </c>
      <c r="C188" s="1" t="s">
        <v>82</v>
      </c>
      <c r="D188" s="1" t="s">
        <v>5</v>
      </c>
      <c r="E188" s="1" t="s">
        <v>6</v>
      </c>
      <c r="F188">
        <v>4</v>
      </c>
      <c r="H188" s="17" t="s">
        <v>116</v>
      </c>
      <c r="I188" s="18">
        <v>1</v>
      </c>
      <c r="J188" s="18">
        <v>3</v>
      </c>
      <c r="K188" s="18">
        <v>3</v>
      </c>
      <c r="L188" s="18">
        <v>4</v>
      </c>
      <c r="N188" s="19" t="s">
        <v>114</v>
      </c>
      <c r="O188" s="39">
        <v>6</v>
      </c>
      <c r="P188" s="39">
        <v>1</v>
      </c>
      <c r="Q188" s="39">
        <v>3</v>
      </c>
      <c r="R188" s="39">
        <v>0</v>
      </c>
      <c r="S188">
        <f>AVERAGE(O188:R188)</f>
        <v>2.5</v>
      </c>
    </row>
    <row r="189" spans="1:19" x14ac:dyDescent="0.2">
      <c r="A189" s="1">
        <v>1</v>
      </c>
      <c r="B189" s="1">
        <v>0</v>
      </c>
      <c r="C189" s="1" t="s">
        <v>35</v>
      </c>
      <c r="D189" s="1" t="s">
        <v>5</v>
      </c>
      <c r="E189" s="1" t="s">
        <v>6</v>
      </c>
      <c r="F189">
        <v>1</v>
      </c>
      <c r="H189" s="17" t="s">
        <v>10</v>
      </c>
      <c r="I189" s="18">
        <v>3</v>
      </c>
      <c r="J189" s="18">
        <v>2</v>
      </c>
      <c r="K189" s="18">
        <v>2</v>
      </c>
      <c r="L189" s="18">
        <v>3</v>
      </c>
      <c r="N189" s="19" t="s">
        <v>10</v>
      </c>
      <c r="O189" s="39">
        <v>3</v>
      </c>
      <c r="P189" s="39">
        <v>2</v>
      </c>
      <c r="Q189" s="39">
        <v>2</v>
      </c>
      <c r="R189" s="39">
        <v>3</v>
      </c>
      <c r="S189">
        <f>AVERAGE(O189:R189)</f>
        <v>2.5</v>
      </c>
    </row>
    <row r="190" spans="1:19" x14ac:dyDescent="0.2">
      <c r="A190" s="1">
        <v>1</v>
      </c>
      <c r="B190" s="1">
        <v>0</v>
      </c>
      <c r="C190" s="1" t="s">
        <v>24</v>
      </c>
      <c r="D190" s="1" t="s">
        <v>5</v>
      </c>
      <c r="E190" s="1" t="s">
        <v>6</v>
      </c>
      <c r="F190">
        <v>1</v>
      </c>
      <c r="H190" s="17" t="s">
        <v>132</v>
      </c>
      <c r="I190" s="18">
        <v>3</v>
      </c>
      <c r="J190" s="18">
        <v>3</v>
      </c>
      <c r="K190" s="18">
        <v>3</v>
      </c>
      <c r="L190" s="18">
        <v>1</v>
      </c>
      <c r="N190" s="19" t="s">
        <v>132</v>
      </c>
      <c r="O190" s="39">
        <v>3</v>
      </c>
      <c r="P190" s="39">
        <v>3</v>
      </c>
      <c r="Q190" s="39">
        <v>3</v>
      </c>
      <c r="R190" s="39">
        <v>1</v>
      </c>
      <c r="S190">
        <f>AVERAGE(O190:R190)</f>
        <v>2.5</v>
      </c>
    </row>
    <row r="191" spans="1:19" x14ac:dyDescent="0.2">
      <c r="A191" s="1">
        <v>1</v>
      </c>
      <c r="B191" s="1">
        <v>0</v>
      </c>
      <c r="C191" s="1" t="s">
        <v>34</v>
      </c>
      <c r="D191" s="1" t="s">
        <v>28</v>
      </c>
      <c r="E191" s="1" t="s">
        <v>6</v>
      </c>
      <c r="F191">
        <v>2</v>
      </c>
      <c r="H191" s="17" t="s">
        <v>22</v>
      </c>
      <c r="I191" s="18">
        <v>2</v>
      </c>
      <c r="J191" s="18">
        <v>4</v>
      </c>
      <c r="K191" s="18">
        <v>2</v>
      </c>
      <c r="L191" s="18">
        <v>2</v>
      </c>
      <c r="N191" s="19" t="s">
        <v>22</v>
      </c>
      <c r="O191" s="39">
        <v>2</v>
      </c>
      <c r="P191" s="39">
        <v>4</v>
      </c>
      <c r="Q191" s="39">
        <v>2</v>
      </c>
      <c r="R191" s="39">
        <v>2</v>
      </c>
      <c r="S191">
        <f>AVERAGE(O191:R191)</f>
        <v>2.5</v>
      </c>
    </row>
    <row r="192" spans="1:19" x14ac:dyDescent="0.2">
      <c r="A192" s="1">
        <v>1</v>
      </c>
      <c r="B192" s="1">
        <v>0</v>
      </c>
      <c r="C192" s="1" t="s">
        <v>99</v>
      </c>
      <c r="D192" s="1" t="s">
        <v>13</v>
      </c>
      <c r="E192" s="1" t="s">
        <v>6</v>
      </c>
      <c r="F192">
        <v>2</v>
      </c>
      <c r="H192" s="17" t="s">
        <v>114</v>
      </c>
      <c r="I192" s="18">
        <v>6</v>
      </c>
      <c r="J192" s="18">
        <v>1</v>
      </c>
      <c r="K192" s="18">
        <v>3</v>
      </c>
      <c r="L192" s="18"/>
      <c r="N192" s="19" t="s">
        <v>137</v>
      </c>
      <c r="O192" s="39">
        <v>2</v>
      </c>
      <c r="P192" s="39">
        <v>2</v>
      </c>
      <c r="Q192" s="39">
        <v>3</v>
      </c>
      <c r="R192" s="39">
        <v>3</v>
      </c>
      <c r="S192">
        <f>AVERAGE(O192:R192)</f>
        <v>2.5</v>
      </c>
    </row>
    <row r="193" spans="1:19" x14ac:dyDescent="0.2">
      <c r="A193" s="1">
        <v>1</v>
      </c>
      <c r="B193" s="1">
        <v>0</v>
      </c>
      <c r="C193" s="1" t="s">
        <v>87</v>
      </c>
      <c r="D193" s="1" t="s">
        <v>5</v>
      </c>
      <c r="E193" s="1" t="s">
        <v>6</v>
      </c>
      <c r="F193">
        <v>1</v>
      </c>
      <c r="H193" s="17" t="s">
        <v>137</v>
      </c>
      <c r="I193" s="18">
        <v>2</v>
      </c>
      <c r="J193" s="18">
        <v>2</v>
      </c>
      <c r="K193" s="18">
        <v>3</v>
      </c>
      <c r="L193" s="18">
        <v>3</v>
      </c>
      <c r="N193" s="19" t="s">
        <v>118</v>
      </c>
      <c r="O193" s="39">
        <v>2</v>
      </c>
      <c r="P193" s="39">
        <v>0</v>
      </c>
      <c r="Q193" s="39">
        <v>4</v>
      </c>
      <c r="R193" s="39">
        <v>4</v>
      </c>
      <c r="S193">
        <f>AVERAGE(O193:R193)</f>
        <v>2.5</v>
      </c>
    </row>
    <row r="194" spans="1:19" x14ac:dyDescent="0.2">
      <c r="A194" s="1">
        <v>1</v>
      </c>
      <c r="B194" s="1">
        <v>0</v>
      </c>
      <c r="C194" s="1" t="s">
        <v>32</v>
      </c>
      <c r="D194" s="1" t="s">
        <v>5</v>
      </c>
      <c r="E194" s="1" t="s">
        <v>6</v>
      </c>
      <c r="F194">
        <v>2</v>
      </c>
      <c r="H194" s="17" t="s">
        <v>118</v>
      </c>
      <c r="I194" s="18">
        <v>2</v>
      </c>
      <c r="J194" s="18"/>
      <c r="K194" s="18">
        <v>4</v>
      </c>
      <c r="L194" s="18">
        <v>4</v>
      </c>
      <c r="N194" s="19" t="s">
        <v>84</v>
      </c>
      <c r="O194" s="39">
        <v>2</v>
      </c>
      <c r="P194" s="39">
        <v>2</v>
      </c>
      <c r="Q194" s="39">
        <v>3</v>
      </c>
      <c r="R194" s="39">
        <v>3</v>
      </c>
      <c r="S194">
        <f>AVERAGE(O194:R194)</f>
        <v>2.5</v>
      </c>
    </row>
    <row r="195" spans="1:19" x14ac:dyDescent="0.2">
      <c r="A195" s="1">
        <v>1</v>
      </c>
      <c r="B195" s="1">
        <v>0</v>
      </c>
      <c r="C195" s="1" t="s">
        <v>81</v>
      </c>
      <c r="D195" s="1" t="s">
        <v>28</v>
      </c>
      <c r="E195" s="1" t="s">
        <v>6</v>
      </c>
      <c r="F195">
        <v>2</v>
      </c>
      <c r="H195" s="17" t="s">
        <v>84</v>
      </c>
      <c r="I195" s="18">
        <v>2</v>
      </c>
      <c r="J195" s="18">
        <v>2</v>
      </c>
      <c r="K195" s="18">
        <v>3</v>
      </c>
      <c r="L195" s="18">
        <v>3</v>
      </c>
      <c r="N195" s="19" t="s">
        <v>140</v>
      </c>
      <c r="O195" s="39">
        <v>7</v>
      </c>
      <c r="P195" s="39">
        <v>0</v>
      </c>
      <c r="Q195" s="39">
        <v>2</v>
      </c>
      <c r="R195" s="39">
        <v>0</v>
      </c>
      <c r="S195">
        <f>AVERAGE(O195:R195)</f>
        <v>2.25</v>
      </c>
    </row>
    <row r="196" spans="1:19" x14ac:dyDescent="0.2">
      <c r="A196" s="1">
        <v>1</v>
      </c>
      <c r="B196" s="1">
        <v>0</v>
      </c>
      <c r="C196" s="1" t="s">
        <v>50</v>
      </c>
      <c r="D196" s="1" t="s">
        <v>13</v>
      </c>
      <c r="E196" s="1" t="s">
        <v>6</v>
      </c>
      <c r="F196">
        <v>2</v>
      </c>
      <c r="H196" s="17" t="s">
        <v>31</v>
      </c>
      <c r="I196" s="18">
        <v>3</v>
      </c>
      <c r="J196" s="18"/>
      <c r="K196" s="18">
        <v>3</v>
      </c>
      <c r="L196" s="18">
        <v>3</v>
      </c>
      <c r="N196" s="19" t="s">
        <v>68</v>
      </c>
      <c r="O196" s="39">
        <v>4</v>
      </c>
      <c r="P196" s="39">
        <v>1</v>
      </c>
      <c r="Q196" s="39">
        <v>2</v>
      </c>
      <c r="R196" s="39">
        <v>2</v>
      </c>
      <c r="S196">
        <f>AVERAGE(O196:R196)</f>
        <v>2.25</v>
      </c>
    </row>
    <row r="197" spans="1:19" x14ac:dyDescent="0.2">
      <c r="A197" s="1">
        <v>1</v>
      </c>
      <c r="B197" s="1">
        <v>0</v>
      </c>
      <c r="C197" s="1" t="s">
        <v>160</v>
      </c>
      <c r="D197" s="1" t="s">
        <v>13</v>
      </c>
      <c r="E197" s="1" t="s">
        <v>6</v>
      </c>
      <c r="F197">
        <v>2</v>
      </c>
      <c r="H197" s="17" t="s">
        <v>75</v>
      </c>
      <c r="I197" s="18">
        <v>3</v>
      </c>
      <c r="J197" s="18"/>
      <c r="K197" s="18">
        <v>3</v>
      </c>
      <c r="L197" s="18">
        <v>3</v>
      </c>
      <c r="N197" s="19" t="s">
        <v>31</v>
      </c>
      <c r="O197" s="39">
        <v>3</v>
      </c>
      <c r="P197" s="39">
        <v>0</v>
      </c>
      <c r="Q197" s="39">
        <v>3</v>
      </c>
      <c r="R197" s="39">
        <v>3</v>
      </c>
      <c r="S197">
        <f>AVERAGE(O197:R197)</f>
        <v>2.25</v>
      </c>
    </row>
    <row r="198" spans="1:19" x14ac:dyDescent="0.2">
      <c r="A198" s="1">
        <v>1</v>
      </c>
      <c r="B198" s="1">
        <v>0</v>
      </c>
      <c r="C198" s="1" t="s">
        <v>101</v>
      </c>
      <c r="D198" s="1" t="s">
        <v>5</v>
      </c>
      <c r="E198" s="1" t="s">
        <v>6</v>
      </c>
      <c r="F198">
        <v>3</v>
      </c>
      <c r="H198" s="17" t="s">
        <v>131</v>
      </c>
      <c r="I198" s="18">
        <v>3</v>
      </c>
      <c r="J198" s="18">
        <v>2</v>
      </c>
      <c r="K198" s="18">
        <v>2</v>
      </c>
      <c r="L198" s="18">
        <v>2</v>
      </c>
      <c r="N198" s="19" t="s">
        <v>75</v>
      </c>
      <c r="O198" s="39">
        <v>3</v>
      </c>
      <c r="P198" s="39">
        <v>0</v>
      </c>
      <c r="Q198" s="39">
        <v>3</v>
      </c>
      <c r="R198" s="39">
        <v>3</v>
      </c>
      <c r="S198">
        <f>AVERAGE(O198:R198)</f>
        <v>2.25</v>
      </c>
    </row>
    <row r="199" spans="1:19" x14ac:dyDescent="0.2">
      <c r="A199" s="1">
        <v>1</v>
      </c>
      <c r="B199" s="1">
        <v>0</v>
      </c>
      <c r="C199" s="1" t="s">
        <v>136</v>
      </c>
      <c r="D199" s="1" t="s">
        <v>5</v>
      </c>
      <c r="E199" s="1" t="s">
        <v>6</v>
      </c>
      <c r="F199">
        <v>2</v>
      </c>
      <c r="H199" s="17" t="s">
        <v>146</v>
      </c>
      <c r="I199" s="18">
        <v>2</v>
      </c>
      <c r="J199" s="18">
        <v>2</v>
      </c>
      <c r="K199" s="18">
        <v>3</v>
      </c>
      <c r="L199" s="18">
        <v>2</v>
      </c>
      <c r="N199" s="19" t="s">
        <v>131</v>
      </c>
      <c r="O199" s="39">
        <v>3</v>
      </c>
      <c r="P199" s="39">
        <v>2</v>
      </c>
      <c r="Q199" s="39">
        <v>2</v>
      </c>
      <c r="R199" s="39">
        <v>2</v>
      </c>
      <c r="S199">
        <f>AVERAGE(O199:R199)</f>
        <v>2.25</v>
      </c>
    </row>
    <row r="200" spans="1:19" x14ac:dyDescent="0.2">
      <c r="A200" s="1">
        <v>1</v>
      </c>
      <c r="B200" s="1">
        <v>0</v>
      </c>
      <c r="C200" s="1" t="s">
        <v>136</v>
      </c>
      <c r="D200" s="1" t="s">
        <v>28</v>
      </c>
      <c r="E200" s="1" t="s">
        <v>6</v>
      </c>
      <c r="F200">
        <v>1</v>
      </c>
      <c r="H200" s="17" t="s">
        <v>68</v>
      </c>
      <c r="I200" s="18">
        <v>4</v>
      </c>
      <c r="J200" s="18">
        <v>1</v>
      </c>
      <c r="K200" s="18">
        <v>2</v>
      </c>
      <c r="L200" s="18">
        <v>2</v>
      </c>
      <c r="N200" s="19" t="s">
        <v>92</v>
      </c>
      <c r="O200" s="39">
        <v>3</v>
      </c>
      <c r="P200" s="39">
        <v>3</v>
      </c>
      <c r="Q200" s="39">
        <v>3</v>
      </c>
      <c r="R200" s="39">
        <v>0</v>
      </c>
      <c r="S200">
        <f>AVERAGE(O200:R200)</f>
        <v>2.25</v>
      </c>
    </row>
    <row r="201" spans="1:19" x14ac:dyDescent="0.2">
      <c r="A201" s="1">
        <v>1</v>
      </c>
      <c r="B201" s="1">
        <v>0</v>
      </c>
      <c r="C201" s="1" t="s">
        <v>76</v>
      </c>
      <c r="D201" s="1" t="s">
        <v>5</v>
      </c>
      <c r="E201" s="1" t="s">
        <v>6</v>
      </c>
      <c r="F201">
        <v>2</v>
      </c>
      <c r="H201" s="17" t="s">
        <v>140</v>
      </c>
      <c r="I201" s="18">
        <v>7</v>
      </c>
      <c r="J201" s="18"/>
      <c r="K201" s="18">
        <v>2</v>
      </c>
      <c r="L201" s="18"/>
      <c r="N201" s="19" t="s">
        <v>166</v>
      </c>
      <c r="O201" s="39">
        <v>3</v>
      </c>
      <c r="P201" s="39">
        <v>1</v>
      </c>
      <c r="Q201" s="39">
        <v>3</v>
      </c>
      <c r="R201" s="39">
        <v>2</v>
      </c>
      <c r="S201">
        <f>AVERAGE(O201:R201)</f>
        <v>2.25</v>
      </c>
    </row>
    <row r="202" spans="1:19" x14ac:dyDescent="0.2">
      <c r="A202" s="1">
        <v>1</v>
      </c>
      <c r="B202" s="1">
        <v>0</v>
      </c>
      <c r="C202" s="1" t="s">
        <v>76</v>
      </c>
      <c r="D202" s="1" t="s">
        <v>28</v>
      </c>
      <c r="E202" s="1" t="s">
        <v>6</v>
      </c>
      <c r="F202">
        <v>1</v>
      </c>
      <c r="H202" s="17" t="s">
        <v>92</v>
      </c>
      <c r="I202" s="18">
        <v>3</v>
      </c>
      <c r="J202" s="18">
        <v>3</v>
      </c>
      <c r="K202" s="18">
        <v>3</v>
      </c>
      <c r="L202" s="18"/>
      <c r="N202" s="19" t="s">
        <v>133</v>
      </c>
      <c r="O202" s="39">
        <v>3</v>
      </c>
      <c r="P202" s="39">
        <v>3</v>
      </c>
      <c r="Q202" s="39">
        <v>3</v>
      </c>
      <c r="R202" s="39">
        <v>0</v>
      </c>
      <c r="S202">
        <f>AVERAGE(O202:R202)</f>
        <v>2.25</v>
      </c>
    </row>
    <row r="203" spans="1:19" x14ac:dyDescent="0.2">
      <c r="A203" s="1">
        <v>1</v>
      </c>
      <c r="B203" s="1">
        <v>1</v>
      </c>
      <c r="C203" s="1" t="s">
        <v>9</v>
      </c>
      <c r="D203" s="1" t="s">
        <v>28</v>
      </c>
      <c r="E203" s="1" t="s">
        <v>6</v>
      </c>
      <c r="F203">
        <v>1</v>
      </c>
      <c r="H203" s="17" t="s">
        <v>166</v>
      </c>
      <c r="I203" s="18">
        <v>3</v>
      </c>
      <c r="J203" s="18">
        <v>1</v>
      </c>
      <c r="K203" s="18">
        <v>3</v>
      </c>
      <c r="L203" s="18">
        <v>2</v>
      </c>
      <c r="N203" s="19" t="s">
        <v>142</v>
      </c>
      <c r="O203" s="39">
        <v>3</v>
      </c>
      <c r="P203" s="39">
        <v>3</v>
      </c>
      <c r="Q203" s="39">
        <v>0</v>
      </c>
      <c r="R203" s="39">
        <v>3</v>
      </c>
      <c r="S203">
        <f>AVERAGE(O203:R203)</f>
        <v>2.25</v>
      </c>
    </row>
    <row r="204" spans="1:19" x14ac:dyDescent="0.2">
      <c r="A204" s="1">
        <v>1</v>
      </c>
      <c r="B204" s="1">
        <v>1</v>
      </c>
      <c r="C204" s="1" t="s">
        <v>22</v>
      </c>
      <c r="D204" s="1" t="s">
        <v>30</v>
      </c>
      <c r="E204" s="1" t="s">
        <v>6</v>
      </c>
      <c r="F204">
        <v>2</v>
      </c>
      <c r="H204" s="17" t="s">
        <v>104</v>
      </c>
      <c r="I204" s="18">
        <v>2</v>
      </c>
      <c r="J204" s="18">
        <v>2</v>
      </c>
      <c r="K204" s="18">
        <v>3</v>
      </c>
      <c r="L204" s="18">
        <v>2</v>
      </c>
      <c r="N204" s="19" t="s">
        <v>146</v>
      </c>
      <c r="O204" s="39">
        <v>2</v>
      </c>
      <c r="P204" s="39">
        <v>2</v>
      </c>
      <c r="Q204" s="39">
        <v>3</v>
      </c>
      <c r="R204" s="39">
        <v>2</v>
      </c>
      <c r="S204">
        <f>AVERAGE(O204:R204)</f>
        <v>2.25</v>
      </c>
    </row>
    <row r="205" spans="1:19" x14ac:dyDescent="0.2">
      <c r="A205" s="1">
        <v>1</v>
      </c>
      <c r="B205" s="1">
        <v>1</v>
      </c>
      <c r="C205" s="1" t="s">
        <v>33</v>
      </c>
      <c r="D205" s="1" t="s">
        <v>30</v>
      </c>
      <c r="E205" s="1" t="s">
        <v>6</v>
      </c>
      <c r="F205">
        <v>2</v>
      </c>
      <c r="H205" s="17" t="s">
        <v>133</v>
      </c>
      <c r="I205" s="18">
        <v>3</v>
      </c>
      <c r="J205" s="18">
        <v>3</v>
      </c>
      <c r="K205" s="18">
        <v>3</v>
      </c>
      <c r="L205" s="18"/>
      <c r="N205" s="19" t="s">
        <v>104</v>
      </c>
      <c r="O205" s="39">
        <v>2</v>
      </c>
      <c r="P205" s="39">
        <v>2</v>
      </c>
      <c r="Q205" s="39">
        <v>3</v>
      </c>
      <c r="R205" s="39">
        <v>2</v>
      </c>
      <c r="S205">
        <f>AVERAGE(O205:R205)</f>
        <v>2.25</v>
      </c>
    </row>
    <row r="206" spans="1:19" x14ac:dyDescent="0.2">
      <c r="A206" s="1">
        <v>1</v>
      </c>
      <c r="B206" s="1">
        <v>1</v>
      </c>
      <c r="C206" s="1" t="s">
        <v>33</v>
      </c>
      <c r="D206" s="1" t="s">
        <v>42</v>
      </c>
      <c r="E206" s="1" t="s">
        <v>6</v>
      </c>
      <c r="F206">
        <v>1</v>
      </c>
      <c r="H206" s="17" t="s">
        <v>90</v>
      </c>
      <c r="I206" s="18">
        <v>1</v>
      </c>
      <c r="J206" s="18">
        <v>1</v>
      </c>
      <c r="K206" s="18"/>
      <c r="L206" s="18">
        <v>7</v>
      </c>
      <c r="N206" s="19" t="s">
        <v>25</v>
      </c>
      <c r="O206" s="39">
        <v>2</v>
      </c>
      <c r="P206" s="39">
        <v>3</v>
      </c>
      <c r="Q206" s="39">
        <v>2</v>
      </c>
      <c r="R206" s="39">
        <v>2</v>
      </c>
      <c r="S206">
        <f>AVERAGE(O206:R206)</f>
        <v>2.25</v>
      </c>
    </row>
    <row r="207" spans="1:19" x14ac:dyDescent="0.2">
      <c r="A207" s="1">
        <v>1</v>
      </c>
      <c r="B207" s="1">
        <v>1</v>
      </c>
      <c r="C207" s="1" t="s">
        <v>39</v>
      </c>
      <c r="D207" s="1" t="s">
        <v>30</v>
      </c>
      <c r="E207" s="1" t="s">
        <v>6</v>
      </c>
      <c r="F207">
        <v>2</v>
      </c>
      <c r="H207" s="17" t="s">
        <v>25</v>
      </c>
      <c r="I207" s="18">
        <v>2</v>
      </c>
      <c r="J207" s="18">
        <v>3</v>
      </c>
      <c r="K207" s="18">
        <v>2</v>
      </c>
      <c r="L207" s="18">
        <v>2</v>
      </c>
      <c r="N207" s="19" t="s">
        <v>17</v>
      </c>
      <c r="O207" s="39">
        <v>2</v>
      </c>
      <c r="P207" s="39">
        <v>2</v>
      </c>
      <c r="Q207" s="39">
        <v>2</v>
      </c>
      <c r="R207" s="39">
        <v>3</v>
      </c>
      <c r="S207">
        <f>AVERAGE(O207:R207)</f>
        <v>2.25</v>
      </c>
    </row>
    <row r="208" spans="1:19" x14ac:dyDescent="0.2">
      <c r="A208" s="1">
        <v>1</v>
      </c>
      <c r="B208" s="1">
        <v>1</v>
      </c>
      <c r="C208" s="1" t="s">
        <v>39</v>
      </c>
      <c r="D208" s="1" t="s">
        <v>40</v>
      </c>
      <c r="E208" s="1" t="s">
        <v>6</v>
      </c>
      <c r="F208">
        <v>6</v>
      </c>
      <c r="H208" s="17" t="s">
        <v>17</v>
      </c>
      <c r="I208" s="18">
        <v>2</v>
      </c>
      <c r="J208" s="18">
        <v>2</v>
      </c>
      <c r="K208" s="18">
        <v>2</v>
      </c>
      <c r="L208" s="18">
        <v>3</v>
      </c>
      <c r="N208" s="19" t="s">
        <v>90</v>
      </c>
      <c r="O208" s="39">
        <v>1</v>
      </c>
      <c r="P208" s="39">
        <v>1</v>
      </c>
      <c r="Q208" s="39">
        <v>0</v>
      </c>
      <c r="R208" s="39">
        <v>7</v>
      </c>
      <c r="S208">
        <f>AVERAGE(O208:R208)</f>
        <v>2.25</v>
      </c>
    </row>
    <row r="209" spans="1:19" x14ac:dyDescent="0.2">
      <c r="A209" s="1">
        <v>1</v>
      </c>
      <c r="B209" s="1">
        <v>1</v>
      </c>
      <c r="C209" s="1" t="s">
        <v>39</v>
      </c>
      <c r="D209" s="1" t="s">
        <v>41</v>
      </c>
      <c r="E209" s="1" t="s">
        <v>6</v>
      </c>
      <c r="F209">
        <v>6</v>
      </c>
      <c r="H209" s="17" t="s">
        <v>142</v>
      </c>
      <c r="I209" s="18">
        <v>3</v>
      </c>
      <c r="J209" s="18">
        <v>3</v>
      </c>
      <c r="K209" s="18"/>
      <c r="L209" s="18">
        <v>3</v>
      </c>
      <c r="N209" s="19" t="s">
        <v>76</v>
      </c>
      <c r="O209" s="39">
        <v>3</v>
      </c>
      <c r="P209" s="39">
        <v>1</v>
      </c>
      <c r="Q209" s="39">
        <v>1</v>
      </c>
      <c r="R209" s="39">
        <v>3</v>
      </c>
      <c r="S209">
        <f>AVERAGE(O209:R209)</f>
        <v>2</v>
      </c>
    </row>
    <row r="210" spans="1:19" x14ac:dyDescent="0.2">
      <c r="A210" s="1">
        <v>1</v>
      </c>
      <c r="B210" s="1">
        <v>1</v>
      </c>
      <c r="C210" s="1" t="s">
        <v>39</v>
      </c>
      <c r="D210" s="1" t="s">
        <v>28</v>
      </c>
      <c r="E210" s="1" t="s">
        <v>6</v>
      </c>
      <c r="F210">
        <v>1</v>
      </c>
      <c r="H210" s="17" t="s">
        <v>50</v>
      </c>
      <c r="I210" s="18">
        <v>2</v>
      </c>
      <c r="J210" s="18">
        <v>2</v>
      </c>
      <c r="K210" s="18">
        <v>2</v>
      </c>
      <c r="L210" s="18">
        <v>2</v>
      </c>
      <c r="N210" s="19" t="s">
        <v>50</v>
      </c>
      <c r="O210" s="39">
        <v>2</v>
      </c>
      <c r="P210" s="39">
        <v>2</v>
      </c>
      <c r="Q210" s="39">
        <v>2</v>
      </c>
      <c r="R210" s="39">
        <v>2</v>
      </c>
      <c r="S210">
        <f>AVERAGE(O210:R210)</f>
        <v>2</v>
      </c>
    </row>
    <row r="211" spans="1:19" x14ac:dyDescent="0.2">
      <c r="A211" s="1">
        <v>1</v>
      </c>
      <c r="B211" s="1">
        <v>1</v>
      </c>
      <c r="C211" s="1" t="s">
        <v>46</v>
      </c>
      <c r="D211" s="1" t="s">
        <v>30</v>
      </c>
      <c r="E211" s="1" t="s">
        <v>6</v>
      </c>
      <c r="F211">
        <v>2</v>
      </c>
      <c r="H211" s="17" t="s">
        <v>117</v>
      </c>
      <c r="I211" s="18">
        <v>2</v>
      </c>
      <c r="J211" s="18">
        <v>2</v>
      </c>
      <c r="K211" s="18">
        <v>2</v>
      </c>
      <c r="L211" s="18">
        <v>2</v>
      </c>
      <c r="N211" s="19" t="s">
        <v>117</v>
      </c>
      <c r="O211" s="39">
        <v>2</v>
      </c>
      <c r="P211" s="39">
        <v>2</v>
      </c>
      <c r="Q211" s="39">
        <v>2</v>
      </c>
      <c r="R211" s="39">
        <v>2</v>
      </c>
      <c r="S211">
        <f>AVERAGE(O211:R211)</f>
        <v>2</v>
      </c>
    </row>
    <row r="212" spans="1:19" x14ac:dyDescent="0.2">
      <c r="A212" s="1">
        <v>1</v>
      </c>
      <c r="B212" s="1">
        <v>1</v>
      </c>
      <c r="C212" s="1" t="s">
        <v>61</v>
      </c>
      <c r="D212" s="1" t="s">
        <v>42</v>
      </c>
      <c r="E212" s="1" t="s">
        <v>6</v>
      </c>
      <c r="F212">
        <v>1</v>
      </c>
      <c r="H212" s="17" t="s">
        <v>88</v>
      </c>
      <c r="I212" s="18">
        <v>2</v>
      </c>
      <c r="J212" s="18">
        <v>2</v>
      </c>
      <c r="K212" s="18">
        <v>2</v>
      </c>
      <c r="L212" s="18">
        <v>2</v>
      </c>
      <c r="N212" s="19" t="s">
        <v>88</v>
      </c>
      <c r="O212" s="39">
        <v>2</v>
      </c>
      <c r="P212" s="39">
        <v>2</v>
      </c>
      <c r="Q212" s="39">
        <v>2</v>
      </c>
      <c r="R212" s="39">
        <v>2</v>
      </c>
      <c r="S212">
        <f>AVERAGE(O212:R212)</f>
        <v>2</v>
      </c>
    </row>
    <row r="213" spans="1:19" x14ac:dyDescent="0.2">
      <c r="A213" s="1">
        <v>1</v>
      </c>
      <c r="B213" s="1">
        <v>1</v>
      </c>
      <c r="C213" s="1" t="s">
        <v>61</v>
      </c>
      <c r="D213" s="1" t="s">
        <v>30</v>
      </c>
      <c r="E213" s="1" t="s">
        <v>6</v>
      </c>
      <c r="F213">
        <v>3</v>
      </c>
      <c r="H213" s="17" t="s">
        <v>96</v>
      </c>
      <c r="I213" s="18">
        <v>2</v>
      </c>
      <c r="J213" s="18">
        <v>2</v>
      </c>
      <c r="K213" s="18">
        <v>2</v>
      </c>
      <c r="L213" s="18">
        <v>2</v>
      </c>
      <c r="N213" s="19" t="s">
        <v>96</v>
      </c>
      <c r="O213" s="39">
        <v>2</v>
      </c>
      <c r="P213" s="39">
        <v>2</v>
      </c>
      <c r="Q213" s="39">
        <v>2</v>
      </c>
      <c r="R213" s="39">
        <v>2</v>
      </c>
      <c r="S213">
        <f>AVERAGE(O213:R213)</f>
        <v>2</v>
      </c>
    </row>
    <row r="214" spans="1:19" x14ac:dyDescent="0.2">
      <c r="A214" s="1">
        <v>1</v>
      </c>
      <c r="B214" s="1">
        <v>1</v>
      </c>
      <c r="C214" s="1" t="s">
        <v>67</v>
      </c>
      <c r="D214" s="1" t="s">
        <v>28</v>
      </c>
      <c r="E214" s="1" t="s">
        <v>6</v>
      </c>
      <c r="F214">
        <v>3</v>
      </c>
      <c r="H214" s="17" t="s">
        <v>34</v>
      </c>
      <c r="I214" s="18">
        <v>2</v>
      </c>
      <c r="J214" s="18">
        <v>2</v>
      </c>
      <c r="K214" s="18">
        <v>2</v>
      </c>
      <c r="L214" s="18">
        <v>2</v>
      </c>
      <c r="N214" s="19" t="s">
        <v>34</v>
      </c>
      <c r="O214" s="39">
        <v>2</v>
      </c>
      <c r="P214" s="39">
        <v>2</v>
      </c>
      <c r="Q214" s="39">
        <v>2</v>
      </c>
      <c r="R214" s="39">
        <v>2</v>
      </c>
      <c r="S214">
        <f>AVERAGE(O214:R214)</f>
        <v>2</v>
      </c>
    </row>
    <row r="215" spans="1:19" x14ac:dyDescent="0.2">
      <c r="A215" s="1">
        <v>1</v>
      </c>
      <c r="B215" s="1">
        <v>1</v>
      </c>
      <c r="C215" s="1" t="s">
        <v>79</v>
      </c>
      <c r="D215" s="1" t="s">
        <v>28</v>
      </c>
      <c r="E215" s="1" t="s">
        <v>6</v>
      </c>
      <c r="F215">
        <v>1</v>
      </c>
      <c r="H215" s="17" t="s">
        <v>33</v>
      </c>
      <c r="I215" s="18">
        <v>2</v>
      </c>
      <c r="J215" s="18">
        <v>2</v>
      </c>
      <c r="K215" s="18">
        <v>2</v>
      </c>
      <c r="L215" s="18">
        <v>2</v>
      </c>
      <c r="N215" s="19" t="s">
        <v>33</v>
      </c>
      <c r="O215" s="39">
        <v>2</v>
      </c>
      <c r="P215" s="39">
        <v>2</v>
      </c>
      <c r="Q215" s="39">
        <v>2</v>
      </c>
      <c r="R215" s="39">
        <v>2</v>
      </c>
      <c r="S215">
        <f>AVERAGE(O215:R215)</f>
        <v>2</v>
      </c>
    </row>
    <row r="216" spans="1:19" x14ac:dyDescent="0.2">
      <c r="A216" s="1">
        <v>1</v>
      </c>
      <c r="B216" s="1">
        <v>1</v>
      </c>
      <c r="C216" s="1" t="s">
        <v>84</v>
      </c>
      <c r="D216" s="1" t="s">
        <v>30</v>
      </c>
      <c r="E216" s="1" t="s">
        <v>6</v>
      </c>
      <c r="F216">
        <v>2</v>
      </c>
      <c r="H216" s="17" t="s">
        <v>76</v>
      </c>
      <c r="I216" s="18">
        <v>3</v>
      </c>
      <c r="J216" s="18">
        <v>1</v>
      </c>
      <c r="K216" s="18">
        <v>1</v>
      </c>
      <c r="L216" s="18">
        <v>3</v>
      </c>
      <c r="N216" s="19" t="s">
        <v>143</v>
      </c>
      <c r="O216" s="39">
        <v>2</v>
      </c>
      <c r="P216" s="39">
        <v>2</v>
      </c>
      <c r="Q216" s="39">
        <v>2</v>
      </c>
      <c r="R216" s="39">
        <v>2</v>
      </c>
      <c r="S216">
        <f>AVERAGE(O216:R216)</f>
        <v>2</v>
      </c>
    </row>
    <row r="217" spans="1:19" x14ac:dyDescent="0.2">
      <c r="A217" s="1">
        <v>1</v>
      </c>
      <c r="B217" s="1">
        <v>1</v>
      </c>
      <c r="C217" s="1" t="s">
        <v>90</v>
      </c>
      <c r="D217" s="1" t="s">
        <v>28</v>
      </c>
      <c r="E217" s="1" t="s">
        <v>6</v>
      </c>
      <c r="F217">
        <v>1</v>
      </c>
      <c r="H217" s="17" t="s">
        <v>143</v>
      </c>
      <c r="I217" s="18">
        <v>2</v>
      </c>
      <c r="J217" s="18">
        <v>2</v>
      </c>
      <c r="K217" s="18">
        <v>2</v>
      </c>
      <c r="L217" s="18">
        <v>2</v>
      </c>
      <c r="N217" s="19" t="s">
        <v>158</v>
      </c>
      <c r="O217" s="39">
        <v>2</v>
      </c>
      <c r="P217" s="39">
        <v>2</v>
      </c>
      <c r="Q217" s="39">
        <v>2</v>
      </c>
      <c r="R217" s="39">
        <v>2</v>
      </c>
      <c r="S217">
        <f>AVERAGE(O217:R217)</f>
        <v>2</v>
      </c>
    </row>
    <row r="218" spans="1:19" x14ac:dyDescent="0.2">
      <c r="A218" s="1">
        <v>1</v>
      </c>
      <c r="B218" s="1">
        <v>1</v>
      </c>
      <c r="C218" s="1" t="s">
        <v>105</v>
      </c>
      <c r="D218" s="1" t="s">
        <v>30</v>
      </c>
      <c r="E218" s="1" t="s">
        <v>6</v>
      </c>
      <c r="F218">
        <v>1</v>
      </c>
      <c r="H218" s="17" t="s">
        <v>208</v>
      </c>
      <c r="I218" s="18"/>
      <c r="J218" s="18">
        <v>4</v>
      </c>
      <c r="K218" s="18"/>
      <c r="L218" s="18">
        <v>4</v>
      </c>
      <c r="N218" s="19" t="s">
        <v>59</v>
      </c>
      <c r="O218" s="39">
        <v>2</v>
      </c>
      <c r="P218" s="39">
        <v>2</v>
      </c>
      <c r="Q218" s="39">
        <v>2</v>
      </c>
      <c r="R218" s="39">
        <v>2</v>
      </c>
      <c r="S218">
        <f>AVERAGE(O218:R218)</f>
        <v>2</v>
      </c>
    </row>
    <row r="219" spans="1:19" x14ac:dyDescent="0.2">
      <c r="A219" s="1">
        <v>1</v>
      </c>
      <c r="B219" s="1">
        <v>1</v>
      </c>
      <c r="C219" s="1" t="s">
        <v>169</v>
      </c>
      <c r="D219" s="1" t="s">
        <v>42</v>
      </c>
      <c r="E219" s="1" t="s">
        <v>6</v>
      </c>
      <c r="F219">
        <v>1</v>
      </c>
      <c r="H219" s="17" t="s">
        <v>158</v>
      </c>
      <c r="I219" s="18">
        <v>2</v>
      </c>
      <c r="J219" s="18">
        <v>2</v>
      </c>
      <c r="K219" s="18">
        <v>2</v>
      </c>
      <c r="L219" s="18">
        <v>2</v>
      </c>
      <c r="N219" s="19" t="s">
        <v>27</v>
      </c>
      <c r="O219" s="39">
        <v>2</v>
      </c>
      <c r="P219" s="39">
        <v>2</v>
      </c>
      <c r="Q219" s="39">
        <v>2</v>
      </c>
      <c r="R219" s="39">
        <v>2</v>
      </c>
      <c r="S219">
        <f>AVERAGE(O219:R219)</f>
        <v>2</v>
      </c>
    </row>
    <row r="220" spans="1:19" x14ac:dyDescent="0.2">
      <c r="A220" s="1">
        <v>1</v>
      </c>
      <c r="B220" s="1">
        <v>1</v>
      </c>
      <c r="C220" s="1" t="s">
        <v>128</v>
      </c>
      <c r="D220" s="1" t="s">
        <v>40</v>
      </c>
      <c r="E220" s="1" t="s">
        <v>6</v>
      </c>
      <c r="F220">
        <v>10</v>
      </c>
      <c r="H220" s="17" t="s">
        <v>59</v>
      </c>
      <c r="I220" s="18">
        <v>2</v>
      </c>
      <c r="J220" s="18">
        <v>2</v>
      </c>
      <c r="K220" s="18">
        <v>2</v>
      </c>
      <c r="L220" s="18">
        <v>2</v>
      </c>
      <c r="N220" s="19" t="s">
        <v>99</v>
      </c>
      <c r="O220" s="39">
        <v>2</v>
      </c>
      <c r="P220" s="39">
        <v>2</v>
      </c>
      <c r="Q220" s="39">
        <v>2</v>
      </c>
      <c r="R220" s="39">
        <v>2</v>
      </c>
      <c r="S220">
        <f>AVERAGE(O220:R220)</f>
        <v>2</v>
      </c>
    </row>
    <row r="221" spans="1:19" x14ac:dyDescent="0.2">
      <c r="A221" s="1">
        <v>1</v>
      </c>
      <c r="B221" s="1">
        <v>1</v>
      </c>
      <c r="C221" s="1" t="s">
        <v>128</v>
      </c>
      <c r="D221" s="1" t="s">
        <v>41</v>
      </c>
      <c r="E221" s="1" t="s">
        <v>6</v>
      </c>
      <c r="F221">
        <v>10</v>
      </c>
      <c r="H221" s="17" t="s">
        <v>27</v>
      </c>
      <c r="I221" s="18">
        <v>2</v>
      </c>
      <c r="J221" s="18">
        <v>2</v>
      </c>
      <c r="K221" s="18">
        <v>2</v>
      </c>
      <c r="L221" s="18">
        <v>2</v>
      </c>
      <c r="N221" s="19" t="s">
        <v>47</v>
      </c>
      <c r="O221" s="39">
        <v>2</v>
      </c>
      <c r="P221" s="39">
        <v>2</v>
      </c>
      <c r="Q221" s="39">
        <v>2</v>
      </c>
      <c r="R221" s="39">
        <v>2</v>
      </c>
      <c r="S221">
        <f>AVERAGE(O221:R221)</f>
        <v>2</v>
      </c>
    </row>
    <row r="222" spans="1:19" x14ac:dyDescent="0.2">
      <c r="A222" s="1">
        <v>1</v>
      </c>
      <c r="B222" s="1">
        <v>1</v>
      </c>
      <c r="C222" s="1" t="s">
        <v>128</v>
      </c>
      <c r="D222" s="1" t="s">
        <v>30</v>
      </c>
      <c r="E222" s="1" t="s">
        <v>6</v>
      </c>
      <c r="F222">
        <v>1</v>
      </c>
      <c r="H222" s="17" t="s">
        <v>99</v>
      </c>
      <c r="I222" s="18">
        <v>2</v>
      </c>
      <c r="J222" s="18">
        <v>2</v>
      </c>
      <c r="K222" s="18">
        <v>2</v>
      </c>
      <c r="L222" s="18">
        <v>2</v>
      </c>
      <c r="N222" s="19" t="s">
        <v>100</v>
      </c>
      <c r="O222" s="39">
        <v>2</v>
      </c>
      <c r="P222" s="39">
        <v>2</v>
      </c>
      <c r="Q222" s="39">
        <v>2</v>
      </c>
      <c r="R222" s="39">
        <v>2</v>
      </c>
      <c r="S222">
        <f>AVERAGE(O222:R222)</f>
        <v>2</v>
      </c>
    </row>
    <row r="223" spans="1:19" x14ac:dyDescent="0.2">
      <c r="A223" s="1">
        <v>1</v>
      </c>
      <c r="B223" s="1">
        <v>1</v>
      </c>
      <c r="C223" s="1" t="s">
        <v>128</v>
      </c>
      <c r="D223" s="1" t="s">
        <v>28</v>
      </c>
      <c r="E223" s="1" t="s">
        <v>6</v>
      </c>
      <c r="F223">
        <v>1</v>
      </c>
      <c r="H223" s="17" t="s">
        <v>47</v>
      </c>
      <c r="I223" s="18">
        <v>2</v>
      </c>
      <c r="J223" s="18">
        <v>2</v>
      </c>
      <c r="K223" s="18">
        <v>2</v>
      </c>
      <c r="L223" s="18">
        <v>2</v>
      </c>
      <c r="N223" s="19" t="s">
        <v>4</v>
      </c>
      <c r="O223" s="39">
        <v>1</v>
      </c>
      <c r="P223" s="39">
        <v>1</v>
      </c>
      <c r="Q223" s="39">
        <v>3</v>
      </c>
      <c r="R223" s="39">
        <v>3</v>
      </c>
      <c r="S223">
        <f>AVERAGE(O223:R223)</f>
        <v>2</v>
      </c>
    </row>
    <row r="224" spans="1:19" x14ac:dyDescent="0.2">
      <c r="A224" s="1">
        <v>1</v>
      </c>
      <c r="B224" s="1">
        <v>1</v>
      </c>
      <c r="C224" s="1" t="s">
        <v>170</v>
      </c>
      <c r="D224" s="1" t="s">
        <v>28</v>
      </c>
      <c r="E224" s="1" t="s">
        <v>6</v>
      </c>
      <c r="F224">
        <v>1</v>
      </c>
      <c r="H224" s="17" t="s">
        <v>4</v>
      </c>
      <c r="I224" s="18">
        <v>1</v>
      </c>
      <c r="J224" s="18">
        <v>1</v>
      </c>
      <c r="K224" s="18">
        <v>3</v>
      </c>
      <c r="L224" s="18">
        <v>3</v>
      </c>
      <c r="N224" s="19" t="s">
        <v>36</v>
      </c>
      <c r="O224" s="39">
        <v>1</v>
      </c>
      <c r="P224" s="39">
        <v>4</v>
      </c>
      <c r="Q224" s="39">
        <v>1</v>
      </c>
      <c r="R224" s="39">
        <v>2</v>
      </c>
      <c r="S224">
        <f>AVERAGE(O224:R224)</f>
        <v>2</v>
      </c>
    </row>
    <row r="225" spans="1:19" x14ac:dyDescent="0.2">
      <c r="A225" s="1">
        <v>1</v>
      </c>
      <c r="B225" s="1">
        <v>1</v>
      </c>
      <c r="C225" s="1" t="s">
        <v>170</v>
      </c>
      <c r="D225" s="1" t="s">
        <v>5</v>
      </c>
      <c r="E225" s="1" t="s">
        <v>6</v>
      </c>
      <c r="F225">
        <v>2</v>
      </c>
      <c r="H225" s="17" t="s">
        <v>36</v>
      </c>
      <c r="I225" s="18">
        <v>1</v>
      </c>
      <c r="J225" s="18">
        <v>4</v>
      </c>
      <c r="K225" s="18">
        <v>1</v>
      </c>
      <c r="L225" s="18">
        <v>2</v>
      </c>
      <c r="N225" s="19" t="s">
        <v>208</v>
      </c>
      <c r="O225" s="39">
        <v>0</v>
      </c>
      <c r="P225" s="39">
        <v>4</v>
      </c>
      <c r="Q225" s="39">
        <v>0</v>
      </c>
      <c r="R225" s="39">
        <v>4</v>
      </c>
      <c r="S225">
        <f>AVERAGE(O225:R225)</f>
        <v>2</v>
      </c>
    </row>
    <row r="226" spans="1:19" x14ac:dyDescent="0.2">
      <c r="A226" s="1">
        <v>1</v>
      </c>
      <c r="B226" s="1">
        <v>2</v>
      </c>
      <c r="C226" s="1" t="s">
        <v>156</v>
      </c>
      <c r="D226" s="1" t="s">
        <v>42</v>
      </c>
      <c r="E226" s="1" t="s">
        <v>6</v>
      </c>
      <c r="F226">
        <v>3</v>
      </c>
      <c r="H226" s="17" t="s">
        <v>216</v>
      </c>
      <c r="I226" s="18"/>
      <c r="J226" s="18">
        <v>3</v>
      </c>
      <c r="K226" s="18">
        <v>2</v>
      </c>
      <c r="L226" s="18">
        <v>3</v>
      </c>
      <c r="N226" s="19" t="s">
        <v>216</v>
      </c>
      <c r="O226" s="39">
        <v>0</v>
      </c>
      <c r="P226" s="39">
        <v>3</v>
      </c>
      <c r="Q226" s="39">
        <v>2</v>
      </c>
      <c r="R226" s="39">
        <v>3</v>
      </c>
      <c r="S226">
        <f>AVERAGE(O226:R226)</f>
        <v>2</v>
      </c>
    </row>
    <row r="227" spans="1:19" x14ac:dyDescent="0.2">
      <c r="A227" s="1">
        <v>1</v>
      </c>
      <c r="B227" s="1">
        <v>2</v>
      </c>
      <c r="C227" s="1" t="s">
        <v>33</v>
      </c>
      <c r="D227" s="1" t="s">
        <v>42</v>
      </c>
      <c r="E227" s="1" t="s">
        <v>6</v>
      </c>
      <c r="F227">
        <v>1</v>
      </c>
      <c r="H227" s="17" t="s">
        <v>100</v>
      </c>
      <c r="I227" s="18">
        <v>2</v>
      </c>
      <c r="J227" s="18">
        <v>2</v>
      </c>
      <c r="K227" s="18">
        <v>2</v>
      </c>
      <c r="L227" s="18">
        <v>2</v>
      </c>
      <c r="N227" s="19" t="s">
        <v>51</v>
      </c>
      <c r="O227" s="39">
        <v>5</v>
      </c>
      <c r="P227" s="39">
        <v>1</v>
      </c>
      <c r="Q227" s="39">
        <v>0</v>
      </c>
      <c r="R227" s="39">
        <v>1</v>
      </c>
      <c r="S227">
        <f>AVERAGE(O227:R227)</f>
        <v>1.75</v>
      </c>
    </row>
    <row r="228" spans="1:19" x14ac:dyDescent="0.2">
      <c r="A228" s="1">
        <v>1</v>
      </c>
      <c r="B228" s="1">
        <v>2</v>
      </c>
      <c r="C228" s="1" t="s">
        <v>39</v>
      </c>
      <c r="D228" s="1" t="s">
        <v>42</v>
      </c>
      <c r="E228" s="1" t="s">
        <v>6</v>
      </c>
      <c r="F228">
        <v>1</v>
      </c>
      <c r="H228" s="17" t="s">
        <v>130</v>
      </c>
      <c r="I228" s="18">
        <v>2</v>
      </c>
      <c r="J228" s="18">
        <v>2</v>
      </c>
      <c r="K228" s="18">
        <v>2</v>
      </c>
      <c r="L228" s="18">
        <v>1</v>
      </c>
      <c r="N228" s="19" t="s">
        <v>29</v>
      </c>
      <c r="O228" s="39">
        <v>4</v>
      </c>
      <c r="P228" s="39">
        <v>1</v>
      </c>
      <c r="Q228" s="39">
        <v>1</v>
      </c>
      <c r="R228" s="39">
        <v>1</v>
      </c>
      <c r="S228">
        <f>AVERAGE(O228:R228)</f>
        <v>1.75</v>
      </c>
    </row>
    <row r="229" spans="1:19" x14ac:dyDescent="0.2">
      <c r="A229" s="1">
        <v>1</v>
      </c>
      <c r="B229" s="1">
        <v>2</v>
      </c>
      <c r="C229" s="1" t="s">
        <v>39</v>
      </c>
      <c r="D229" s="1" t="s">
        <v>30</v>
      </c>
      <c r="E229" s="1" t="s">
        <v>6</v>
      </c>
      <c r="F229">
        <v>1</v>
      </c>
      <c r="H229" s="17" t="s">
        <v>236</v>
      </c>
      <c r="I229" s="18"/>
      <c r="J229" s="18"/>
      <c r="K229" s="18">
        <v>7</v>
      </c>
      <c r="L229" s="18"/>
      <c r="N229" s="19" t="s">
        <v>74</v>
      </c>
      <c r="O229" s="39">
        <v>4</v>
      </c>
      <c r="P229" s="39">
        <v>1</v>
      </c>
      <c r="Q229" s="39">
        <v>1</v>
      </c>
      <c r="R229" s="39">
        <v>1</v>
      </c>
      <c r="S229">
        <f>AVERAGE(O229:R229)</f>
        <v>1.75</v>
      </c>
    </row>
    <row r="230" spans="1:19" x14ac:dyDescent="0.2">
      <c r="A230" s="1">
        <v>1</v>
      </c>
      <c r="B230" s="1">
        <v>2</v>
      </c>
      <c r="C230" s="1" t="s">
        <v>46</v>
      </c>
      <c r="D230" s="1" t="s">
        <v>30</v>
      </c>
      <c r="E230" s="1" t="s">
        <v>6</v>
      </c>
      <c r="F230">
        <v>1</v>
      </c>
      <c r="H230" s="17" t="s">
        <v>48</v>
      </c>
      <c r="I230" s="18">
        <v>2</v>
      </c>
      <c r="J230" s="18">
        <v>1</v>
      </c>
      <c r="K230" s="18">
        <v>2</v>
      </c>
      <c r="L230" s="18">
        <v>2</v>
      </c>
      <c r="N230" s="19" t="s">
        <v>58</v>
      </c>
      <c r="O230" s="39">
        <v>3</v>
      </c>
      <c r="P230" s="39">
        <v>3</v>
      </c>
      <c r="Q230" s="39">
        <v>0</v>
      </c>
      <c r="R230" s="39">
        <v>1</v>
      </c>
      <c r="S230">
        <f>AVERAGE(O230:R230)</f>
        <v>1.75</v>
      </c>
    </row>
    <row r="231" spans="1:19" x14ac:dyDescent="0.2">
      <c r="A231" s="1">
        <v>1</v>
      </c>
      <c r="B231" s="1">
        <v>2</v>
      </c>
      <c r="C231" s="1" t="s">
        <v>61</v>
      </c>
      <c r="D231" s="1" t="s">
        <v>30</v>
      </c>
      <c r="E231" s="1" t="s">
        <v>6</v>
      </c>
      <c r="F231">
        <v>3</v>
      </c>
      <c r="H231" s="17" t="s">
        <v>126</v>
      </c>
      <c r="I231" s="18">
        <v>2</v>
      </c>
      <c r="J231" s="18">
        <v>2</v>
      </c>
      <c r="K231" s="18">
        <v>2</v>
      </c>
      <c r="L231" s="18">
        <v>1</v>
      </c>
      <c r="N231" s="19" t="s">
        <v>115</v>
      </c>
      <c r="O231" s="39">
        <v>3</v>
      </c>
      <c r="P231" s="39">
        <v>1</v>
      </c>
      <c r="Q231" s="39">
        <v>3</v>
      </c>
      <c r="R231" s="39">
        <v>0</v>
      </c>
      <c r="S231">
        <f>AVERAGE(O231:R231)</f>
        <v>1.75</v>
      </c>
    </row>
    <row r="232" spans="1:19" x14ac:dyDescent="0.2">
      <c r="A232" s="1">
        <v>1</v>
      </c>
      <c r="B232" s="1">
        <v>2</v>
      </c>
      <c r="C232" s="1" t="s">
        <v>67</v>
      </c>
      <c r="D232" s="1" t="s">
        <v>28</v>
      </c>
      <c r="E232" s="1" t="s">
        <v>6</v>
      </c>
      <c r="F232">
        <v>1</v>
      </c>
      <c r="H232" s="17" t="s">
        <v>164</v>
      </c>
      <c r="I232" s="18">
        <v>2</v>
      </c>
      <c r="J232" s="18"/>
      <c r="K232" s="18">
        <v>2</v>
      </c>
      <c r="L232" s="18">
        <v>3</v>
      </c>
      <c r="N232" s="19" t="s">
        <v>130</v>
      </c>
      <c r="O232" s="39">
        <v>2</v>
      </c>
      <c r="P232" s="39">
        <v>2</v>
      </c>
      <c r="Q232" s="39">
        <v>2</v>
      </c>
      <c r="R232" s="39">
        <v>1</v>
      </c>
      <c r="S232">
        <f>AVERAGE(O232:R232)</f>
        <v>1.75</v>
      </c>
    </row>
    <row r="233" spans="1:19" x14ac:dyDescent="0.2">
      <c r="A233" s="1">
        <v>1</v>
      </c>
      <c r="B233" s="1">
        <v>2</v>
      </c>
      <c r="C233" s="1" t="s">
        <v>90</v>
      </c>
      <c r="D233" s="1" t="s">
        <v>28</v>
      </c>
      <c r="E233" s="1" t="s">
        <v>6</v>
      </c>
      <c r="F233">
        <v>1</v>
      </c>
      <c r="H233" s="17" t="s">
        <v>165</v>
      </c>
      <c r="I233" s="18">
        <v>1</v>
      </c>
      <c r="J233" s="18">
        <v>4</v>
      </c>
      <c r="K233" s="18">
        <v>1</v>
      </c>
      <c r="L233" s="18">
        <v>1</v>
      </c>
      <c r="N233" s="19" t="s">
        <v>48</v>
      </c>
      <c r="O233" s="39">
        <v>2</v>
      </c>
      <c r="P233" s="39">
        <v>1</v>
      </c>
      <c r="Q233" s="39">
        <v>2</v>
      </c>
      <c r="R233" s="39">
        <v>2</v>
      </c>
      <c r="S233">
        <f>AVERAGE(O233:R233)</f>
        <v>1.75</v>
      </c>
    </row>
    <row r="234" spans="1:19" x14ac:dyDescent="0.2">
      <c r="A234" s="1">
        <v>1</v>
      </c>
      <c r="B234" s="1">
        <v>2</v>
      </c>
      <c r="C234" s="1" t="s">
        <v>105</v>
      </c>
      <c r="D234" s="1" t="s">
        <v>30</v>
      </c>
      <c r="E234" s="1" t="s">
        <v>6</v>
      </c>
      <c r="F234">
        <v>1</v>
      </c>
      <c r="H234" s="17" t="s">
        <v>32</v>
      </c>
      <c r="I234" s="18">
        <v>2</v>
      </c>
      <c r="J234" s="18">
        <v>2</v>
      </c>
      <c r="K234" s="18">
        <v>1</v>
      </c>
      <c r="L234" s="18">
        <v>2</v>
      </c>
      <c r="N234" s="19" t="s">
        <v>126</v>
      </c>
      <c r="O234" s="39">
        <v>2</v>
      </c>
      <c r="P234" s="39">
        <v>2</v>
      </c>
      <c r="Q234" s="39">
        <v>2</v>
      </c>
      <c r="R234" s="39">
        <v>1</v>
      </c>
      <c r="S234">
        <f>AVERAGE(O234:R234)</f>
        <v>1.75</v>
      </c>
    </row>
    <row r="235" spans="1:19" x14ac:dyDescent="0.2">
      <c r="A235" s="1">
        <v>1</v>
      </c>
      <c r="B235" s="1">
        <v>2</v>
      </c>
      <c r="C235" s="1" t="s">
        <v>128</v>
      </c>
      <c r="D235" s="1" t="s">
        <v>40</v>
      </c>
      <c r="E235" s="1" t="s">
        <v>6</v>
      </c>
      <c r="F235">
        <v>4</v>
      </c>
      <c r="H235" s="17" t="s">
        <v>29</v>
      </c>
      <c r="I235" s="18">
        <v>4</v>
      </c>
      <c r="J235" s="18">
        <v>1</v>
      </c>
      <c r="K235" s="18">
        <v>1</v>
      </c>
      <c r="L235" s="18">
        <v>1</v>
      </c>
      <c r="N235" s="19" t="s">
        <v>164</v>
      </c>
      <c r="O235" s="39">
        <v>2</v>
      </c>
      <c r="P235" s="39">
        <v>0</v>
      </c>
      <c r="Q235" s="39">
        <v>2</v>
      </c>
      <c r="R235" s="39">
        <v>3</v>
      </c>
      <c r="S235">
        <f>AVERAGE(O235:R235)</f>
        <v>1.75</v>
      </c>
    </row>
    <row r="236" spans="1:19" x14ac:dyDescent="0.2">
      <c r="A236" s="1">
        <v>1</v>
      </c>
      <c r="B236" s="1">
        <v>2</v>
      </c>
      <c r="C236" s="1" t="s">
        <v>128</v>
      </c>
      <c r="D236" s="1" t="s">
        <v>41</v>
      </c>
      <c r="E236" s="1" t="s">
        <v>6</v>
      </c>
      <c r="F236">
        <v>4</v>
      </c>
      <c r="H236" s="17" t="s">
        <v>107</v>
      </c>
      <c r="I236" s="18">
        <v>1</v>
      </c>
      <c r="J236" s="18">
        <v>1</v>
      </c>
      <c r="K236" s="18">
        <v>1</v>
      </c>
      <c r="L236" s="18">
        <v>4</v>
      </c>
      <c r="N236" s="19" t="s">
        <v>32</v>
      </c>
      <c r="O236" s="39">
        <v>2</v>
      </c>
      <c r="P236" s="39">
        <v>2</v>
      </c>
      <c r="Q236" s="39">
        <v>1</v>
      </c>
      <c r="R236" s="39">
        <v>2</v>
      </c>
      <c r="S236">
        <f>AVERAGE(O236:R236)</f>
        <v>1.75</v>
      </c>
    </row>
    <row r="237" spans="1:19" x14ac:dyDescent="0.2">
      <c r="A237" s="1">
        <v>1</v>
      </c>
      <c r="B237" s="1">
        <v>2</v>
      </c>
      <c r="C237" s="1" t="s">
        <v>170</v>
      </c>
      <c r="D237" s="1" t="s">
        <v>28</v>
      </c>
      <c r="E237" s="1" t="s">
        <v>6</v>
      </c>
      <c r="F237">
        <v>1</v>
      </c>
      <c r="H237" s="17" t="s">
        <v>58</v>
      </c>
      <c r="I237" s="18">
        <v>3</v>
      </c>
      <c r="J237" s="18">
        <v>3</v>
      </c>
      <c r="K237" s="18"/>
      <c r="L237" s="18">
        <v>1</v>
      </c>
      <c r="N237" s="19" t="s">
        <v>44</v>
      </c>
      <c r="O237" s="39">
        <v>2</v>
      </c>
      <c r="P237" s="39">
        <v>2</v>
      </c>
      <c r="Q237" s="39">
        <v>2</v>
      </c>
      <c r="R237" s="39">
        <v>1</v>
      </c>
      <c r="S237">
        <f>AVERAGE(O237:R237)</f>
        <v>1.75</v>
      </c>
    </row>
    <row r="238" spans="1:19" x14ac:dyDescent="0.2">
      <c r="A238" s="1">
        <v>1</v>
      </c>
      <c r="B238" s="1">
        <v>3</v>
      </c>
      <c r="C238" s="1" t="s">
        <v>46</v>
      </c>
      <c r="D238" s="1" t="s">
        <v>30</v>
      </c>
      <c r="E238" s="1" t="s">
        <v>6</v>
      </c>
      <c r="F238">
        <v>3</v>
      </c>
      <c r="H238" s="17" t="s">
        <v>51</v>
      </c>
      <c r="I238" s="18">
        <v>5</v>
      </c>
      <c r="J238" s="18">
        <v>1</v>
      </c>
      <c r="K238" s="18"/>
      <c r="L238" s="18">
        <v>1</v>
      </c>
      <c r="N238" s="19" t="s">
        <v>165</v>
      </c>
      <c r="O238" s="39">
        <v>1</v>
      </c>
      <c r="P238" s="39">
        <v>4</v>
      </c>
      <c r="Q238" s="39">
        <v>1</v>
      </c>
      <c r="R238" s="39">
        <v>1</v>
      </c>
      <c r="S238">
        <f>AVERAGE(O238:R238)</f>
        <v>1.75</v>
      </c>
    </row>
    <row r="239" spans="1:19" x14ac:dyDescent="0.2">
      <c r="A239" s="1">
        <v>1</v>
      </c>
      <c r="B239" s="1">
        <v>3</v>
      </c>
      <c r="C239" s="1" t="s">
        <v>61</v>
      </c>
      <c r="D239" s="1" t="s">
        <v>42</v>
      </c>
      <c r="E239" s="1" t="s">
        <v>6</v>
      </c>
      <c r="F239">
        <v>1</v>
      </c>
      <c r="H239" s="17" t="s">
        <v>74</v>
      </c>
      <c r="I239" s="18">
        <v>4</v>
      </c>
      <c r="J239" s="18">
        <v>1</v>
      </c>
      <c r="K239" s="18">
        <v>1</v>
      </c>
      <c r="L239" s="18">
        <v>1</v>
      </c>
      <c r="N239" s="19" t="s">
        <v>107</v>
      </c>
      <c r="O239" s="39">
        <v>1</v>
      </c>
      <c r="P239" s="39">
        <v>1</v>
      </c>
      <c r="Q239" s="39">
        <v>1</v>
      </c>
      <c r="R239" s="39">
        <v>4</v>
      </c>
      <c r="S239">
        <f>AVERAGE(O239:R239)</f>
        <v>1.75</v>
      </c>
    </row>
    <row r="240" spans="1:19" x14ac:dyDescent="0.2">
      <c r="A240" s="1">
        <v>1</v>
      </c>
      <c r="B240" s="1">
        <v>3</v>
      </c>
      <c r="C240" s="1" t="s">
        <v>90</v>
      </c>
      <c r="D240" s="1" t="s">
        <v>28</v>
      </c>
      <c r="E240" s="1" t="s">
        <v>6</v>
      </c>
      <c r="F240">
        <v>1</v>
      </c>
      <c r="H240" s="17" t="s">
        <v>44</v>
      </c>
      <c r="I240" s="18">
        <v>2</v>
      </c>
      <c r="J240" s="18">
        <v>2</v>
      </c>
      <c r="K240" s="18">
        <v>2</v>
      </c>
      <c r="L240" s="18">
        <v>1</v>
      </c>
      <c r="N240" s="19" t="s">
        <v>236</v>
      </c>
      <c r="O240" s="39">
        <v>0</v>
      </c>
      <c r="P240" s="39">
        <v>0</v>
      </c>
      <c r="Q240" s="39">
        <v>7</v>
      </c>
      <c r="R240" s="39">
        <v>0</v>
      </c>
      <c r="S240">
        <f>AVERAGE(O240:R240)</f>
        <v>1.75</v>
      </c>
    </row>
    <row r="241" spans="1:19" x14ac:dyDescent="0.2">
      <c r="A241" s="1">
        <v>1</v>
      </c>
      <c r="B241" s="1">
        <v>3</v>
      </c>
      <c r="C241" s="1" t="s">
        <v>105</v>
      </c>
      <c r="D241" s="1" t="s">
        <v>30</v>
      </c>
      <c r="E241" s="1" t="s">
        <v>6</v>
      </c>
      <c r="F241">
        <v>1</v>
      </c>
      <c r="H241" s="17" t="s">
        <v>115</v>
      </c>
      <c r="I241" s="18">
        <v>3</v>
      </c>
      <c r="J241" s="18">
        <v>1</v>
      </c>
      <c r="K241" s="18">
        <v>3</v>
      </c>
      <c r="L241" s="18"/>
      <c r="N241" s="19" t="s">
        <v>46</v>
      </c>
      <c r="O241" s="39">
        <v>3</v>
      </c>
      <c r="P241" s="39">
        <v>1</v>
      </c>
      <c r="Q241" s="39">
        <v>1</v>
      </c>
      <c r="R241" s="39">
        <v>1</v>
      </c>
      <c r="S241">
        <f>AVERAGE(O241:R241)</f>
        <v>1.5</v>
      </c>
    </row>
    <row r="242" spans="1:19" x14ac:dyDescent="0.2">
      <c r="A242" s="1">
        <v>1</v>
      </c>
      <c r="B242" s="1">
        <v>3</v>
      </c>
      <c r="C242" s="1" t="s">
        <v>128</v>
      </c>
      <c r="D242" s="1" t="s">
        <v>40</v>
      </c>
      <c r="E242" s="1" t="s">
        <v>6</v>
      </c>
      <c r="F242">
        <v>4</v>
      </c>
      <c r="H242" s="17" t="s">
        <v>20</v>
      </c>
      <c r="I242" s="18">
        <v>1</v>
      </c>
      <c r="J242" s="18">
        <v>1</v>
      </c>
      <c r="K242" s="18">
        <v>1</v>
      </c>
      <c r="L242" s="18">
        <v>3</v>
      </c>
      <c r="N242" s="19" t="s">
        <v>18</v>
      </c>
      <c r="O242" s="39">
        <v>3</v>
      </c>
      <c r="P242" s="39">
        <v>0</v>
      </c>
      <c r="Q242" s="39">
        <v>2</v>
      </c>
      <c r="R242" s="39">
        <v>1</v>
      </c>
      <c r="S242">
        <f>AVERAGE(O242:R242)</f>
        <v>1.5</v>
      </c>
    </row>
    <row r="243" spans="1:19" x14ac:dyDescent="0.2">
      <c r="A243" s="1">
        <v>1</v>
      </c>
      <c r="B243" s="1">
        <v>3</v>
      </c>
      <c r="C243" s="1" t="s">
        <v>128</v>
      </c>
      <c r="D243" s="1" t="s">
        <v>41</v>
      </c>
      <c r="E243" s="1" t="s">
        <v>6</v>
      </c>
      <c r="F243">
        <v>4</v>
      </c>
      <c r="H243" s="17" t="s">
        <v>81</v>
      </c>
      <c r="I243" s="18">
        <v>2</v>
      </c>
      <c r="J243" s="18">
        <v>2</v>
      </c>
      <c r="K243" s="18">
        <v>2</v>
      </c>
      <c r="L243" s="18"/>
      <c r="N243" s="19" t="s">
        <v>81</v>
      </c>
      <c r="O243" s="39">
        <v>2</v>
      </c>
      <c r="P243" s="39">
        <v>2</v>
      </c>
      <c r="Q243" s="39">
        <v>2</v>
      </c>
      <c r="R243" s="39">
        <v>0</v>
      </c>
      <c r="S243">
        <f>AVERAGE(O243:R243)</f>
        <v>1.5</v>
      </c>
    </row>
    <row r="244" spans="1:19" x14ac:dyDescent="0.2">
      <c r="A244" s="1">
        <v>1</v>
      </c>
      <c r="B244" s="1">
        <v>3</v>
      </c>
      <c r="C244" s="1" t="s">
        <v>170</v>
      </c>
      <c r="D244" s="1" t="s">
        <v>28</v>
      </c>
      <c r="E244" s="1" t="s">
        <v>6</v>
      </c>
      <c r="F244">
        <v>1</v>
      </c>
      <c r="H244" s="17" t="s">
        <v>138</v>
      </c>
      <c r="I244" s="18">
        <v>2</v>
      </c>
      <c r="J244" s="18">
        <v>2</v>
      </c>
      <c r="K244" s="18"/>
      <c r="L244" s="18">
        <v>2</v>
      </c>
      <c r="N244" s="19" t="s">
        <v>138</v>
      </c>
      <c r="O244" s="39">
        <v>2</v>
      </c>
      <c r="P244" s="39">
        <v>2</v>
      </c>
      <c r="Q244" s="39">
        <v>0</v>
      </c>
      <c r="R244" s="39">
        <v>2</v>
      </c>
      <c r="S244">
        <f>AVERAGE(O244:R244)</f>
        <v>1.5</v>
      </c>
    </row>
    <row r="245" spans="1:19" x14ac:dyDescent="0.2">
      <c r="A245" s="1">
        <v>1</v>
      </c>
      <c r="B245" s="1">
        <v>4</v>
      </c>
      <c r="C245" s="1" t="s">
        <v>46</v>
      </c>
      <c r="D245" s="1" t="s">
        <v>30</v>
      </c>
      <c r="E245" s="1" t="s">
        <v>6</v>
      </c>
      <c r="F245">
        <v>1</v>
      </c>
      <c r="H245" s="17" t="s">
        <v>122</v>
      </c>
      <c r="I245" s="18">
        <v>1</v>
      </c>
      <c r="J245" s="18">
        <v>4</v>
      </c>
      <c r="K245" s="18">
        <v>1</v>
      </c>
      <c r="L245" s="18"/>
      <c r="N245" s="19" t="s">
        <v>56</v>
      </c>
      <c r="O245" s="39">
        <v>2</v>
      </c>
      <c r="P245" s="39">
        <v>0</v>
      </c>
      <c r="Q245" s="39">
        <v>2</v>
      </c>
      <c r="R245" s="39">
        <v>2</v>
      </c>
      <c r="S245">
        <f>AVERAGE(O245:R245)</f>
        <v>1.5</v>
      </c>
    </row>
    <row r="246" spans="1:19" x14ac:dyDescent="0.2">
      <c r="A246" s="1">
        <v>1</v>
      </c>
      <c r="B246" s="1">
        <v>4</v>
      </c>
      <c r="C246" s="1" t="s">
        <v>90</v>
      </c>
      <c r="D246" s="1" t="s">
        <v>28</v>
      </c>
      <c r="E246" s="1" t="s">
        <v>6</v>
      </c>
      <c r="F246">
        <v>1</v>
      </c>
      <c r="H246" s="17" t="s">
        <v>224</v>
      </c>
      <c r="I246" s="18"/>
      <c r="J246" s="18"/>
      <c r="K246" s="18">
        <v>6</v>
      </c>
      <c r="L246" s="18"/>
      <c r="N246" s="19" t="s">
        <v>14</v>
      </c>
      <c r="O246" s="39">
        <v>2</v>
      </c>
      <c r="P246" s="39">
        <v>2</v>
      </c>
      <c r="Q246" s="39">
        <v>2</v>
      </c>
      <c r="R246" s="39">
        <v>0</v>
      </c>
      <c r="S246">
        <f>AVERAGE(O246:R246)</f>
        <v>1.5</v>
      </c>
    </row>
    <row r="247" spans="1:19" x14ac:dyDescent="0.2">
      <c r="A247" s="1">
        <v>1</v>
      </c>
      <c r="B247" s="1">
        <v>4</v>
      </c>
      <c r="C247" s="1" t="s">
        <v>128</v>
      </c>
      <c r="D247" s="1" t="s">
        <v>40</v>
      </c>
      <c r="E247" s="1" t="s">
        <v>6</v>
      </c>
      <c r="F247">
        <v>4</v>
      </c>
      <c r="H247" s="17" t="s">
        <v>56</v>
      </c>
      <c r="I247" s="18">
        <v>2</v>
      </c>
      <c r="J247" s="18"/>
      <c r="K247" s="18">
        <v>2</v>
      </c>
      <c r="L247" s="18">
        <v>2</v>
      </c>
      <c r="N247" s="19" t="s">
        <v>149</v>
      </c>
      <c r="O247" s="39">
        <v>2</v>
      </c>
      <c r="P247" s="39">
        <v>2</v>
      </c>
      <c r="Q247" s="39">
        <v>1</v>
      </c>
      <c r="R247" s="39">
        <v>1</v>
      </c>
      <c r="S247">
        <f>AVERAGE(O247:R247)</f>
        <v>1.5</v>
      </c>
    </row>
    <row r="248" spans="1:19" x14ac:dyDescent="0.2">
      <c r="A248" s="1">
        <v>1</v>
      </c>
      <c r="B248" s="1">
        <v>4</v>
      </c>
      <c r="C248" s="1" t="s">
        <v>128</v>
      </c>
      <c r="D248" s="1" t="s">
        <v>41</v>
      </c>
      <c r="E248" s="1" t="s">
        <v>6</v>
      </c>
      <c r="F248">
        <v>4</v>
      </c>
      <c r="H248" s="17" t="s">
        <v>214</v>
      </c>
      <c r="I248" s="18"/>
      <c r="J248" s="18">
        <v>3</v>
      </c>
      <c r="K248" s="18"/>
      <c r="L248" s="18">
        <v>3</v>
      </c>
      <c r="N248" s="19" t="s">
        <v>20</v>
      </c>
      <c r="O248" s="39">
        <v>1</v>
      </c>
      <c r="P248" s="39">
        <v>1</v>
      </c>
      <c r="Q248" s="39">
        <v>1</v>
      </c>
      <c r="R248" s="39">
        <v>3</v>
      </c>
      <c r="S248">
        <f>AVERAGE(O248:R248)</f>
        <v>1.5</v>
      </c>
    </row>
    <row r="249" spans="1:19" x14ac:dyDescent="0.2">
      <c r="A249" s="1">
        <v>1</v>
      </c>
      <c r="B249" s="1">
        <v>4</v>
      </c>
      <c r="C249" s="1" t="s">
        <v>170</v>
      </c>
      <c r="D249" s="1" t="s">
        <v>28</v>
      </c>
      <c r="E249" s="1" t="s">
        <v>6</v>
      </c>
      <c r="F249">
        <v>1</v>
      </c>
      <c r="H249" s="17" t="s">
        <v>46</v>
      </c>
      <c r="I249" s="18">
        <v>3</v>
      </c>
      <c r="J249" s="18">
        <v>1</v>
      </c>
      <c r="K249" s="18">
        <v>1</v>
      </c>
      <c r="L249" s="18">
        <v>1</v>
      </c>
      <c r="N249" s="19" t="s">
        <v>122</v>
      </c>
      <c r="O249" s="39">
        <v>1</v>
      </c>
      <c r="P249" s="39">
        <v>4</v>
      </c>
      <c r="Q249" s="39">
        <v>1</v>
      </c>
      <c r="R249" s="39">
        <v>0</v>
      </c>
      <c r="S249">
        <f>AVERAGE(O249:R249)</f>
        <v>1.5</v>
      </c>
    </row>
    <row r="250" spans="1:19" x14ac:dyDescent="0.2">
      <c r="A250" s="1">
        <v>1</v>
      </c>
      <c r="B250" s="1">
        <v>5</v>
      </c>
      <c r="C250" s="1" t="s">
        <v>46</v>
      </c>
      <c r="D250" s="1" t="s">
        <v>42</v>
      </c>
      <c r="E250" s="1" t="s">
        <v>6</v>
      </c>
      <c r="F250">
        <v>1</v>
      </c>
      <c r="H250" s="17" t="s">
        <v>69</v>
      </c>
      <c r="I250" s="18">
        <v>1</v>
      </c>
      <c r="J250" s="18">
        <v>3</v>
      </c>
      <c r="K250" s="18">
        <v>1</v>
      </c>
      <c r="L250" s="18">
        <v>1</v>
      </c>
      <c r="N250" s="19" t="s">
        <v>69</v>
      </c>
      <c r="O250" s="39">
        <v>1</v>
      </c>
      <c r="P250" s="39">
        <v>3</v>
      </c>
      <c r="Q250" s="39">
        <v>1</v>
      </c>
      <c r="R250" s="39">
        <v>1</v>
      </c>
      <c r="S250">
        <f>AVERAGE(O250:R250)</f>
        <v>1.5</v>
      </c>
    </row>
    <row r="251" spans="1:19" x14ac:dyDescent="0.2">
      <c r="A251" s="1">
        <v>1</v>
      </c>
      <c r="B251" s="1">
        <v>5</v>
      </c>
      <c r="C251" s="1" t="s">
        <v>46</v>
      </c>
      <c r="D251" s="1" t="s">
        <v>30</v>
      </c>
      <c r="E251" s="1" t="s">
        <v>6</v>
      </c>
      <c r="F251">
        <v>2</v>
      </c>
      <c r="H251" s="17" t="s">
        <v>14</v>
      </c>
      <c r="I251" s="18">
        <v>2</v>
      </c>
      <c r="J251" s="18">
        <v>2</v>
      </c>
      <c r="K251" s="18">
        <v>2</v>
      </c>
      <c r="L251" s="18"/>
      <c r="N251" s="19" t="s">
        <v>224</v>
      </c>
      <c r="O251" s="39">
        <v>0</v>
      </c>
      <c r="P251" s="39">
        <v>0</v>
      </c>
      <c r="Q251" s="39">
        <v>6</v>
      </c>
      <c r="R251" s="39">
        <v>0</v>
      </c>
      <c r="S251">
        <f>AVERAGE(O251:R251)</f>
        <v>1.5</v>
      </c>
    </row>
    <row r="252" spans="1:19" x14ac:dyDescent="0.2">
      <c r="A252" s="1">
        <v>1</v>
      </c>
      <c r="B252" s="1">
        <v>5</v>
      </c>
      <c r="C252" s="1" t="s">
        <v>128</v>
      </c>
      <c r="D252" s="1" t="s">
        <v>40</v>
      </c>
      <c r="E252" s="1" t="s">
        <v>6</v>
      </c>
      <c r="F252">
        <v>4</v>
      </c>
      <c r="H252" s="17" t="s">
        <v>198</v>
      </c>
      <c r="I252" s="18"/>
      <c r="J252" s="18">
        <v>2</v>
      </c>
      <c r="K252" s="18">
        <v>4</v>
      </c>
      <c r="L252" s="18"/>
      <c r="N252" s="19" t="s">
        <v>214</v>
      </c>
      <c r="O252" s="39">
        <v>0</v>
      </c>
      <c r="P252" s="39">
        <v>3</v>
      </c>
      <c r="Q252" s="39">
        <v>0</v>
      </c>
      <c r="R252" s="39">
        <v>3</v>
      </c>
      <c r="S252">
        <f>AVERAGE(O252:R252)</f>
        <v>1.5</v>
      </c>
    </row>
    <row r="253" spans="1:19" x14ac:dyDescent="0.2">
      <c r="A253" s="1">
        <v>1</v>
      </c>
      <c r="B253" s="1">
        <v>5</v>
      </c>
      <c r="C253" s="1" t="s">
        <v>128</v>
      </c>
      <c r="D253" s="1" t="s">
        <v>41</v>
      </c>
      <c r="E253" s="1" t="s">
        <v>6</v>
      </c>
      <c r="F253">
        <v>4</v>
      </c>
      <c r="H253" s="17" t="s">
        <v>193</v>
      </c>
      <c r="I253" s="18"/>
      <c r="J253" s="18">
        <v>3</v>
      </c>
      <c r="K253" s="18">
        <v>3</v>
      </c>
      <c r="L253" s="18"/>
      <c r="N253" s="19" t="s">
        <v>198</v>
      </c>
      <c r="O253" s="39">
        <v>0</v>
      </c>
      <c r="P253" s="39">
        <v>2</v>
      </c>
      <c r="Q253" s="39">
        <v>4</v>
      </c>
      <c r="R253" s="39">
        <v>0</v>
      </c>
      <c r="S253">
        <f>AVERAGE(O253:R253)</f>
        <v>1.5</v>
      </c>
    </row>
    <row r="254" spans="1:19" x14ac:dyDescent="0.2">
      <c r="A254" s="1">
        <v>1</v>
      </c>
      <c r="B254" s="1">
        <v>5</v>
      </c>
      <c r="C254" s="1" t="s">
        <v>170</v>
      </c>
      <c r="D254" s="1" t="s">
        <v>28</v>
      </c>
      <c r="E254" s="1" t="s">
        <v>6</v>
      </c>
      <c r="F254">
        <v>1</v>
      </c>
      <c r="H254" s="17" t="s">
        <v>149</v>
      </c>
      <c r="I254" s="18">
        <v>2</v>
      </c>
      <c r="J254" s="18">
        <v>2</v>
      </c>
      <c r="K254" s="18">
        <v>1</v>
      </c>
      <c r="L254" s="18">
        <v>1</v>
      </c>
      <c r="N254" s="19" t="s">
        <v>193</v>
      </c>
      <c r="O254" s="39">
        <v>0</v>
      </c>
      <c r="P254" s="39">
        <v>3</v>
      </c>
      <c r="Q254" s="39">
        <v>3</v>
      </c>
      <c r="R254" s="39">
        <v>0</v>
      </c>
      <c r="S254">
        <f>AVERAGE(O254:R254)</f>
        <v>1.5</v>
      </c>
    </row>
    <row r="255" spans="1:19" x14ac:dyDescent="0.2">
      <c r="A255" s="1">
        <v>1</v>
      </c>
      <c r="B255" s="1">
        <v>6</v>
      </c>
      <c r="C255" s="1" t="s">
        <v>46</v>
      </c>
      <c r="D255" s="1" t="s">
        <v>30</v>
      </c>
      <c r="E255" s="1" t="s">
        <v>6</v>
      </c>
      <c r="F255">
        <v>1</v>
      </c>
      <c r="H255" s="17" t="s">
        <v>18</v>
      </c>
      <c r="I255" s="18">
        <v>3</v>
      </c>
      <c r="J255" s="18"/>
      <c r="K255" s="18">
        <v>2</v>
      </c>
      <c r="L255" s="18">
        <v>1</v>
      </c>
      <c r="N255" s="19" t="s">
        <v>205</v>
      </c>
      <c r="O255" s="39">
        <v>0</v>
      </c>
      <c r="P255" s="39">
        <v>6</v>
      </c>
      <c r="Q255" s="39">
        <v>0</v>
      </c>
      <c r="R255" s="39">
        <v>0</v>
      </c>
      <c r="S255">
        <f>AVERAGE(O255:R255)</f>
        <v>1.5</v>
      </c>
    </row>
    <row r="256" spans="1:19" x14ac:dyDescent="0.2">
      <c r="A256" s="1">
        <v>1</v>
      </c>
      <c r="B256" s="1">
        <v>6</v>
      </c>
      <c r="C256" s="1" t="s">
        <v>170</v>
      </c>
      <c r="D256" s="1" t="s">
        <v>28</v>
      </c>
      <c r="E256" s="1" t="s">
        <v>6</v>
      </c>
      <c r="F256">
        <v>1</v>
      </c>
      <c r="H256" s="17" t="s">
        <v>205</v>
      </c>
      <c r="I256" s="18"/>
      <c r="J256" s="18">
        <v>6</v>
      </c>
      <c r="K256" s="18"/>
      <c r="L256" s="18"/>
      <c r="N256" s="19" t="s">
        <v>9</v>
      </c>
      <c r="O256" s="39">
        <v>2</v>
      </c>
      <c r="P256" s="39">
        <v>2</v>
      </c>
      <c r="Q256" s="39">
        <v>1</v>
      </c>
      <c r="R256" s="39">
        <v>0</v>
      </c>
      <c r="S256">
        <f>AVERAGE(O256:R256)</f>
        <v>1.25</v>
      </c>
    </row>
    <row r="257" spans="1:19" x14ac:dyDescent="0.2">
      <c r="A257" s="1">
        <v>2</v>
      </c>
      <c r="B257" s="1">
        <v>0</v>
      </c>
      <c r="C257" s="1" t="s">
        <v>4</v>
      </c>
      <c r="D257" s="1" t="s">
        <v>5</v>
      </c>
      <c r="E257" s="1" t="s">
        <v>6</v>
      </c>
      <c r="F257">
        <v>1</v>
      </c>
      <c r="H257" s="17" t="s">
        <v>110</v>
      </c>
      <c r="I257" s="18">
        <v>1</v>
      </c>
      <c r="J257" s="18">
        <v>2</v>
      </c>
      <c r="K257" s="18">
        <v>1</v>
      </c>
      <c r="L257" s="18">
        <v>1</v>
      </c>
      <c r="N257" s="19" t="s">
        <v>94</v>
      </c>
      <c r="O257" s="39">
        <v>2</v>
      </c>
      <c r="P257" s="39">
        <v>1</v>
      </c>
      <c r="Q257" s="39">
        <v>1</v>
      </c>
      <c r="R257" s="39">
        <v>1</v>
      </c>
      <c r="S257">
        <f>AVERAGE(O257:R257)</f>
        <v>1.25</v>
      </c>
    </row>
    <row r="258" spans="1:19" x14ac:dyDescent="0.2">
      <c r="A258" s="1">
        <v>2</v>
      </c>
      <c r="B258" s="1">
        <v>0</v>
      </c>
      <c r="C258" s="1" t="s">
        <v>7</v>
      </c>
      <c r="D258" s="1" t="s">
        <v>5</v>
      </c>
      <c r="E258" s="1" t="s">
        <v>6</v>
      </c>
      <c r="F258">
        <v>1</v>
      </c>
      <c r="H258" s="17" t="s">
        <v>150</v>
      </c>
      <c r="I258" s="18">
        <v>1</v>
      </c>
      <c r="J258" s="18">
        <v>1</v>
      </c>
      <c r="K258" s="18">
        <v>2</v>
      </c>
      <c r="L258" s="18">
        <v>1</v>
      </c>
      <c r="N258" s="19" t="s">
        <v>110</v>
      </c>
      <c r="O258" s="39">
        <v>1</v>
      </c>
      <c r="P258" s="39">
        <v>2</v>
      </c>
      <c r="Q258" s="39">
        <v>1</v>
      </c>
      <c r="R258" s="39">
        <v>1</v>
      </c>
      <c r="S258">
        <f>AVERAGE(O258:R258)</f>
        <v>1.25</v>
      </c>
    </row>
    <row r="259" spans="1:19" x14ac:dyDescent="0.2">
      <c r="A259" s="1">
        <v>2</v>
      </c>
      <c r="B259" s="1">
        <v>0</v>
      </c>
      <c r="C259" s="1" t="s">
        <v>8</v>
      </c>
      <c r="D259" s="1" t="s">
        <v>5</v>
      </c>
      <c r="E259" s="1" t="s">
        <v>6</v>
      </c>
      <c r="F259">
        <v>1</v>
      </c>
      <c r="H259" s="17" t="s">
        <v>9</v>
      </c>
      <c r="I259" s="18">
        <v>2</v>
      </c>
      <c r="J259" s="18">
        <v>2</v>
      </c>
      <c r="K259" s="18">
        <v>1</v>
      </c>
      <c r="L259" s="18"/>
      <c r="N259" s="19" t="s">
        <v>150</v>
      </c>
      <c r="O259" s="39">
        <v>1</v>
      </c>
      <c r="P259" s="39">
        <v>1</v>
      </c>
      <c r="Q259" s="39">
        <v>2</v>
      </c>
      <c r="R259" s="39">
        <v>1</v>
      </c>
      <c r="S259">
        <f>AVERAGE(O259:R259)</f>
        <v>1.25</v>
      </c>
    </row>
    <row r="260" spans="1:19" x14ac:dyDescent="0.2">
      <c r="A260" s="1">
        <v>2</v>
      </c>
      <c r="B260" s="1">
        <v>0</v>
      </c>
      <c r="C260" s="1" t="s">
        <v>9</v>
      </c>
      <c r="D260" s="1" t="s">
        <v>5</v>
      </c>
      <c r="E260" s="1" t="s">
        <v>6</v>
      </c>
      <c r="F260">
        <v>2</v>
      </c>
      <c r="H260" s="17" t="s">
        <v>108</v>
      </c>
      <c r="I260" s="18">
        <v>1</v>
      </c>
      <c r="J260" s="18">
        <v>2</v>
      </c>
      <c r="K260" s="18">
        <v>1</v>
      </c>
      <c r="L260" s="18">
        <v>1</v>
      </c>
      <c r="N260" s="19" t="s">
        <v>108</v>
      </c>
      <c r="O260" s="39">
        <v>1</v>
      </c>
      <c r="P260" s="39">
        <v>2</v>
      </c>
      <c r="Q260" s="39">
        <v>1</v>
      </c>
      <c r="R260" s="39">
        <v>1</v>
      </c>
      <c r="S260">
        <f>AVERAGE(O260:R260)</f>
        <v>1.25</v>
      </c>
    </row>
    <row r="261" spans="1:19" x14ac:dyDescent="0.2">
      <c r="A261" s="1">
        <v>2</v>
      </c>
      <c r="B261" s="1">
        <v>0</v>
      </c>
      <c r="C261" s="1" t="s">
        <v>10</v>
      </c>
      <c r="D261" s="1" t="s">
        <v>5</v>
      </c>
      <c r="E261" s="1" t="s">
        <v>6</v>
      </c>
      <c r="F261">
        <v>2</v>
      </c>
      <c r="H261" s="17" t="s">
        <v>154</v>
      </c>
      <c r="I261" s="18">
        <v>1</v>
      </c>
      <c r="J261" s="18">
        <v>2</v>
      </c>
      <c r="K261" s="18">
        <v>1</v>
      </c>
      <c r="L261" s="18">
        <v>1</v>
      </c>
      <c r="N261" s="19" t="s">
        <v>154</v>
      </c>
      <c r="O261" s="39">
        <v>1</v>
      </c>
      <c r="P261" s="39">
        <v>2</v>
      </c>
      <c r="Q261" s="39">
        <v>1</v>
      </c>
      <c r="R261" s="39">
        <v>1</v>
      </c>
      <c r="S261">
        <f>AVERAGE(O261:R261)</f>
        <v>1.25</v>
      </c>
    </row>
    <row r="262" spans="1:19" x14ac:dyDescent="0.2">
      <c r="A262" s="1">
        <v>2</v>
      </c>
      <c r="B262" s="1">
        <v>0</v>
      </c>
      <c r="C262" s="1" t="s">
        <v>12</v>
      </c>
      <c r="D262" s="1" t="s">
        <v>13</v>
      </c>
      <c r="E262" s="1" t="s">
        <v>6</v>
      </c>
      <c r="F262">
        <v>2</v>
      </c>
      <c r="H262" s="17" t="s">
        <v>94</v>
      </c>
      <c r="I262" s="18">
        <v>2</v>
      </c>
      <c r="J262" s="18">
        <v>1</v>
      </c>
      <c r="K262" s="18">
        <v>1</v>
      </c>
      <c r="L262" s="18">
        <v>1</v>
      </c>
      <c r="N262" s="19" t="s">
        <v>204</v>
      </c>
      <c r="O262" s="39">
        <v>0</v>
      </c>
      <c r="P262" s="39">
        <v>5</v>
      </c>
      <c r="Q262" s="39">
        <v>0</v>
      </c>
      <c r="R262" s="39">
        <v>0</v>
      </c>
      <c r="S262">
        <f>AVERAGE(O262:R262)</f>
        <v>1.25</v>
      </c>
    </row>
    <row r="263" spans="1:19" x14ac:dyDescent="0.2">
      <c r="A263" s="1">
        <v>2</v>
      </c>
      <c r="B263" s="1">
        <v>0</v>
      </c>
      <c r="C263" s="1" t="s">
        <v>12</v>
      </c>
      <c r="D263" s="1" t="s">
        <v>5</v>
      </c>
      <c r="E263" s="1" t="s">
        <v>6</v>
      </c>
      <c r="F263">
        <v>1</v>
      </c>
      <c r="H263" s="17" t="s">
        <v>204</v>
      </c>
      <c r="I263" s="18"/>
      <c r="J263" s="18">
        <v>5</v>
      </c>
      <c r="K263" s="18"/>
      <c r="L263" s="18"/>
      <c r="N263" s="19" t="s">
        <v>105</v>
      </c>
      <c r="O263" s="39">
        <v>4</v>
      </c>
      <c r="P263" s="39">
        <v>0</v>
      </c>
      <c r="Q263" s="39">
        <v>0</v>
      </c>
      <c r="R263" s="39">
        <v>0</v>
      </c>
      <c r="S263">
        <f>AVERAGE(O263:R263)</f>
        <v>1</v>
      </c>
    </row>
    <row r="264" spans="1:19" x14ac:dyDescent="0.2">
      <c r="A264" s="1">
        <v>2</v>
      </c>
      <c r="B264" s="1">
        <v>0</v>
      </c>
      <c r="C264" s="1" t="s">
        <v>179</v>
      </c>
      <c r="D264" s="1" t="s">
        <v>5</v>
      </c>
      <c r="E264" s="1" t="s">
        <v>6</v>
      </c>
      <c r="F264">
        <v>2</v>
      </c>
      <c r="H264" s="17" t="s">
        <v>21</v>
      </c>
      <c r="I264" s="18">
        <v>1</v>
      </c>
      <c r="J264" s="18">
        <v>1</v>
      </c>
      <c r="K264" s="18">
        <v>1</v>
      </c>
      <c r="L264" s="18">
        <v>1</v>
      </c>
      <c r="N264" s="19" t="s">
        <v>37</v>
      </c>
      <c r="O264" s="39">
        <v>2</v>
      </c>
      <c r="P264" s="39">
        <v>0</v>
      </c>
      <c r="Q264" s="39">
        <v>2</v>
      </c>
      <c r="R264" s="39">
        <v>0</v>
      </c>
      <c r="S264">
        <f>AVERAGE(O264:R264)</f>
        <v>1</v>
      </c>
    </row>
    <row r="265" spans="1:19" x14ac:dyDescent="0.2">
      <c r="A265" s="1">
        <v>2</v>
      </c>
      <c r="B265" s="1">
        <v>0</v>
      </c>
      <c r="C265" s="1" t="s">
        <v>14</v>
      </c>
      <c r="D265" s="1" t="s">
        <v>5</v>
      </c>
      <c r="E265" s="1" t="s">
        <v>6</v>
      </c>
      <c r="F265">
        <v>2</v>
      </c>
      <c r="H265" s="17" t="s">
        <v>182</v>
      </c>
      <c r="I265" s="18"/>
      <c r="J265" s="18">
        <v>2</v>
      </c>
      <c r="K265" s="18">
        <v>2</v>
      </c>
      <c r="L265" s="18"/>
      <c r="N265" s="19" t="s">
        <v>63</v>
      </c>
      <c r="O265" s="39">
        <v>2</v>
      </c>
      <c r="P265" s="39">
        <v>2</v>
      </c>
      <c r="Q265" s="39">
        <v>0</v>
      </c>
      <c r="R265" s="39">
        <v>0</v>
      </c>
      <c r="S265">
        <f>AVERAGE(O265:R265)</f>
        <v>1</v>
      </c>
    </row>
    <row r="266" spans="1:19" x14ac:dyDescent="0.2">
      <c r="A266" s="1">
        <v>2</v>
      </c>
      <c r="B266" s="1">
        <v>0</v>
      </c>
      <c r="C266" s="1" t="s">
        <v>15</v>
      </c>
      <c r="D266" s="1" t="s">
        <v>5</v>
      </c>
      <c r="E266" s="1" t="s">
        <v>6</v>
      </c>
      <c r="F266">
        <v>1</v>
      </c>
      <c r="H266" s="17" t="s">
        <v>24</v>
      </c>
      <c r="I266" s="18">
        <v>1</v>
      </c>
      <c r="J266" s="18">
        <v>1</v>
      </c>
      <c r="K266" s="18">
        <v>1</v>
      </c>
      <c r="L266" s="18">
        <v>1</v>
      </c>
      <c r="N266" s="19" t="s">
        <v>21</v>
      </c>
      <c r="O266" s="39">
        <v>1</v>
      </c>
      <c r="P266" s="39">
        <v>1</v>
      </c>
      <c r="Q266" s="39">
        <v>1</v>
      </c>
      <c r="R266" s="39">
        <v>1</v>
      </c>
      <c r="S266">
        <f>AVERAGE(O266:R266)</f>
        <v>1</v>
      </c>
    </row>
    <row r="267" spans="1:19" x14ac:dyDescent="0.2">
      <c r="A267" s="1">
        <v>2</v>
      </c>
      <c r="B267" s="1">
        <v>0</v>
      </c>
      <c r="C267" s="1" t="s">
        <v>16</v>
      </c>
      <c r="D267" s="1" t="s">
        <v>5</v>
      </c>
      <c r="E267" s="1" t="s">
        <v>6</v>
      </c>
      <c r="F267">
        <v>1</v>
      </c>
      <c r="H267" s="17" t="s">
        <v>64</v>
      </c>
      <c r="I267" s="18">
        <v>1</v>
      </c>
      <c r="J267" s="18">
        <v>2</v>
      </c>
      <c r="K267" s="18">
        <v>1</v>
      </c>
      <c r="L267" s="18"/>
      <c r="N267" s="19" t="s">
        <v>24</v>
      </c>
      <c r="O267" s="39">
        <v>1</v>
      </c>
      <c r="P267" s="39">
        <v>1</v>
      </c>
      <c r="Q267" s="39">
        <v>1</v>
      </c>
      <c r="R267" s="39">
        <v>1</v>
      </c>
      <c r="S267">
        <f>AVERAGE(O267:R267)</f>
        <v>1</v>
      </c>
    </row>
    <row r="268" spans="1:19" x14ac:dyDescent="0.2">
      <c r="A268" s="1">
        <v>2</v>
      </c>
      <c r="B268" s="1">
        <v>0</v>
      </c>
      <c r="C268" s="1" t="s">
        <v>17</v>
      </c>
      <c r="D268" s="1" t="s">
        <v>5</v>
      </c>
      <c r="E268" s="1" t="s">
        <v>6</v>
      </c>
      <c r="F268">
        <v>2</v>
      </c>
      <c r="H268" s="17" t="s">
        <v>54</v>
      </c>
      <c r="I268" s="18">
        <v>1</v>
      </c>
      <c r="J268" s="18">
        <v>1</v>
      </c>
      <c r="K268" s="18">
        <v>1</v>
      </c>
      <c r="L268" s="18">
        <v>1</v>
      </c>
      <c r="N268" s="19" t="s">
        <v>64</v>
      </c>
      <c r="O268" s="39">
        <v>1</v>
      </c>
      <c r="P268" s="39">
        <v>2</v>
      </c>
      <c r="Q268" s="39">
        <v>1</v>
      </c>
      <c r="R268" s="39">
        <v>0</v>
      </c>
      <c r="S268">
        <f>AVERAGE(O268:R268)</f>
        <v>1</v>
      </c>
    </row>
    <row r="269" spans="1:19" x14ac:dyDescent="0.2">
      <c r="A269" s="1">
        <v>2</v>
      </c>
      <c r="B269" s="1">
        <v>0</v>
      </c>
      <c r="C269" s="1" t="s">
        <v>20</v>
      </c>
      <c r="D269" s="1" t="s">
        <v>5</v>
      </c>
      <c r="E269" s="1" t="s">
        <v>6</v>
      </c>
      <c r="F269">
        <v>1</v>
      </c>
      <c r="H269" s="17" t="s">
        <v>152</v>
      </c>
      <c r="I269" s="18">
        <v>1</v>
      </c>
      <c r="J269" s="18">
        <v>1</v>
      </c>
      <c r="K269" s="18">
        <v>1</v>
      </c>
      <c r="L269" s="18">
        <v>1</v>
      </c>
      <c r="N269" s="19" t="s">
        <v>54</v>
      </c>
      <c r="O269" s="39">
        <v>1</v>
      </c>
      <c r="P269" s="39">
        <v>1</v>
      </c>
      <c r="Q269" s="39">
        <v>1</v>
      </c>
      <c r="R269" s="39">
        <v>1</v>
      </c>
      <c r="S269">
        <f>AVERAGE(O269:R269)</f>
        <v>1</v>
      </c>
    </row>
    <row r="270" spans="1:19" x14ac:dyDescent="0.2">
      <c r="A270" s="1">
        <v>2</v>
      </c>
      <c r="B270" s="1">
        <v>0</v>
      </c>
      <c r="C270" s="1" t="s">
        <v>21</v>
      </c>
      <c r="D270" s="1" t="s">
        <v>5</v>
      </c>
      <c r="E270" s="1" t="s">
        <v>6</v>
      </c>
      <c r="F270">
        <v>1</v>
      </c>
      <c r="H270" s="17" t="s">
        <v>190</v>
      </c>
      <c r="I270" s="18"/>
      <c r="J270" s="18">
        <v>2</v>
      </c>
      <c r="K270" s="18"/>
      <c r="L270" s="18">
        <v>2</v>
      </c>
      <c r="N270" s="19" t="s">
        <v>152</v>
      </c>
      <c r="O270" s="39">
        <v>1</v>
      </c>
      <c r="P270" s="39">
        <v>1</v>
      </c>
      <c r="Q270" s="39">
        <v>1</v>
      </c>
      <c r="R270" s="39">
        <v>1</v>
      </c>
      <c r="S270">
        <f>AVERAGE(O270:R270)</f>
        <v>1</v>
      </c>
    </row>
    <row r="271" spans="1:19" x14ac:dyDescent="0.2">
      <c r="A271" s="1">
        <v>2</v>
      </c>
      <c r="B271" s="1">
        <v>0</v>
      </c>
      <c r="C271" s="1" t="s">
        <v>22</v>
      </c>
      <c r="D271" s="1" t="s">
        <v>13</v>
      </c>
      <c r="E271" s="1" t="s">
        <v>6</v>
      </c>
      <c r="F271">
        <v>1</v>
      </c>
      <c r="H271" s="17" t="s">
        <v>7</v>
      </c>
      <c r="I271" s="18">
        <v>1</v>
      </c>
      <c r="J271" s="18">
        <v>1</v>
      </c>
      <c r="K271" s="18">
        <v>1</v>
      </c>
      <c r="L271" s="18">
        <v>1</v>
      </c>
      <c r="N271" s="19" t="s">
        <v>7</v>
      </c>
      <c r="O271" s="39">
        <v>1</v>
      </c>
      <c r="P271" s="39">
        <v>1</v>
      </c>
      <c r="Q271" s="39">
        <v>1</v>
      </c>
      <c r="R271" s="39">
        <v>1</v>
      </c>
      <c r="S271">
        <f>AVERAGE(O271:R271)</f>
        <v>1</v>
      </c>
    </row>
    <row r="272" spans="1:19" x14ac:dyDescent="0.2">
      <c r="A272" s="1">
        <v>2</v>
      </c>
      <c r="B272" s="1">
        <v>0</v>
      </c>
      <c r="C272" s="1" t="s">
        <v>22</v>
      </c>
      <c r="D272" s="1" t="s">
        <v>5</v>
      </c>
      <c r="E272" s="1" t="s">
        <v>6</v>
      </c>
      <c r="F272">
        <v>2</v>
      </c>
      <c r="H272" s="17" t="s">
        <v>45</v>
      </c>
      <c r="I272" s="18">
        <v>1</v>
      </c>
      <c r="J272" s="18">
        <v>1</v>
      </c>
      <c r="K272" s="18">
        <v>1</v>
      </c>
      <c r="L272" s="18">
        <v>1</v>
      </c>
      <c r="N272" s="19" t="s">
        <v>45</v>
      </c>
      <c r="O272" s="39">
        <v>1</v>
      </c>
      <c r="P272" s="39">
        <v>1</v>
      </c>
      <c r="Q272" s="39">
        <v>1</v>
      </c>
      <c r="R272" s="39">
        <v>1</v>
      </c>
      <c r="S272">
        <f>AVERAGE(O272:R272)</f>
        <v>1</v>
      </c>
    </row>
    <row r="273" spans="1:19" x14ac:dyDescent="0.2">
      <c r="A273" s="1">
        <v>2</v>
      </c>
      <c r="B273" s="1">
        <v>0</v>
      </c>
      <c r="C273" s="1" t="s">
        <v>22</v>
      </c>
      <c r="D273" s="1" t="s">
        <v>28</v>
      </c>
      <c r="E273" s="1" t="s">
        <v>6</v>
      </c>
      <c r="F273">
        <v>1</v>
      </c>
      <c r="H273" s="17" t="s">
        <v>37</v>
      </c>
      <c r="I273" s="18">
        <v>2</v>
      </c>
      <c r="J273" s="18"/>
      <c r="K273" s="18">
        <v>2</v>
      </c>
      <c r="L273" s="18"/>
      <c r="N273" s="19" t="s">
        <v>85</v>
      </c>
      <c r="O273" s="39">
        <v>1</v>
      </c>
      <c r="P273" s="39">
        <v>1</v>
      </c>
      <c r="Q273" s="39">
        <v>1</v>
      </c>
      <c r="R273" s="39">
        <v>1</v>
      </c>
      <c r="S273">
        <f>AVERAGE(O273:R273)</f>
        <v>1</v>
      </c>
    </row>
    <row r="274" spans="1:19" x14ac:dyDescent="0.2">
      <c r="A274" s="1">
        <v>2</v>
      </c>
      <c r="B274" s="1">
        <v>0</v>
      </c>
      <c r="C274" s="1" t="s">
        <v>180</v>
      </c>
      <c r="D274" s="1" t="s">
        <v>5</v>
      </c>
      <c r="E274" s="1" t="s">
        <v>6</v>
      </c>
      <c r="F274">
        <v>1</v>
      </c>
      <c r="H274" s="17" t="s">
        <v>85</v>
      </c>
      <c r="I274" s="18">
        <v>1</v>
      </c>
      <c r="J274" s="18">
        <v>1</v>
      </c>
      <c r="K274" s="18">
        <v>1</v>
      </c>
      <c r="L274" s="18">
        <v>1</v>
      </c>
      <c r="N274" s="19" t="s">
        <v>66</v>
      </c>
      <c r="O274" s="39">
        <v>1</v>
      </c>
      <c r="P274" s="39">
        <v>1</v>
      </c>
      <c r="Q274" s="39">
        <v>1</v>
      </c>
      <c r="R274" s="39">
        <v>1</v>
      </c>
      <c r="S274">
        <f>AVERAGE(O274:R274)</f>
        <v>1</v>
      </c>
    </row>
    <row r="275" spans="1:19" x14ac:dyDescent="0.2">
      <c r="A275" s="1">
        <v>2</v>
      </c>
      <c r="B275" s="1">
        <v>0</v>
      </c>
      <c r="C275" s="1" t="s">
        <v>23</v>
      </c>
      <c r="D275" s="1" t="s">
        <v>5</v>
      </c>
      <c r="E275" s="1" t="s">
        <v>6</v>
      </c>
      <c r="F275">
        <v>2</v>
      </c>
      <c r="H275" s="17" t="s">
        <v>66</v>
      </c>
      <c r="I275" s="18">
        <v>1</v>
      </c>
      <c r="J275" s="18">
        <v>1</v>
      </c>
      <c r="K275" s="18">
        <v>1</v>
      </c>
      <c r="L275" s="18">
        <v>1</v>
      </c>
      <c r="N275" s="19" t="s">
        <v>102</v>
      </c>
      <c r="O275" s="39">
        <v>1</v>
      </c>
      <c r="P275" s="39">
        <v>1</v>
      </c>
      <c r="Q275" s="39">
        <v>1</v>
      </c>
      <c r="R275" s="39">
        <v>1</v>
      </c>
      <c r="S275">
        <f>AVERAGE(O275:R275)</f>
        <v>1</v>
      </c>
    </row>
    <row r="276" spans="1:19" x14ac:dyDescent="0.2">
      <c r="A276" s="1">
        <v>2</v>
      </c>
      <c r="B276" s="1">
        <v>0</v>
      </c>
      <c r="C276" s="1" t="s">
        <v>181</v>
      </c>
      <c r="D276" s="1" t="s">
        <v>13</v>
      </c>
      <c r="E276" s="1" t="s">
        <v>6</v>
      </c>
      <c r="F276">
        <v>2</v>
      </c>
      <c r="H276" s="17" t="s">
        <v>102</v>
      </c>
      <c r="I276" s="18">
        <v>1</v>
      </c>
      <c r="J276" s="18">
        <v>1</v>
      </c>
      <c r="K276" s="18">
        <v>1</v>
      </c>
      <c r="L276" s="18">
        <v>1</v>
      </c>
      <c r="N276" s="19" t="s">
        <v>161</v>
      </c>
      <c r="O276" s="39">
        <v>1</v>
      </c>
      <c r="P276" s="39">
        <v>1</v>
      </c>
      <c r="Q276" s="39">
        <v>1</v>
      </c>
      <c r="R276" s="39">
        <v>1</v>
      </c>
      <c r="S276">
        <f>AVERAGE(O276:R276)</f>
        <v>1</v>
      </c>
    </row>
    <row r="277" spans="1:19" x14ac:dyDescent="0.2">
      <c r="A277" s="1">
        <v>2</v>
      </c>
      <c r="B277" s="1">
        <v>0</v>
      </c>
      <c r="C277" s="1" t="s">
        <v>182</v>
      </c>
      <c r="D277" s="1" t="s">
        <v>13</v>
      </c>
      <c r="E277" s="1" t="s">
        <v>6</v>
      </c>
      <c r="F277">
        <v>2</v>
      </c>
      <c r="H277" s="17" t="s">
        <v>161</v>
      </c>
      <c r="I277" s="18">
        <v>1</v>
      </c>
      <c r="J277" s="18">
        <v>1</v>
      </c>
      <c r="K277" s="18">
        <v>1</v>
      </c>
      <c r="L277" s="18">
        <v>1</v>
      </c>
      <c r="N277" s="19" t="s">
        <v>139</v>
      </c>
      <c r="O277" s="39">
        <v>1</v>
      </c>
      <c r="P277" s="39">
        <v>1</v>
      </c>
      <c r="Q277" s="39">
        <v>1</v>
      </c>
      <c r="R277" s="39">
        <v>1</v>
      </c>
      <c r="S277">
        <f>AVERAGE(O277:R277)</f>
        <v>1</v>
      </c>
    </row>
    <row r="278" spans="1:19" x14ac:dyDescent="0.2">
      <c r="A278" s="1">
        <v>2</v>
      </c>
      <c r="B278" s="1">
        <v>0</v>
      </c>
      <c r="C278" s="1" t="s">
        <v>24</v>
      </c>
      <c r="D278" s="1" t="s">
        <v>5</v>
      </c>
      <c r="E278" s="1" t="s">
        <v>6</v>
      </c>
      <c r="F278">
        <v>1</v>
      </c>
      <c r="H278" s="17" t="s">
        <v>139</v>
      </c>
      <c r="I278" s="18">
        <v>1</v>
      </c>
      <c r="J278" s="18">
        <v>1</v>
      </c>
      <c r="K278" s="18">
        <v>1</v>
      </c>
      <c r="L278" s="18">
        <v>1</v>
      </c>
      <c r="N278" s="19" t="s">
        <v>163</v>
      </c>
      <c r="O278" s="39">
        <v>1</v>
      </c>
      <c r="P278" s="39">
        <v>1</v>
      </c>
      <c r="Q278" s="39">
        <v>1</v>
      </c>
      <c r="R278" s="39">
        <v>1</v>
      </c>
      <c r="S278">
        <f>AVERAGE(O278:R278)</f>
        <v>1</v>
      </c>
    </row>
    <row r="279" spans="1:19" x14ac:dyDescent="0.2">
      <c r="A279" s="1">
        <v>2</v>
      </c>
      <c r="B279" s="1">
        <v>0</v>
      </c>
      <c r="C279" s="1" t="s">
        <v>25</v>
      </c>
      <c r="D279" s="1" t="s">
        <v>5</v>
      </c>
      <c r="E279" s="1" t="s">
        <v>6</v>
      </c>
      <c r="F279">
        <v>3</v>
      </c>
      <c r="H279" s="17" t="s">
        <v>163</v>
      </c>
      <c r="I279" s="18">
        <v>1</v>
      </c>
      <c r="J279" s="18">
        <v>1</v>
      </c>
      <c r="K279" s="18">
        <v>1</v>
      </c>
      <c r="L279" s="18">
        <v>1</v>
      </c>
      <c r="N279" s="19" t="s">
        <v>106</v>
      </c>
      <c r="O279" s="39">
        <v>1</v>
      </c>
      <c r="P279" s="39">
        <v>1</v>
      </c>
      <c r="Q279" s="39">
        <v>1</v>
      </c>
      <c r="R279" s="39">
        <v>1</v>
      </c>
      <c r="S279">
        <f>AVERAGE(O279:R279)</f>
        <v>1</v>
      </c>
    </row>
    <row r="280" spans="1:19" x14ac:dyDescent="0.2">
      <c r="A280" s="1">
        <v>2</v>
      </c>
      <c r="B280" s="1">
        <v>0</v>
      </c>
      <c r="C280" s="1" t="s">
        <v>26</v>
      </c>
      <c r="D280" s="1" t="s">
        <v>13</v>
      </c>
      <c r="E280" s="1" t="s">
        <v>6</v>
      </c>
      <c r="F280">
        <v>4</v>
      </c>
      <c r="H280" s="17" t="s">
        <v>237</v>
      </c>
      <c r="I280" s="18"/>
      <c r="J280" s="18"/>
      <c r="K280" s="18">
        <v>4</v>
      </c>
      <c r="L280" s="18"/>
      <c r="N280" s="19" t="s">
        <v>87</v>
      </c>
      <c r="O280" s="39">
        <v>1</v>
      </c>
      <c r="P280" s="39">
        <v>1</v>
      </c>
      <c r="Q280" s="39">
        <v>1</v>
      </c>
      <c r="R280" s="39">
        <v>1</v>
      </c>
      <c r="S280">
        <f>AVERAGE(O280:R280)</f>
        <v>1</v>
      </c>
    </row>
    <row r="281" spans="1:19" x14ac:dyDescent="0.2">
      <c r="A281" s="1">
        <v>2</v>
      </c>
      <c r="B281" s="1">
        <v>0</v>
      </c>
      <c r="C281" s="1" t="s">
        <v>26</v>
      </c>
      <c r="D281" s="1" t="s">
        <v>5</v>
      </c>
      <c r="E281" s="1" t="s">
        <v>6</v>
      </c>
      <c r="F281">
        <v>3</v>
      </c>
      <c r="H281" s="17" t="s">
        <v>106</v>
      </c>
      <c r="I281" s="18">
        <v>1</v>
      </c>
      <c r="J281" s="18">
        <v>1</v>
      </c>
      <c r="K281" s="18">
        <v>1</v>
      </c>
      <c r="L281" s="18">
        <v>1</v>
      </c>
      <c r="N281" s="19" t="s">
        <v>62</v>
      </c>
      <c r="O281" s="39">
        <v>1</v>
      </c>
      <c r="P281" s="39">
        <v>1</v>
      </c>
      <c r="Q281" s="39">
        <v>1</v>
      </c>
      <c r="R281" s="39">
        <v>1</v>
      </c>
      <c r="S281">
        <f>AVERAGE(O281:R281)</f>
        <v>1</v>
      </c>
    </row>
    <row r="282" spans="1:19" x14ac:dyDescent="0.2">
      <c r="A282" s="1">
        <v>2</v>
      </c>
      <c r="B282" s="1">
        <v>0</v>
      </c>
      <c r="C282" s="1" t="s">
        <v>27</v>
      </c>
      <c r="D282" s="1" t="s">
        <v>28</v>
      </c>
      <c r="E282" s="1" t="s">
        <v>6</v>
      </c>
      <c r="F282">
        <v>2</v>
      </c>
      <c r="H282" s="17" t="s">
        <v>233</v>
      </c>
      <c r="I282" s="18"/>
      <c r="J282" s="18"/>
      <c r="K282" s="18">
        <v>4</v>
      </c>
      <c r="L282" s="18"/>
      <c r="N282" s="19" t="s">
        <v>43</v>
      </c>
      <c r="O282" s="39">
        <v>1</v>
      </c>
      <c r="P282" s="39">
        <v>1</v>
      </c>
      <c r="Q282" s="39">
        <v>1</v>
      </c>
      <c r="R282" s="39">
        <v>1</v>
      </c>
      <c r="S282">
        <f>AVERAGE(O282:R282)</f>
        <v>1</v>
      </c>
    </row>
    <row r="283" spans="1:19" x14ac:dyDescent="0.2">
      <c r="A283" s="1">
        <v>2</v>
      </c>
      <c r="B283" s="1">
        <v>0</v>
      </c>
      <c r="C283" s="1" t="s">
        <v>183</v>
      </c>
      <c r="D283" s="1" t="s">
        <v>13</v>
      </c>
      <c r="E283" s="1" t="s">
        <v>6</v>
      </c>
      <c r="F283">
        <v>2</v>
      </c>
      <c r="H283" s="17" t="s">
        <v>87</v>
      </c>
      <c r="I283" s="18">
        <v>1</v>
      </c>
      <c r="J283" s="18">
        <v>1</v>
      </c>
      <c r="K283" s="18">
        <v>1</v>
      </c>
      <c r="L283" s="18">
        <v>1</v>
      </c>
      <c r="N283" s="19" t="s">
        <v>78</v>
      </c>
      <c r="O283" s="39">
        <v>1</v>
      </c>
      <c r="P283" s="39">
        <v>1</v>
      </c>
      <c r="Q283" s="39">
        <v>1</v>
      </c>
      <c r="R283" s="39">
        <v>1</v>
      </c>
      <c r="S283">
        <f>AVERAGE(O283:R283)</f>
        <v>1</v>
      </c>
    </row>
    <row r="284" spans="1:19" x14ac:dyDescent="0.2">
      <c r="A284" s="1">
        <v>2</v>
      </c>
      <c r="B284" s="1">
        <v>0</v>
      </c>
      <c r="C284" s="1" t="s">
        <v>184</v>
      </c>
      <c r="D284" s="1" t="s">
        <v>5</v>
      </c>
      <c r="E284" s="1" t="s">
        <v>6</v>
      </c>
      <c r="F284">
        <v>1</v>
      </c>
      <c r="H284" s="17" t="s">
        <v>62</v>
      </c>
      <c r="I284" s="18">
        <v>1</v>
      </c>
      <c r="J284" s="18">
        <v>1</v>
      </c>
      <c r="K284" s="18">
        <v>1</v>
      </c>
      <c r="L284" s="18">
        <v>1</v>
      </c>
      <c r="N284" s="19" t="s">
        <v>73</v>
      </c>
      <c r="O284" s="39">
        <v>1</v>
      </c>
      <c r="P284" s="39">
        <v>1</v>
      </c>
      <c r="Q284" s="39">
        <v>1</v>
      </c>
      <c r="R284" s="39">
        <v>1</v>
      </c>
      <c r="S284">
        <f>AVERAGE(O284:R284)</f>
        <v>1</v>
      </c>
    </row>
    <row r="285" spans="1:19" x14ac:dyDescent="0.2">
      <c r="A285" s="1">
        <v>2</v>
      </c>
      <c r="B285" s="1">
        <v>0</v>
      </c>
      <c r="C285" s="1" t="s">
        <v>29</v>
      </c>
      <c r="D285" s="1" t="s">
        <v>5</v>
      </c>
      <c r="E285" s="1" t="s">
        <v>6</v>
      </c>
      <c r="F285">
        <v>1</v>
      </c>
      <c r="H285" s="17" t="s">
        <v>194</v>
      </c>
      <c r="I285" s="18"/>
      <c r="J285" s="18">
        <v>3</v>
      </c>
      <c r="K285" s="18">
        <v>1</v>
      </c>
      <c r="L285" s="18"/>
      <c r="N285" s="19" t="s">
        <v>134</v>
      </c>
      <c r="O285" s="39">
        <v>1</v>
      </c>
      <c r="P285" s="39">
        <v>1</v>
      </c>
      <c r="Q285" s="39">
        <v>1</v>
      </c>
      <c r="R285" s="39">
        <v>1</v>
      </c>
      <c r="S285">
        <f>AVERAGE(O285:R285)</f>
        <v>1</v>
      </c>
    </row>
    <row r="286" spans="1:19" x14ac:dyDescent="0.2">
      <c r="A286" s="1">
        <v>2</v>
      </c>
      <c r="B286" s="1">
        <v>0</v>
      </c>
      <c r="C286" s="1" t="s">
        <v>185</v>
      </c>
      <c r="D286" s="1" t="s">
        <v>13</v>
      </c>
      <c r="E286" s="1" t="s">
        <v>6</v>
      </c>
      <c r="F286">
        <v>1</v>
      </c>
      <c r="H286" s="17" t="s">
        <v>246</v>
      </c>
      <c r="I286" s="18"/>
      <c r="J286" s="18"/>
      <c r="K286" s="18"/>
      <c r="L286" s="18">
        <v>4</v>
      </c>
      <c r="N286" s="19" t="s">
        <v>16</v>
      </c>
      <c r="O286" s="39">
        <v>1</v>
      </c>
      <c r="P286" s="39">
        <v>1</v>
      </c>
      <c r="Q286" s="39">
        <v>1</v>
      </c>
      <c r="R286" s="39">
        <v>1</v>
      </c>
      <c r="S286">
        <f>AVERAGE(O286:R286)</f>
        <v>1</v>
      </c>
    </row>
    <row r="287" spans="1:19" x14ac:dyDescent="0.2">
      <c r="A287" s="1">
        <v>2</v>
      </c>
      <c r="B287" s="1">
        <v>0</v>
      </c>
      <c r="C287" s="1" t="s">
        <v>32</v>
      </c>
      <c r="D287" s="1" t="s">
        <v>5</v>
      </c>
      <c r="E287" s="1" t="s">
        <v>6</v>
      </c>
      <c r="F287">
        <v>2</v>
      </c>
      <c r="H287" s="17" t="s">
        <v>248</v>
      </c>
      <c r="I287" s="18"/>
      <c r="J287" s="18"/>
      <c r="K287" s="18"/>
      <c r="L287" s="18">
        <v>4</v>
      </c>
      <c r="N287" s="19" t="s">
        <v>77</v>
      </c>
      <c r="O287" s="39">
        <v>1</v>
      </c>
      <c r="P287" s="39">
        <v>1</v>
      </c>
      <c r="Q287" s="39">
        <v>1</v>
      </c>
      <c r="R287" s="39">
        <v>1</v>
      </c>
      <c r="S287">
        <f>AVERAGE(O287:R287)</f>
        <v>1</v>
      </c>
    </row>
    <row r="288" spans="1:19" x14ac:dyDescent="0.2">
      <c r="A288" s="1">
        <v>2</v>
      </c>
      <c r="B288" s="1">
        <v>0</v>
      </c>
      <c r="C288" s="1" t="s">
        <v>186</v>
      </c>
      <c r="D288" s="1" t="s">
        <v>5</v>
      </c>
      <c r="E288" s="1" t="s">
        <v>6</v>
      </c>
      <c r="F288">
        <v>2</v>
      </c>
      <c r="H288" s="17" t="s">
        <v>43</v>
      </c>
      <c r="I288" s="18">
        <v>1</v>
      </c>
      <c r="J288" s="18">
        <v>1</v>
      </c>
      <c r="K288" s="18">
        <v>1</v>
      </c>
      <c r="L288" s="18">
        <v>1</v>
      </c>
      <c r="N288" s="19" t="s">
        <v>57</v>
      </c>
      <c r="O288" s="39">
        <v>1</v>
      </c>
      <c r="P288" s="39">
        <v>1</v>
      </c>
      <c r="Q288" s="39">
        <v>1</v>
      </c>
      <c r="R288" s="39">
        <v>1</v>
      </c>
      <c r="S288">
        <f>AVERAGE(O288:R288)</f>
        <v>1</v>
      </c>
    </row>
    <row r="289" spans="1:19" x14ac:dyDescent="0.2">
      <c r="A289" s="1">
        <v>2</v>
      </c>
      <c r="B289" s="1">
        <v>0</v>
      </c>
      <c r="C289" s="1" t="s">
        <v>186</v>
      </c>
      <c r="D289" s="1" t="s">
        <v>30</v>
      </c>
      <c r="E289" s="1" t="s">
        <v>6</v>
      </c>
      <c r="F289">
        <v>4</v>
      </c>
      <c r="H289" s="17" t="s">
        <v>78</v>
      </c>
      <c r="I289" s="18">
        <v>1</v>
      </c>
      <c r="J289" s="18">
        <v>1</v>
      </c>
      <c r="K289" s="18">
        <v>1</v>
      </c>
      <c r="L289" s="18">
        <v>1</v>
      </c>
      <c r="N289" s="19" t="s">
        <v>35</v>
      </c>
      <c r="O289" s="39">
        <v>1</v>
      </c>
      <c r="P289" s="39">
        <v>1</v>
      </c>
      <c r="Q289" s="39">
        <v>1</v>
      </c>
      <c r="R289" s="39">
        <v>1</v>
      </c>
      <c r="S289">
        <f>AVERAGE(O289:R289)</f>
        <v>1</v>
      </c>
    </row>
    <row r="290" spans="1:19" x14ac:dyDescent="0.2">
      <c r="A290" s="1">
        <v>2</v>
      </c>
      <c r="B290" s="1">
        <v>0</v>
      </c>
      <c r="C290" s="1" t="s">
        <v>187</v>
      </c>
      <c r="D290" s="1" t="s">
        <v>5</v>
      </c>
      <c r="E290" s="1" t="s">
        <v>6</v>
      </c>
      <c r="F290">
        <v>1</v>
      </c>
      <c r="H290" s="17" t="s">
        <v>227</v>
      </c>
      <c r="I290" s="18"/>
      <c r="J290" s="18"/>
      <c r="K290" s="18">
        <v>2</v>
      </c>
      <c r="L290" s="18">
        <v>2</v>
      </c>
      <c r="N290" s="19" t="s">
        <v>89</v>
      </c>
      <c r="O290" s="39">
        <v>1</v>
      </c>
      <c r="P290" s="39">
        <v>1</v>
      </c>
      <c r="Q290" s="39">
        <v>1</v>
      </c>
      <c r="R290" s="39">
        <v>1</v>
      </c>
      <c r="S290">
        <f>AVERAGE(O290:R290)</f>
        <v>1</v>
      </c>
    </row>
    <row r="291" spans="1:19" x14ac:dyDescent="0.2">
      <c r="A291" s="1">
        <v>2</v>
      </c>
      <c r="B291" s="1">
        <v>0</v>
      </c>
      <c r="C291" s="1" t="s">
        <v>33</v>
      </c>
      <c r="D291" s="1" t="s">
        <v>5</v>
      </c>
      <c r="E291" s="1" t="s">
        <v>6</v>
      </c>
      <c r="F291">
        <v>2</v>
      </c>
      <c r="H291" s="17" t="s">
        <v>105</v>
      </c>
      <c r="I291" s="18">
        <v>4</v>
      </c>
      <c r="J291" s="18"/>
      <c r="K291" s="18"/>
      <c r="L291" s="18"/>
      <c r="N291" s="19" t="s">
        <v>15</v>
      </c>
      <c r="O291" s="39">
        <v>1</v>
      </c>
      <c r="P291" s="39">
        <v>1</v>
      </c>
      <c r="Q291" s="39">
        <v>1</v>
      </c>
      <c r="R291" s="39">
        <v>1</v>
      </c>
      <c r="S291">
        <f>AVERAGE(O291:R291)</f>
        <v>1</v>
      </c>
    </row>
    <row r="292" spans="1:19" x14ac:dyDescent="0.2">
      <c r="A292" s="1">
        <v>2</v>
      </c>
      <c r="B292" s="1">
        <v>0</v>
      </c>
      <c r="C292" s="1" t="s">
        <v>34</v>
      </c>
      <c r="D292" s="1" t="s">
        <v>28</v>
      </c>
      <c r="E292" s="1" t="s">
        <v>6</v>
      </c>
      <c r="F292">
        <v>2</v>
      </c>
      <c r="H292" s="17" t="s">
        <v>63</v>
      </c>
      <c r="I292" s="18">
        <v>2</v>
      </c>
      <c r="J292" s="18">
        <v>2</v>
      </c>
      <c r="K292" s="18"/>
      <c r="L292" s="18"/>
      <c r="N292" s="19" t="s">
        <v>38</v>
      </c>
      <c r="O292" s="39">
        <v>1</v>
      </c>
      <c r="P292" s="39">
        <v>1</v>
      </c>
      <c r="Q292" s="39">
        <v>1</v>
      </c>
      <c r="R292" s="39">
        <v>1</v>
      </c>
      <c r="S292">
        <f>AVERAGE(O292:R292)</f>
        <v>1</v>
      </c>
    </row>
    <row r="293" spans="1:19" x14ac:dyDescent="0.2">
      <c r="A293" s="1">
        <v>2</v>
      </c>
      <c r="B293" s="1">
        <v>0</v>
      </c>
      <c r="C293" s="1" t="s">
        <v>35</v>
      </c>
      <c r="D293" s="1" t="s">
        <v>5</v>
      </c>
      <c r="E293" s="1" t="s">
        <v>6</v>
      </c>
      <c r="F293">
        <v>1</v>
      </c>
      <c r="H293" s="17" t="s">
        <v>73</v>
      </c>
      <c r="I293" s="18">
        <v>1</v>
      </c>
      <c r="J293" s="18">
        <v>1</v>
      </c>
      <c r="K293" s="18">
        <v>1</v>
      </c>
      <c r="L293" s="18">
        <v>1</v>
      </c>
      <c r="N293" s="19" t="s">
        <v>98</v>
      </c>
      <c r="O293" s="39">
        <v>1</v>
      </c>
      <c r="P293" s="39">
        <v>1</v>
      </c>
      <c r="Q293" s="39">
        <v>1</v>
      </c>
      <c r="R293" s="39">
        <v>1</v>
      </c>
      <c r="S293">
        <f>AVERAGE(O293:R293)</f>
        <v>1</v>
      </c>
    </row>
    <row r="294" spans="1:19" x14ac:dyDescent="0.2">
      <c r="A294" s="1">
        <v>2</v>
      </c>
      <c r="B294" s="1">
        <v>0</v>
      </c>
      <c r="C294" s="1" t="s">
        <v>36</v>
      </c>
      <c r="D294" s="1" t="s">
        <v>42</v>
      </c>
      <c r="E294" s="1" t="s">
        <v>6</v>
      </c>
      <c r="F294">
        <v>4</v>
      </c>
      <c r="H294" s="17" t="s">
        <v>134</v>
      </c>
      <c r="I294" s="18">
        <v>1</v>
      </c>
      <c r="J294" s="18">
        <v>1</v>
      </c>
      <c r="K294" s="18">
        <v>1</v>
      </c>
      <c r="L294" s="18">
        <v>1</v>
      </c>
      <c r="N294" s="19" t="s">
        <v>8</v>
      </c>
      <c r="O294" s="39">
        <v>1</v>
      </c>
      <c r="P294" s="39">
        <v>1</v>
      </c>
      <c r="Q294" s="39">
        <v>1</v>
      </c>
      <c r="R294" s="39">
        <v>1</v>
      </c>
      <c r="S294">
        <f>AVERAGE(O294:R294)</f>
        <v>1</v>
      </c>
    </row>
    <row r="295" spans="1:19" x14ac:dyDescent="0.2">
      <c r="A295" s="1">
        <v>2</v>
      </c>
      <c r="B295" s="1">
        <v>0</v>
      </c>
      <c r="C295" s="1" t="s">
        <v>188</v>
      </c>
      <c r="D295" s="1" t="s">
        <v>13</v>
      </c>
      <c r="E295" s="1" t="s">
        <v>6</v>
      </c>
      <c r="F295">
        <v>1</v>
      </c>
      <c r="H295" s="17" t="s">
        <v>16</v>
      </c>
      <c r="I295" s="18">
        <v>1</v>
      </c>
      <c r="J295" s="18">
        <v>1</v>
      </c>
      <c r="K295" s="18">
        <v>1</v>
      </c>
      <c r="L295" s="18">
        <v>1</v>
      </c>
      <c r="N295" s="19" t="s">
        <v>112</v>
      </c>
      <c r="O295" s="39">
        <v>1</v>
      </c>
      <c r="P295" s="39">
        <v>1</v>
      </c>
      <c r="Q295" s="39">
        <v>1</v>
      </c>
      <c r="R295" s="39">
        <v>1</v>
      </c>
      <c r="S295">
        <f>AVERAGE(O295:R295)</f>
        <v>1</v>
      </c>
    </row>
    <row r="296" spans="1:19" x14ac:dyDescent="0.2">
      <c r="A296" s="1">
        <v>2</v>
      </c>
      <c r="B296" s="1">
        <v>0</v>
      </c>
      <c r="C296" s="1" t="s">
        <v>38</v>
      </c>
      <c r="D296" s="1" t="s">
        <v>5</v>
      </c>
      <c r="E296" s="1" t="s">
        <v>6</v>
      </c>
      <c r="F296">
        <v>1</v>
      </c>
      <c r="H296" s="17" t="s">
        <v>77</v>
      </c>
      <c r="I296" s="18">
        <v>1</v>
      </c>
      <c r="J296" s="18">
        <v>1</v>
      </c>
      <c r="K296" s="18">
        <v>1</v>
      </c>
      <c r="L296" s="18">
        <v>1</v>
      </c>
      <c r="N296" s="19" t="s">
        <v>153</v>
      </c>
      <c r="O296" s="39">
        <v>1</v>
      </c>
      <c r="P296" s="39">
        <v>1</v>
      </c>
      <c r="Q296" s="39">
        <v>1</v>
      </c>
      <c r="R296" s="39">
        <v>1</v>
      </c>
      <c r="S296">
        <f>AVERAGE(O296:R296)</f>
        <v>1</v>
      </c>
    </row>
    <row r="297" spans="1:19" x14ac:dyDescent="0.2">
      <c r="A297" s="1">
        <v>2</v>
      </c>
      <c r="B297" s="1">
        <v>0</v>
      </c>
      <c r="C297" s="1" t="s">
        <v>39</v>
      </c>
      <c r="D297" s="1" t="s">
        <v>5</v>
      </c>
      <c r="E297" s="1" t="s">
        <v>6</v>
      </c>
      <c r="F297">
        <v>1</v>
      </c>
      <c r="H297" s="17" t="s">
        <v>57</v>
      </c>
      <c r="I297" s="18">
        <v>1</v>
      </c>
      <c r="J297" s="18">
        <v>1</v>
      </c>
      <c r="K297" s="18">
        <v>1</v>
      </c>
      <c r="L297" s="18">
        <v>1</v>
      </c>
      <c r="N297" s="19" t="s">
        <v>60</v>
      </c>
      <c r="O297" s="39">
        <v>1</v>
      </c>
      <c r="P297" s="39">
        <v>1</v>
      </c>
      <c r="Q297" s="39">
        <v>1</v>
      </c>
      <c r="R297" s="39">
        <v>1</v>
      </c>
      <c r="S297">
        <f>AVERAGE(O297:R297)</f>
        <v>1</v>
      </c>
    </row>
    <row r="298" spans="1:19" x14ac:dyDescent="0.2">
      <c r="A298" s="1">
        <v>2</v>
      </c>
      <c r="B298" s="1">
        <v>0</v>
      </c>
      <c r="C298" s="1" t="s">
        <v>189</v>
      </c>
      <c r="D298" s="1" t="s">
        <v>5</v>
      </c>
      <c r="E298" s="1" t="s">
        <v>6</v>
      </c>
      <c r="F298">
        <v>4</v>
      </c>
      <c r="H298" s="17" t="s">
        <v>35</v>
      </c>
      <c r="I298" s="18">
        <v>1</v>
      </c>
      <c r="J298" s="18">
        <v>1</v>
      </c>
      <c r="K298" s="18">
        <v>1</v>
      </c>
      <c r="L298" s="18">
        <v>1</v>
      </c>
      <c r="N298" s="19" t="s">
        <v>28</v>
      </c>
      <c r="O298" s="39">
        <v>1</v>
      </c>
      <c r="P298" s="39">
        <v>1</v>
      </c>
      <c r="Q298" s="39">
        <v>1</v>
      </c>
      <c r="R298" s="39">
        <v>1</v>
      </c>
      <c r="S298">
        <f>AVERAGE(O298:R298)</f>
        <v>1</v>
      </c>
    </row>
    <row r="299" spans="1:19" x14ac:dyDescent="0.2">
      <c r="A299" s="1">
        <v>2</v>
      </c>
      <c r="B299" s="1">
        <v>0</v>
      </c>
      <c r="C299" s="1" t="s">
        <v>189</v>
      </c>
      <c r="D299" s="1" t="s">
        <v>28</v>
      </c>
      <c r="E299" s="1" t="s">
        <v>6</v>
      </c>
      <c r="F299">
        <v>2</v>
      </c>
      <c r="H299" s="17" t="s">
        <v>89</v>
      </c>
      <c r="I299" s="18">
        <v>1</v>
      </c>
      <c r="J299" s="18">
        <v>1</v>
      </c>
      <c r="K299" s="18">
        <v>1</v>
      </c>
      <c r="L299" s="18">
        <v>1</v>
      </c>
      <c r="N299" s="19" t="s">
        <v>109</v>
      </c>
      <c r="O299" s="39">
        <v>1</v>
      </c>
      <c r="P299" s="39">
        <v>1</v>
      </c>
      <c r="Q299" s="39">
        <v>1</v>
      </c>
      <c r="R299" s="39">
        <v>1</v>
      </c>
      <c r="S299">
        <f>AVERAGE(O299:R299)</f>
        <v>1</v>
      </c>
    </row>
    <row r="300" spans="1:19" x14ac:dyDescent="0.2">
      <c r="A300" s="1">
        <v>2</v>
      </c>
      <c r="B300" s="1">
        <v>0</v>
      </c>
      <c r="C300" s="1" t="s">
        <v>43</v>
      </c>
      <c r="D300" s="1" t="s">
        <v>5</v>
      </c>
      <c r="E300" s="1" t="s">
        <v>6</v>
      </c>
      <c r="F300">
        <v>1</v>
      </c>
      <c r="H300" s="17" t="s">
        <v>179</v>
      </c>
      <c r="I300" s="18"/>
      <c r="J300" s="18">
        <v>2</v>
      </c>
      <c r="K300" s="18">
        <v>2</v>
      </c>
      <c r="L300" s="18"/>
      <c r="N300" s="19" t="s">
        <v>182</v>
      </c>
      <c r="O300" s="39">
        <v>0</v>
      </c>
      <c r="P300" s="39">
        <v>2</v>
      </c>
      <c r="Q300" s="39">
        <v>2</v>
      </c>
      <c r="R300" s="39">
        <v>0</v>
      </c>
      <c r="S300">
        <f>AVERAGE(O300:R300)</f>
        <v>1</v>
      </c>
    </row>
    <row r="301" spans="1:19" x14ac:dyDescent="0.2">
      <c r="A301" s="1">
        <v>2</v>
      </c>
      <c r="B301" s="1">
        <v>0</v>
      </c>
      <c r="C301" s="1" t="s">
        <v>44</v>
      </c>
      <c r="D301" s="1" t="s">
        <v>5</v>
      </c>
      <c r="E301" s="1" t="s">
        <v>6</v>
      </c>
      <c r="F301">
        <v>1</v>
      </c>
      <c r="H301" s="17" t="s">
        <v>15</v>
      </c>
      <c r="I301" s="18">
        <v>1</v>
      </c>
      <c r="J301" s="18">
        <v>1</v>
      </c>
      <c r="K301" s="18">
        <v>1</v>
      </c>
      <c r="L301" s="18">
        <v>1</v>
      </c>
      <c r="N301" s="19" t="s">
        <v>190</v>
      </c>
      <c r="O301" s="39">
        <v>0</v>
      </c>
      <c r="P301" s="39">
        <v>2</v>
      </c>
      <c r="Q301" s="39">
        <v>0</v>
      </c>
      <c r="R301" s="39">
        <v>2</v>
      </c>
      <c r="S301">
        <f>AVERAGE(O301:R301)</f>
        <v>1</v>
      </c>
    </row>
    <row r="302" spans="1:19" x14ac:dyDescent="0.2">
      <c r="A302" s="1">
        <v>2</v>
      </c>
      <c r="B302" s="1">
        <v>0</v>
      </c>
      <c r="C302" s="1" t="s">
        <v>44</v>
      </c>
      <c r="D302" s="1" t="s">
        <v>28</v>
      </c>
      <c r="E302" s="1" t="s">
        <v>6</v>
      </c>
      <c r="F302">
        <v>1</v>
      </c>
      <c r="H302" s="17" t="s">
        <v>38</v>
      </c>
      <c r="I302" s="18">
        <v>1</v>
      </c>
      <c r="J302" s="18">
        <v>1</v>
      </c>
      <c r="K302" s="18">
        <v>1</v>
      </c>
      <c r="L302" s="18">
        <v>1</v>
      </c>
      <c r="N302" s="19" t="s">
        <v>237</v>
      </c>
      <c r="O302" s="39">
        <v>0</v>
      </c>
      <c r="P302" s="39">
        <v>0</v>
      </c>
      <c r="Q302" s="39">
        <v>4</v>
      </c>
      <c r="R302" s="39">
        <v>0</v>
      </c>
      <c r="S302">
        <f>AVERAGE(O302:R302)</f>
        <v>1</v>
      </c>
    </row>
    <row r="303" spans="1:19" x14ac:dyDescent="0.2">
      <c r="A303" s="1">
        <v>2</v>
      </c>
      <c r="B303" s="1">
        <v>0</v>
      </c>
      <c r="C303" s="1" t="s">
        <v>45</v>
      </c>
      <c r="D303" s="1" t="s">
        <v>5</v>
      </c>
      <c r="E303" s="1" t="s">
        <v>6</v>
      </c>
      <c r="F303">
        <v>1</v>
      </c>
      <c r="H303" s="17" t="s">
        <v>98</v>
      </c>
      <c r="I303" s="18">
        <v>1</v>
      </c>
      <c r="J303" s="18">
        <v>1</v>
      </c>
      <c r="K303" s="18">
        <v>1</v>
      </c>
      <c r="L303" s="18">
        <v>1</v>
      </c>
      <c r="N303" s="19" t="s">
        <v>233</v>
      </c>
      <c r="O303" s="39">
        <v>0</v>
      </c>
      <c r="P303" s="39">
        <v>0</v>
      </c>
      <c r="Q303" s="39">
        <v>4</v>
      </c>
      <c r="R303" s="39">
        <v>0</v>
      </c>
      <c r="S303">
        <f>AVERAGE(O303:R303)</f>
        <v>1</v>
      </c>
    </row>
    <row r="304" spans="1:19" x14ac:dyDescent="0.2">
      <c r="A304" s="1">
        <v>2</v>
      </c>
      <c r="B304" s="1">
        <v>0</v>
      </c>
      <c r="C304" s="1" t="s">
        <v>46</v>
      </c>
      <c r="D304" s="1" t="s">
        <v>30</v>
      </c>
      <c r="E304" s="1" t="s">
        <v>6</v>
      </c>
      <c r="F304">
        <v>1</v>
      </c>
      <c r="H304" s="17" t="s">
        <v>8</v>
      </c>
      <c r="I304" s="18">
        <v>1</v>
      </c>
      <c r="J304" s="18">
        <v>1</v>
      </c>
      <c r="K304" s="18">
        <v>1</v>
      </c>
      <c r="L304" s="18">
        <v>1</v>
      </c>
      <c r="N304" s="19" t="s">
        <v>194</v>
      </c>
      <c r="O304" s="39">
        <v>0</v>
      </c>
      <c r="P304" s="39">
        <v>3</v>
      </c>
      <c r="Q304" s="39">
        <v>1</v>
      </c>
      <c r="R304" s="39">
        <v>0</v>
      </c>
      <c r="S304">
        <f>AVERAGE(O304:R304)</f>
        <v>1</v>
      </c>
    </row>
    <row r="305" spans="1:19" x14ac:dyDescent="0.2">
      <c r="A305" s="1">
        <v>2</v>
      </c>
      <c r="B305" s="1">
        <v>0</v>
      </c>
      <c r="C305" s="1" t="s">
        <v>190</v>
      </c>
      <c r="D305" s="1" t="s">
        <v>5</v>
      </c>
      <c r="E305" s="1" t="s">
        <v>6</v>
      </c>
      <c r="F305">
        <v>1</v>
      </c>
      <c r="H305" s="17" t="s">
        <v>112</v>
      </c>
      <c r="I305" s="18">
        <v>1</v>
      </c>
      <c r="J305" s="18">
        <v>1</v>
      </c>
      <c r="K305" s="18">
        <v>1</v>
      </c>
      <c r="L305" s="18">
        <v>1</v>
      </c>
      <c r="N305" s="19" t="s">
        <v>246</v>
      </c>
      <c r="O305" s="39">
        <v>0</v>
      </c>
      <c r="P305" s="39">
        <v>0</v>
      </c>
      <c r="Q305" s="39">
        <v>0</v>
      </c>
      <c r="R305" s="39">
        <v>4</v>
      </c>
      <c r="S305">
        <f>AVERAGE(O305:R305)</f>
        <v>1</v>
      </c>
    </row>
    <row r="306" spans="1:19" x14ac:dyDescent="0.2">
      <c r="A306" s="1">
        <v>2</v>
      </c>
      <c r="B306" s="1">
        <v>0</v>
      </c>
      <c r="C306" s="1" t="s">
        <v>190</v>
      </c>
      <c r="D306" s="1" t="s">
        <v>28</v>
      </c>
      <c r="E306" s="1" t="s">
        <v>6</v>
      </c>
      <c r="F306">
        <v>1</v>
      </c>
      <c r="H306" s="17" t="s">
        <v>153</v>
      </c>
      <c r="I306" s="18">
        <v>1</v>
      </c>
      <c r="J306" s="18">
        <v>1</v>
      </c>
      <c r="K306" s="18">
        <v>1</v>
      </c>
      <c r="L306" s="18">
        <v>1</v>
      </c>
      <c r="N306" s="19" t="s">
        <v>248</v>
      </c>
      <c r="O306" s="39">
        <v>0</v>
      </c>
      <c r="P306" s="39">
        <v>0</v>
      </c>
      <c r="Q306" s="39">
        <v>0</v>
      </c>
      <c r="R306" s="39">
        <v>4</v>
      </c>
      <c r="S306">
        <f>AVERAGE(O306:R306)</f>
        <v>1</v>
      </c>
    </row>
    <row r="307" spans="1:19" x14ac:dyDescent="0.2">
      <c r="A307" s="1">
        <v>2</v>
      </c>
      <c r="B307" s="1">
        <v>0</v>
      </c>
      <c r="C307" s="1" t="s">
        <v>47</v>
      </c>
      <c r="D307" s="1" t="s">
        <v>13</v>
      </c>
      <c r="E307" s="1" t="s">
        <v>6</v>
      </c>
      <c r="F307">
        <v>2</v>
      </c>
      <c r="H307" s="17" t="s">
        <v>60</v>
      </c>
      <c r="I307" s="18">
        <v>1</v>
      </c>
      <c r="J307" s="18">
        <v>1</v>
      </c>
      <c r="K307" s="18">
        <v>1</v>
      </c>
      <c r="L307" s="18">
        <v>1</v>
      </c>
      <c r="N307" s="19" t="s">
        <v>227</v>
      </c>
      <c r="O307" s="39">
        <v>0</v>
      </c>
      <c r="P307" s="39">
        <v>0</v>
      </c>
      <c r="Q307" s="39">
        <v>2</v>
      </c>
      <c r="R307" s="39">
        <v>2</v>
      </c>
      <c r="S307">
        <f>AVERAGE(O307:R307)</f>
        <v>1</v>
      </c>
    </row>
    <row r="308" spans="1:19" x14ac:dyDescent="0.2">
      <c r="A308" s="1">
        <v>2</v>
      </c>
      <c r="B308" s="1">
        <v>0</v>
      </c>
      <c r="C308" s="1" t="s">
        <v>48</v>
      </c>
      <c r="D308" s="1" t="s">
        <v>5</v>
      </c>
      <c r="E308" s="1" t="s">
        <v>6</v>
      </c>
      <c r="F308">
        <v>1</v>
      </c>
      <c r="H308" s="17" t="s">
        <v>28</v>
      </c>
      <c r="I308" s="18">
        <v>1</v>
      </c>
      <c r="J308" s="18">
        <v>1</v>
      </c>
      <c r="K308" s="18">
        <v>1</v>
      </c>
      <c r="L308" s="18">
        <v>1</v>
      </c>
      <c r="N308" s="19" t="s">
        <v>179</v>
      </c>
      <c r="O308" s="39">
        <v>0</v>
      </c>
      <c r="P308" s="39">
        <v>2</v>
      </c>
      <c r="Q308" s="39">
        <v>2</v>
      </c>
      <c r="R308" s="39">
        <v>0</v>
      </c>
      <c r="S308">
        <f>AVERAGE(O308:R308)</f>
        <v>1</v>
      </c>
    </row>
    <row r="309" spans="1:19" x14ac:dyDescent="0.2">
      <c r="A309" s="1">
        <v>2</v>
      </c>
      <c r="B309" s="1">
        <v>0</v>
      </c>
      <c r="C309" s="1" t="s">
        <v>49</v>
      </c>
      <c r="D309" s="1" t="s">
        <v>13</v>
      </c>
      <c r="E309" s="1" t="s">
        <v>6</v>
      </c>
      <c r="F309">
        <v>4</v>
      </c>
      <c r="H309" s="17" t="s">
        <v>217</v>
      </c>
      <c r="I309" s="18"/>
      <c r="J309" s="18">
        <v>2</v>
      </c>
      <c r="K309" s="18"/>
      <c r="L309" s="18">
        <v>2</v>
      </c>
      <c r="N309" s="19" t="s">
        <v>217</v>
      </c>
      <c r="O309" s="39">
        <v>0</v>
      </c>
      <c r="P309" s="39">
        <v>2</v>
      </c>
      <c r="Q309" s="39">
        <v>0</v>
      </c>
      <c r="R309" s="39">
        <v>2</v>
      </c>
      <c r="S309">
        <f>AVERAGE(O309:R309)</f>
        <v>1</v>
      </c>
    </row>
    <row r="310" spans="1:19" x14ac:dyDescent="0.2">
      <c r="A310" s="1">
        <v>2</v>
      </c>
      <c r="B310" s="1">
        <v>0</v>
      </c>
      <c r="C310" s="1" t="s">
        <v>49</v>
      </c>
      <c r="D310" s="1" t="s">
        <v>5</v>
      </c>
      <c r="E310" s="1" t="s">
        <v>6</v>
      </c>
      <c r="F310">
        <v>3</v>
      </c>
      <c r="H310" s="17" t="s">
        <v>109</v>
      </c>
      <c r="I310" s="18">
        <v>1</v>
      </c>
      <c r="J310" s="18">
        <v>1</v>
      </c>
      <c r="K310" s="18">
        <v>1</v>
      </c>
      <c r="L310" s="18">
        <v>1</v>
      </c>
      <c r="N310" s="19" t="s">
        <v>127</v>
      </c>
      <c r="O310" s="39">
        <v>3</v>
      </c>
      <c r="P310" s="39">
        <v>0</v>
      </c>
      <c r="Q310" s="39">
        <v>0</v>
      </c>
      <c r="R310" s="39">
        <v>0</v>
      </c>
      <c r="S310">
        <f>AVERAGE(O310:R310)</f>
        <v>0.75</v>
      </c>
    </row>
    <row r="311" spans="1:19" x14ac:dyDescent="0.2">
      <c r="A311" s="1">
        <v>2</v>
      </c>
      <c r="B311" s="1">
        <v>0</v>
      </c>
      <c r="C311" s="1" t="s">
        <v>191</v>
      </c>
      <c r="D311" s="1" t="s">
        <v>13</v>
      </c>
      <c r="E311" s="1" t="s">
        <v>6</v>
      </c>
      <c r="F311">
        <v>4</v>
      </c>
      <c r="H311" s="17" t="s">
        <v>120</v>
      </c>
      <c r="I311" s="18">
        <v>1</v>
      </c>
      <c r="J311" s="18"/>
      <c r="K311" s="18">
        <v>1</v>
      </c>
      <c r="L311" s="18">
        <v>1</v>
      </c>
      <c r="N311" s="19" t="s">
        <v>113</v>
      </c>
      <c r="O311" s="39">
        <v>2</v>
      </c>
      <c r="P311" s="39">
        <v>1</v>
      </c>
      <c r="Q311" s="39">
        <v>0</v>
      </c>
      <c r="R311" s="39">
        <v>0</v>
      </c>
      <c r="S311">
        <f>AVERAGE(O311:R311)</f>
        <v>0.75</v>
      </c>
    </row>
    <row r="312" spans="1:19" x14ac:dyDescent="0.2">
      <c r="A312" s="1">
        <v>2</v>
      </c>
      <c r="B312" s="1">
        <v>0</v>
      </c>
      <c r="C312" s="1" t="s">
        <v>191</v>
      </c>
      <c r="D312" s="1" t="s">
        <v>5</v>
      </c>
      <c r="E312" s="1" t="s">
        <v>6</v>
      </c>
      <c r="F312">
        <v>2</v>
      </c>
      <c r="H312" s="17" t="s">
        <v>196</v>
      </c>
      <c r="I312" s="18"/>
      <c r="J312" s="18">
        <v>1</v>
      </c>
      <c r="K312" s="18">
        <v>1</v>
      </c>
      <c r="L312" s="18">
        <v>1</v>
      </c>
      <c r="N312" s="19" t="s">
        <v>120</v>
      </c>
      <c r="O312" s="39">
        <v>1</v>
      </c>
      <c r="P312" s="39">
        <v>0</v>
      </c>
      <c r="Q312" s="39">
        <v>1</v>
      </c>
      <c r="R312" s="39">
        <v>1</v>
      </c>
      <c r="S312">
        <f>AVERAGE(O312:R312)</f>
        <v>0.75</v>
      </c>
    </row>
    <row r="313" spans="1:19" x14ac:dyDescent="0.2">
      <c r="A313" s="1">
        <v>2</v>
      </c>
      <c r="B313" s="1">
        <v>0</v>
      </c>
      <c r="C313" s="1" t="s">
        <v>192</v>
      </c>
      <c r="D313" s="1" t="s">
        <v>5</v>
      </c>
      <c r="E313" s="1" t="s">
        <v>6</v>
      </c>
      <c r="F313">
        <v>1</v>
      </c>
      <c r="H313" s="17" t="s">
        <v>203</v>
      </c>
      <c r="I313" s="18"/>
      <c r="J313" s="18">
        <v>1</v>
      </c>
      <c r="K313" s="18">
        <v>2</v>
      </c>
      <c r="L313" s="18"/>
      <c r="N313" s="19" t="s">
        <v>156</v>
      </c>
      <c r="O313" s="39">
        <v>1</v>
      </c>
      <c r="P313" s="39">
        <v>1</v>
      </c>
      <c r="Q313" s="39">
        <v>1</v>
      </c>
      <c r="R313" s="39">
        <v>0</v>
      </c>
      <c r="S313">
        <f>AVERAGE(O313:R313)</f>
        <v>0.75</v>
      </c>
    </row>
    <row r="314" spans="1:19" x14ac:dyDescent="0.2">
      <c r="A314" s="1">
        <v>2</v>
      </c>
      <c r="B314" s="1">
        <v>0</v>
      </c>
      <c r="C314" s="1" t="s">
        <v>50</v>
      </c>
      <c r="D314" s="1" t="s">
        <v>13</v>
      </c>
      <c r="E314" s="1" t="s">
        <v>6</v>
      </c>
      <c r="F314">
        <v>2</v>
      </c>
      <c r="H314" s="17" t="s">
        <v>209</v>
      </c>
      <c r="I314" s="18"/>
      <c r="J314" s="18">
        <v>1</v>
      </c>
      <c r="K314" s="18">
        <v>1</v>
      </c>
      <c r="L314" s="18">
        <v>1</v>
      </c>
      <c r="N314" s="19" t="s">
        <v>80</v>
      </c>
      <c r="O314" s="39">
        <v>1</v>
      </c>
      <c r="P314" s="39">
        <v>1</v>
      </c>
      <c r="Q314" s="39">
        <v>1</v>
      </c>
      <c r="R314" s="39">
        <v>0</v>
      </c>
      <c r="S314">
        <f>AVERAGE(O314:R314)</f>
        <v>0.75</v>
      </c>
    </row>
    <row r="315" spans="1:19" x14ac:dyDescent="0.2">
      <c r="A315" s="1">
        <v>2</v>
      </c>
      <c r="B315" s="1">
        <v>0</v>
      </c>
      <c r="C315" s="1" t="s">
        <v>193</v>
      </c>
      <c r="D315" s="1" t="s">
        <v>5</v>
      </c>
      <c r="E315" s="1" t="s">
        <v>6</v>
      </c>
      <c r="F315">
        <v>3</v>
      </c>
      <c r="H315" s="17" t="s">
        <v>156</v>
      </c>
      <c r="I315" s="18">
        <v>1</v>
      </c>
      <c r="J315" s="18">
        <v>1</v>
      </c>
      <c r="K315" s="18">
        <v>1</v>
      </c>
      <c r="L315" s="18"/>
      <c r="N315" s="19" t="s">
        <v>79</v>
      </c>
      <c r="O315" s="39">
        <v>1</v>
      </c>
      <c r="P315" s="39">
        <v>1</v>
      </c>
      <c r="Q315" s="39">
        <v>0</v>
      </c>
      <c r="R315" s="39">
        <v>1</v>
      </c>
      <c r="S315">
        <f>AVERAGE(O315:R315)</f>
        <v>0.75</v>
      </c>
    </row>
    <row r="316" spans="1:19" x14ac:dyDescent="0.2">
      <c r="A316" s="1">
        <v>2</v>
      </c>
      <c r="B316" s="1">
        <v>0</v>
      </c>
      <c r="C316" s="1" t="s">
        <v>194</v>
      </c>
      <c r="D316" s="1" t="s">
        <v>5</v>
      </c>
      <c r="E316" s="1" t="s">
        <v>6</v>
      </c>
      <c r="F316">
        <v>3</v>
      </c>
      <c r="H316" s="17" t="s">
        <v>200</v>
      </c>
      <c r="I316" s="18"/>
      <c r="J316" s="18">
        <v>3</v>
      </c>
      <c r="K316" s="18"/>
      <c r="L316" s="18"/>
      <c r="N316" s="19" t="s">
        <v>141</v>
      </c>
      <c r="O316" s="39">
        <v>1</v>
      </c>
      <c r="P316" s="39">
        <v>1</v>
      </c>
      <c r="Q316" s="39">
        <v>1</v>
      </c>
      <c r="R316" s="39">
        <v>0</v>
      </c>
      <c r="S316">
        <f>AVERAGE(O316:R316)</f>
        <v>0.75</v>
      </c>
    </row>
    <row r="317" spans="1:19" x14ac:dyDescent="0.2">
      <c r="A317" s="1">
        <v>2</v>
      </c>
      <c r="B317" s="1">
        <v>0</v>
      </c>
      <c r="C317" s="1" t="s">
        <v>51</v>
      </c>
      <c r="D317" s="1" t="s">
        <v>5</v>
      </c>
      <c r="E317" s="1" t="s">
        <v>6</v>
      </c>
      <c r="F317">
        <v>1</v>
      </c>
      <c r="H317" s="17" t="s">
        <v>202</v>
      </c>
      <c r="I317" s="18"/>
      <c r="J317" s="18">
        <v>1</v>
      </c>
      <c r="K317" s="18">
        <v>1</v>
      </c>
      <c r="L317" s="18">
        <v>1</v>
      </c>
      <c r="N317" s="19" t="s">
        <v>159</v>
      </c>
      <c r="O317" s="39">
        <v>1</v>
      </c>
      <c r="P317" s="39">
        <v>1</v>
      </c>
      <c r="Q317" s="39">
        <v>1</v>
      </c>
      <c r="R317" s="39">
        <v>0</v>
      </c>
      <c r="S317">
        <f>AVERAGE(O317:R317)</f>
        <v>0.75</v>
      </c>
    </row>
    <row r="318" spans="1:19" x14ac:dyDescent="0.2">
      <c r="A318" s="1">
        <v>2</v>
      </c>
      <c r="B318" s="1">
        <v>0</v>
      </c>
      <c r="C318" s="1" t="s">
        <v>52</v>
      </c>
      <c r="D318" s="1" t="s">
        <v>13</v>
      </c>
      <c r="E318" s="1" t="s">
        <v>6</v>
      </c>
      <c r="F318">
        <v>2</v>
      </c>
      <c r="H318" s="17" t="s">
        <v>184</v>
      </c>
      <c r="I318" s="18"/>
      <c r="J318" s="18">
        <v>1</v>
      </c>
      <c r="K318" s="18">
        <v>1</v>
      </c>
      <c r="L318" s="18">
        <v>1</v>
      </c>
      <c r="N318" s="19" t="s">
        <v>196</v>
      </c>
      <c r="O318" s="39">
        <v>0</v>
      </c>
      <c r="P318" s="39">
        <v>1</v>
      </c>
      <c r="Q318" s="39">
        <v>1</v>
      </c>
      <c r="R318" s="39">
        <v>1</v>
      </c>
      <c r="S318">
        <f>AVERAGE(O318:R318)</f>
        <v>0.75</v>
      </c>
    </row>
    <row r="319" spans="1:19" x14ac:dyDescent="0.2">
      <c r="A319" s="1">
        <v>2</v>
      </c>
      <c r="B319" s="1">
        <v>0</v>
      </c>
      <c r="C319" s="1" t="s">
        <v>52</v>
      </c>
      <c r="D319" s="1" t="s">
        <v>5</v>
      </c>
      <c r="E319" s="1" t="s">
        <v>6</v>
      </c>
      <c r="F319">
        <v>1</v>
      </c>
      <c r="H319" s="17" t="s">
        <v>80</v>
      </c>
      <c r="I319" s="18">
        <v>1</v>
      </c>
      <c r="J319" s="18">
        <v>1</v>
      </c>
      <c r="K319" s="18">
        <v>1</v>
      </c>
      <c r="L319" s="18"/>
      <c r="N319" s="19" t="s">
        <v>203</v>
      </c>
      <c r="O319" s="39">
        <v>0</v>
      </c>
      <c r="P319" s="39">
        <v>1</v>
      </c>
      <c r="Q319" s="39">
        <v>2</v>
      </c>
      <c r="R319" s="39">
        <v>0</v>
      </c>
      <c r="S319">
        <f>AVERAGE(O319:R319)</f>
        <v>0.75</v>
      </c>
    </row>
    <row r="320" spans="1:19" x14ac:dyDescent="0.2">
      <c r="A320" s="1">
        <v>2</v>
      </c>
      <c r="B320" s="1">
        <v>0</v>
      </c>
      <c r="C320" s="1" t="s">
        <v>53</v>
      </c>
      <c r="D320" s="1" t="s">
        <v>28</v>
      </c>
      <c r="E320" s="1" t="s">
        <v>6</v>
      </c>
      <c r="F320">
        <v>3</v>
      </c>
      <c r="H320" s="17" t="s">
        <v>79</v>
      </c>
      <c r="I320" s="18">
        <v>1</v>
      </c>
      <c r="J320" s="18">
        <v>1</v>
      </c>
      <c r="K320" s="18"/>
      <c r="L320" s="18">
        <v>1</v>
      </c>
      <c r="N320" s="19" t="s">
        <v>209</v>
      </c>
      <c r="O320" s="39">
        <v>0</v>
      </c>
      <c r="P320" s="39">
        <v>1</v>
      </c>
      <c r="Q320" s="39">
        <v>1</v>
      </c>
      <c r="R320" s="39">
        <v>1</v>
      </c>
      <c r="S320">
        <f>AVERAGE(O320:R320)</f>
        <v>0.75</v>
      </c>
    </row>
    <row r="321" spans="1:19" x14ac:dyDescent="0.2">
      <c r="A321" s="1">
        <v>2</v>
      </c>
      <c r="B321" s="1">
        <v>0</v>
      </c>
      <c r="C321" s="1" t="s">
        <v>54</v>
      </c>
      <c r="D321" s="1" t="s">
        <v>13</v>
      </c>
      <c r="E321" s="1" t="s">
        <v>6</v>
      </c>
      <c r="F321">
        <v>1</v>
      </c>
      <c r="H321" s="17" t="s">
        <v>250</v>
      </c>
      <c r="I321" s="18"/>
      <c r="J321" s="18"/>
      <c r="K321" s="18"/>
      <c r="L321" s="18">
        <v>3</v>
      </c>
      <c r="N321" s="19" t="s">
        <v>200</v>
      </c>
      <c r="O321" s="39">
        <v>0</v>
      </c>
      <c r="P321" s="39">
        <v>3</v>
      </c>
      <c r="Q321" s="39">
        <v>0</v>
      </c>
      <c r="R321" s="39">
        <v>0</v>
      </c>
      <c r="S321">
        <f>AVERAGE(O321:R321)</f>
        <v>0.75</v>
      </c>
    </row>
    <row r="322" spans="1:19" x14ac:dyDescent="0.2">
      <c r="A322" s="1">
        <v>2</v>
      </c>
      <c r="B322" s="1">
        <v>0</v>
      </c>
      <c r="C322" s="1" t="s">
        <v>195</v>
      </c>
      <c r="D322" s="1" t="s">
        <v>13</v>
      </c>
      <c r="E322" s="1" t="s">
        <v>6</v>
      </c>
      <c r="F322">
        <v>1</v>
      </c>
      <c r="H322" s="17" t="s">
        <v>207</v>
      </c>
      <c r="I322" s="18"/>
      <c r="J322" s="18">
        <v>1</v>
      </c>
      <c r="K322" s="18"/>
      <c r="L322" s="18">
        <v>2</v>
      </c>
      <c r="N322" s="19" t="s">
        <v>202</v>
      </c>
      <c r="O322" s="39">
        <v>0</v>
      </c>
      <c r="P322" s="39">
        <v>1</v>
      </c>
      <c r="Q322" s="39">
        <v>1</v>
      </c>
      <c r="R322" s="39">
        <v>1</v>
      </c>
      <c r="S322">
        <f>AVERAGE(O322:R322)</f>
        <v>0.75</v>
      </c>
    </row>
    <row r="323" spans="1:19" x14ac:dyDescent="0.2">
      <c r="A323" s="1">
        <v>2</v>
      </c>
      <c r="B323" s="1">
        <v>0</v>
      </c>
      <c r="C323" s="1" t="s">
        <v>196</v>
      </c>
      <c r="D323" s="1" t="s">
        <v>5</v>
      </c>
      <c r="E323" s="1" t="s">
        <v>6</v>
      </c>
      <c r="F323">
        <v>1</v>
      </c>
      <c r="H323" s="17" t="s">
        <v>141</v>
      </c>
      <c r="I323" s="18">
        <v>1</v>
      </c>
      <c r="J323" s="18">
        <v>1</v>
      </c>
      <c r="K323" s="18">
        <v>1</v>
      </c>
      <c r="L323" s="18"/>
      <c r="N323" s="19" t="s">
        <v>184</v>
      </c>
      <c r="O323" s="39">
        <v>0</v>
      </c>
      <c r="P323" s="39">
        <v>1</v>
      </c>
      <c r="Q323" s="39">
        <v>1</v>
      </c>
      <c r="R323" s="39">
        <v>1</v>
      </c>
      <c r="S323">
        <f>AVERAGE(O323:R323)</f>
        <v>0.75</v>
      </c>
    </row>
    <row r="324" spans="1:19" x14ac:dyDescent="0.2">
      <c r="A324" s="1">
        <v>2</v>
      </c>
      <c r="B324" s="1">
        <v>0</v>
      </c>
      <c r="C324" s="1" t="s">
        <v>57</v>
      </c>
      <c r="D324" s="1" t="s">
        <v>5</v>
      </c>
      <c r="E324" s="1" t="s">
        <v>6</v>
      </c>
      <c r="F324">
        <v>1</v>
      </c>
      <c r="H324" s="17" t="s">
        <v>113</v>
      </c>
      <c r="I324" s="18">
        <v>2</v>
      </c>
      <c r="J324" s="18">
        <v>1</v>
      </c>
      <c r="K324" s="18"/>
      <c r="L324" s="18"/>
      <c r="N324" s="19" t="s">
        <v>250</v>
      </c>
      <c r="O324" s="39">
        <v>0</v>
      </c>
      <c r="P324" s="39">
        <v>0</v>
      </c>
      <c r="Q324" s="39">
        <v>0</v>
      </c>
      <c r="R324" s="39">
        <v>3</v>
      </c>
      <c r="S324">
        <f>AVERAGE(O324:R324)</f>
        <v>0.75</v>
      </c>
    </row>
    <row r="325" spans="1:19" x14ac:dyDescent="0.2">
      <c r="A325" s="1">
        <v>2</v>
      </c>
      <c r="B325" s="1">
        <v>0</v>
      </c>
      <c r="C325" s="1" t="s">
        <v>58</v>
      </c>
      <c r="D325" s="1" t="s">
        <v>13</v>
      </c>
      <c r="E325" s="1" t="s">
        <v>6</v>
      </c>
      <c r="F325">
        <v>2</v>
      </c>
      <c r="H325" s="17" t="s">
        <v>235</v>
      </c>
      <c r="I325" s="18"/>
      <c r="J325" s="18"/>
      <c r="K325" s="18">
        <v>3</v>
      </c>
      <c r="L325" s="18"/>
      <c r="N325" s="19" t="s">
        <v>207</v>
      </c>
      <c r="O325" s="39">
        <v>0</v>
      </c>
      <c r="P325" s="39">
        <v>1</v>
      </c>
      <c r="Q325" s="39">
        <v>0</v>
      </c>
      <c r="R325" s="39">
        <v>2</v>
      </c>
      <c r="S325">
        <f>AVERAGE(O325:R325)</f>
        <v>0.75</v>
      </c>
    </row>
    <row r="326" spans="1:19" x14ac:dyDescent="0.2">
      <c r="A326" s="1">
        <v>2</v>
      </c>
      <c r="B326" s="1">
        <v>0</v>
      </c>
      <c r="C326" s="1" t="s">
        <v>58</v>
      </c>
      <c r="D326" s="1" t="s">
        <v>5</v>
      </c>
      <c r="E326" s="1" t="s">
        <v>6</v>
      </c>
      <c r="F326">
        <v>1</v>
      </c>
      <c r="H326" s="17" t="s">
        <v>159</v>
      </c>
      <c r="I326" s="18">
        <v>1</v>
      </c>
      <c r="J326" s="18">
        <v>1</v>
      </c>
      <c r="K326" s="18">
        <v>1</v>
      </c>
      <c r="L326" s="18"/>
      <c r="N326" s="19" t="s">
        <v>235</v>
      </c>
      <c r="O326" s="39">
        <v>0</v>
      </c>
      <c r="P326" s="39">
        <v>0</v>
      </c>
      <c r="Q326" s="39">
        <v>3</v>
      </c>
      <c r="R326" s="39">
        <v>0</v>
      </c>
      <c r="S326">
        <f>AVERAGE(O326:R326)</f>
        <v>0.75</v>
      </c>
    </row>
    <row r="327" spans="1:19" x14ac:dyDescent="0.2">
      <c r="A327" s="1">
        <v>2</v>
      </c>
      <c r="B327" s="1">
        <v>0</v>
      </c>
      <c r="C327" s="1" t="s">
        <v>59</v>
      </c>
      <c r="D327" s="1" t="s">
        <v>28</v>
      </c>
      <c r="E327" s="1" t="s">
        <v>6</v>
      </c>
      <c r="F327">
        <v>2</v>
      </c>
      <c r="H327" s="17" t="s">
        <v>127</v>
      </c>
      <c r="I327" s="18">
        <v>3</v>
      </c>
      <c r="J327" s="18"/>
      <c r="K327" s="18"/>
      <c r="L327" s="18"/>
      <c r="N327" s="19" t="s">
        <v>210</v>
      </c>
      <c r="O327" s="39">
        <v>0</v>
      </c>
      <c r="P327" s="39">
        <v>3</v>
      </c>
      <c r="Q327" s="39">
        <v>0</v>
      </c>
      <c r="R327" s="39">
        <v>0</v>
      </c>
      <c r="S327">
        <f>AVERAGE(O327:R327)</f>
        <v>0.75</v>
      </c>
    </row>
    <row r="328" spans="1:19" x14ac:dyDescent="0.2">
      <c r="A328" s="1">
        <v>2</v>
      </c>
      <c r="B328" s="1">
        <v>0</v>
      </c>
      <c r="C328" s="1" t="s">
        <v>28</v>
      </c>
      <c r="D328" s="1" t="s">
        <v>5</v>
      </c>
      <c r="E328" s="1" t="s">
        <v>6</v>
      </c>
      <c r="F328">
        <v>1</v>
      </c>
      <c r="H328" s="17" t="s">
        <v>210</v>
      </c>
      <c r="I328" s="18"/>
      <c r="J328" s="18">
        <v>3</v>
      </c>
      <c r="K328" s="18"/>
      <c r="L328" s="18"/>
      <c r="N328" s="19" t="s">
        <v>65</v>
      </c>
      <c r="O328" s="39">
        <v>2</v>
      </c>
      <c r="P328" s="39">
        <v>0</v>
      </c>
      <c r="Q328" s="39">
        <v>0</v>
      </c>
      <c r="R328" s="39">
        <v>0</v>
      </c>
      <c r="S328">
        <f>AVERAGE(O328:R328)</f>
        <v>0.5</v>
      </c>
    </row>
    <row r="329" spans="1:19" x14ac:dyDescent="0.2">
      <c r="A329" s="1">
        <v>2</v>
      </c>
      <c r="B329" s="1">
        <v>0</v>
      </c>
      <c r="C329" s="1" t="s">
        <v>60</v>
      </c>
      <c r="D329" s="1" t="s">
        <v>13</v>
      </c>
      <c r="E329" s="1" t="s">
        <v>6</v>
      </c>
      <c r="F329">
        <v>1</v>
      </c>
      <c r="H329" s="17" t="s">
        <v>151</v>
      </c>
      <c r="I329" s="18">
        <v>1</v>
      </c>
      <c r="J329" s="18">
        <v>1</v>
      </c>
      <c r="K329" s="18"/>
      <c r="L329" s="18"/>
      <c r="N329" s="19" t="s">
        <v>71</v>
      </c>
      <c r="O329" s="39">
        <v>2</v>
      </c>
      <c r="P329" s="39">
        <v>0</v>
      </c>
      <c r="Q329" s="39">
        <v>0</v>
      </c>
      <c r="R329" s="39">
        <v>0</v>
      </c>
      <c r="S329">
        <f>AVERAGE(O329:R329)</f>
        <v>0.5</v>
      </c>
    </row>
    <row r="330" spans="1:19" x14ac:dyDescent="0.2">
      <c r="A330" s="1">
        <v>2</v>
      </c>
      <c r="B330" s="1">
        <v>0</v>
      </c>
      <c r="C330" s="1" t="s">
        <v>61</v>
      </c>
      <c r="D330" s="1" t="s">
        <v>5</v>
      </c>
      <c r="E330" s="1" t="s">
        <v>6</v>
      </c>
      <c r="F330">
        <v>2</v>
      </c>
      <c r="H330" s="17" t="s">
        <v>41</v>
      </c>
      <c r="I330" s="18">
        <v>1</v>
      </c>
      <c r="J330" s="18"/>
      <c r="K330" s="18">
        <v>1</v>
      </c>
      <c r="L330" s="18"/>
      <c r="N330" s="19" t="s">
        <v>11</v>
      </c>
      <c r="O330" s="39">
        <v>2</v>
      </c>
      <c r="P330" s="39">
        <v>0</v>
      </c>
      <c r="Q330" s="39">
        <v>0</v>
      </c>
      <c r="R330" s="39">
        <v>0</v>
      </c>
      <c r="S330">
        <f>AVERAGE(O330:R330)</f>
        <v>0.5</v>
      </c>
    </row>
    <row r="331" spans="1:19" x14ac:dyDescent="0.2">
      <c r="A331" s="1">
        <v>2</v>
      </c>
      <c r="B331" s="1">
        <v>0</v>
      </c>
      <c r="C331" s="1" t="s">
        <v>62</v>
      </c>
      <c r="D331" s="1" t="s">
        <v>5</v>
      </c>
      <c r="E331" s="1" t="s">
        <v>6</v>
      </c>
      <c r="F331">
        <v>1</v>
      </c>
      <c r="H331" s="17" t="s">
        <v>65</v>
      </c>
      <c r="I331" s="18">
        <v>2</v>
      </c>
      <c r="J331" s="18"/>
      <c r="K331" s="18"/>
      <c r="L331" s="18"/>
      <c r="N331" s="19" t="s">
        <v>151</v>
      </c>
      <c r="O331" s="39">
        <v>1</v>
      </c>
      <c r="P331" s="39">
        <v>1</v>
      </c>
      <c r="Q331" s="39">
        <v>0</v>
      </c>
      <c r="R331" s="39">
        <v>0</v>
      </c>
      <c r="S331">
        <f>AVERAGE(O331:R331)</f>
        <v>0.5</v>
      </c>
    </row>
    <row r="332" spans="1:19" x14ac:dyDescent="0.2">
      <c r="A332" s="1">
        <v>2</v>
      </c>
      <c r="B332" s="1">
        <v>0</v>
      </c>
      <c r="C332" s="1" t="s">
        <v>63</v>
      </c>
      <c r="D332" s="1" t="s">
        <v>5</v>
      </c>
      <c r="E332" s="1" t="s">
        <v>6</v>
      </c>
      <c r="F332">
        <v>2</v>
      </c>
      <c r="H332" s="17" t="s">
        <v>201</v>
      </c>
      <c r="I332" s="18"/>
      <c r="J332" s="18">
        <v>2</v>
      </c>
      <c r="K332" s="18"/>
      <c r="L332" s="18"/>
      <c r="N332" s="19" t="s">
        <v>41</v>
      </c>
      <c r="O332" s="39">
        <v>1</v>
      </c>
      <c r="P332" s="39">
        <v>0</v>
      </c>
      <c r="Q332" s="39">
        <v>1</v>
      </c>
      <c r="R332" s="39">
        <v>0</v>
      </c>
      <c r="S332">
        <f>AVERAGE(O332:R332)</f>
        <v>0.5</v>
      </c>
    </row>
    <row r="333" spans="1:19" x14ac:dyDescent="0.2">
      <c r="A333" s="1">
        <v>2</v>
      </c>
      <c r="B333" s="1">
        <v>0</v>
      </c>
      <c r="C333" s="1" t="s">
        <v>64</v>
      </c>
      <c r="D333" s="1" t="s">
        <v>52</v>
      </c>
      <c r="E333" s="1" t="s">
        <v>6</v>
      </c>
      <c r="F333">
        <v>1</v>
      </c>
      <c r="H333" s="17" t="s">
        <v>19</v>
      </c>
      <c r="I333" s="18">
        <v>1</v>
      </c>
      <c r="J333" s="18"/>
      <c r="K333" s="18"/>
      <c r="L333" s="18">
        <v>1</v>
      </c>
      <c r="N333" s="19" t="s">
        <v>19</v>
      </c>
      <c r="O333" s="39">
        <v>1</v>
      </c>
      <c r="P333" s="39">
        <v>0</v>
      </c>
      <c r="Q333" s="39">
        <v>0</v>
      </c>
      <c r="R333" s="39">
        <v>1</v>
      </c>
      <c r="S333">
        <f>AVERAGE(O333:R333)</f>
        <v>0.5</v>
      </c>
    </row>
    <row r="334" spans="1:19" x14ac:dyDescent="0.2">
      <c r="A334" s="1">
        <v>2</v>
      </c>
      <c r="B334" s="1">
        <v>0</v>
      </c>
      <c r="C334" s="1" t="s">
        <v>64</v>
      </c>
      <c r="D334" s="1" t="s">
        <v>5</v>
      </c>
      <c r="E334" s="1" t="s">
        <v>6</v>
      </c>
      <c r="F334">
        <v>1</v>
      </c>
      <c r="H334" s="17" t="s">
        <v>252</v>
      </c>
      <c r="I334" s="18"/>
      <c r="J334" s="18"/>
      <c r="K334" s="18"/>
      <c r="L334" s="18">
        <v>2</v>
      </c>
      <c r="N334" s="19" t="s">
        <v>55</v>
      </c>
      <c r="O334" s="39">
        <v>1</v>
      </c>
      <c r="P334" s="39">
        <v>0</v>
      </c>
      <c r="Q334" s="39">
        <v>1</v>
      </c>
      <c r="R334" s="39">
        <v>0</v>
      </c>
      <c r="S334">
        <f>AVERAGE(O334:R334)</f>
        <v>0.5</v>
      </c>
    </row>
    <row r="335" spans="1:19" x14ac:dyDescent="0.2">
      <c r="A335" s="1">
        <v>2</v>
      </c>
      <c r="B335" s="1">
        <v>0</v>
      </c>
      <c r="C335" s="1" t="s">
        <v>66</v>
      </c>
      <c r="D335" s="1" t="s">
        <v>5</v>
      </c>
      <c r="E335" s="1" t="s">
        <v>6</v>
      </c>
      <c r="F335">
        <v>1</v>
      </c>
      <c r="H335" s="17" t="s">
        <v>188</v>
      </c>
      <c r="I335" s="18"/>
      <c r="J335" s="18">
        <v>1</v>
      </c>
      <c r="K335" s="18">
        <v>1</v>
      </c>
      <c r="L335" s="18"/>
      <c r="N335" s="19" t="s">
        <v>91</v>
      </c>
      <c r="O335" s="39">
        <v>1</v>
      </c>
      <c r="P335" s="39">
        <v>0</v>
      </c>
      <c r="Q335" s="39">
        <v>1</v>
      </c>
      <c r="R335" s="39">
        <v>0</v>
      </c>
      <c r="S335">
        <f>AVERAGE(O335:R335)</f>
        <v>0.5</v>
      </c>
    </row>
    <row r="336" spans="1:19" x14ac:dyDescent="0.2">
      <c r="A336" s="1">
        <v>2</v>
      </c>
      <c r="B336" s="1">
        <v>0</v>
      </c>
      <c r="C336" s="1" t="s">
        <v>67</v>
      </c>
      <c r="D336" s="1" t="s">
        <v>5</v>
      </c>
      <c r="E336" s="1" t="s">
        <v>6</v>
      </c>
      <c r="F336">
        <v>2</v>
      </c>
      <c r="H336" s="17" t="s">
        <v>185</v>
      </c>
      <c r="I336" s="18"/>
      <c r="J336" s="18">
        <v>1</v>
      </c>
      <c r="K336" s="18"/>
      <c r="L336" s="18">
        <v>1</v>
      </c>
      <c r="N336" s="19" t="s">
        <v>135</v>
      </c>
      <c r="O336" s="39">
        <v>1</v>
      </c>
      <c r="P336" s="39">
        <v>0</v>
      </c>
      <c r="Q336" s="39">
        <v>1</v>
      </c>
      <c r="R336" s="39">
        <v>0</v>
      </c>
      <c r="S336">
        <f>AVERAGE(O336:R336)</f>
        <v>0.5</v>
      </c>
    </row>
    <row r="337" spans="1:19" x14ac:dyDescent="0.2">
      <c r="A337" s="1">
        <v>2</v>
      </c>
      <c r="B337" s="1">
        <v>0</v>
      </c>
      <c r="C337" s="1" t="s">
        <v>67</v>
      </c>
      <c r="D337" s="1" t="s">
        <v>28</v>
      </c>
      <c r="E337" s="1" t="s">
        <v>6</v>
      </c>
      <c r="F337">
        <v>2</v>
      </c>
      <c r="H337" s="17" t="s">
        <v>55</v>
      </c>
      <c r="I337" s="18">
        <v>1</v>
      </c>
      <c r="J337" s="18"/>
      <c r="K337" s="18">
        <v>1</v>
      </c>
      <c r="L337" s="18"/>
      <c r="N337" s="19" t="s">
        <v>201</v>
      </c>
      <c r="O337" s="39">
        <v>0</v>
      </c>
      <c r="P337" s="39">
        <v>2</v>
      </c>
      <c r="Q337" s="39">
        <v>0</v>
      </c>
      <c r="R337" s="39">
        <v>0</v>
      </c>
      <c r="S337">
        <f>AVERAGE(O337:R337)</f>
        <v>0.5</v>
      </c>
    </row>
    <row r="338" spans="1:19" x14ac:dyDescent="0.2">
      <c r="A338" s="1">
        <v>2</v>
      </c>
      <c r="B338" s="1">
        <v>0</v>
      </c>
      <c r="C338" s="1" t="s">
        <v>67</v>
      </c>
      <c r="D338" s="1" t="s">
        <v>30</v>
      </c>
      <c r="E338" s="1" t="s">
        <v>6</v>
      </c>
      <c r="F338">
        <v>2</v>
      </c>
      <c r="H338" s="17" t="s">
        <v>228</v>
      </c>
      <c r="I338" s="18"/>
      <c r="J338" s="18"/>
      <c r="K338" s="18">
        <v>1</v>
      </c>
      <c r="L338" s="18">
        <v>1</v>
      </c>
      <c r="N338" s="19" t="s">
        <v>252</v>
      </c>
      <c r="O338" s="39">
        <v>0</v>
      </c>
      <c r="P338" s="39">
        <v>0</v>
      </c>
      <c r="Q338" s="39">
        <v>0</v>
      </c>
      <c r="R338" s="39">
        <v>2</v>
      </c>
      <c r="S338">
        <f>AVERAGE(O338:R338)</f>
        <v>0.5</v>
      </c>
    </row>
    <row r="339" spans="1:19" x14ac:dyDescent="0.2">
      <c r="A339" s="1">
        <v>2</v>
      </c>
      <c r="B339" s="1">
        <v>0</v>
      </c>
      <c r="C339" s="1" t="s">
        <v>68</v>
      </c>
      <c r="D339" s="1" t="s">
        <v>5</v>
      </c>
      <c r="E339" s="1" t="s">
        <v>6</v>
      </c>
      <c r="F339">
        <v>1</v>
      </c>
      <c r="H339" s="17" t="s">
        <v>195</v>
      </c>
      <c r="I339" s="18"/>
      <c r="J339" s="18">
        <v>1</v>
      </c>
      <c r="K339" s="18">
        <v>1</v>
      </c>
      <c r="L339" s="18"/>
      <c r="N339" s="19" t="s">
        <v>188</v>
      </c>
      <c r="O339" s="39">
        <v>0</v>
      </c>
      <c r="P339" s="39">
        <v>1</v>
      </c>
      <c r="Q339" s="39">
        <v>1</v>
      </c>
      <c r="R339" s="39">
        <v>0</v>
      </c>
      <c r="S339">
        <f>AVERAGE(O339:R339)</f>
        <v>0.5</v>
      </c>
    </row>
    <row r="340" spans="1:19" x14ac:dyDescent="0.2">
      <c r="A340" s="1">
        <v>2</v>
      </c>
      <c r="B340" s="1">
        <v>0</v>
      </c>
      <c r="C340" s="1" t="s">
        <v>69</v>
      </c>
      <c r="D340" s="1" t="s">
        <v>5</v>
      </c>
      <c r="E340" s="1" t="s">
        <v>6</v>
      </c>
      <c r="F340">
        <v>3</v>
      </c>
      <c r="H340" s="17" t="s">
        <v>238</v>
      </c>
      <c r="I340" s="18"/>
      <c r="J340" s="18"/>
      <c r="K340" s="18">
        <v>1</v>
      </c>
      <c r="L340" s="18">
        <v>1</v>
      </c>
      <c r="N340" s="19" t="s">
        <v>185</v>
      </c>
      <c r="O340" s="39">
        <v>0</v>
      </c>
      <c r="P340" s="39">
        <v>1</v>
      </c>
      <c r="Q340" s="39">
        <v>0</v>
      </c>
      <c r="R340" s="39">
        <v>1</v>
      </c>
      <c r="S340">
        <f>AVERAGE(O340:R340)</f>
        <v>0.5</v>
      </c>
    </row>
    <row r="341" spans="1:19" x14ac:dyDescent="0.2">
      <c r="A341" s="1">
        <v>2</v>
      </c>
      <c r="B341" s="1">
        <v>0</v>
      </c>
      <c r="C341" s="1" t="s">
        <v>70</v>
      </c>
      <c r="D341" s="1" t="s">
        <v>13</v>
      </c>
      <c r="E341" s="1" t="s">
        <v>6</v>
      </c>
      <c r="F341">
        <v>5</v>
      </c>
      <c r="H341" s="17" t="s">
        <v>247</v>
      </c>
      <c r="I341" s="18"/>
      <c r="J341" s="18"/>
      <c r="K341" s="18"/>
      <c r="L341" s="18">
        <v>2</v>
      </c>
      <c r="N341" s="19" t="s">
        <v>228</v>
      </c>
      <c r="O341" s="39">
        <v>0</v>
      </c>
      <c r="P341" s="39">
        <v>0</v>
      </c>
      <c r="Q341" s="39">
        <v>1</v>
      </c>
      <c r="R341" s="39">
        <v>1</v>
      </c>
      <c r="S341">
        <f>AVERAGE(O341:R341)</f>
        <v>0.5</v>
      </c>
    </row>
    <row r="342" spans="1:19" x14ac:dyDescent="0.2">
      <c r="A342" s="1">
        <v>2</v>
      </c>
      <c r="B342" s="1">
        <v>0</v>
      </c>
      <c r="C342" s="1" t="s">
        <v>70</v>
      </c>
      <c r="D342" s="1" t="s">
        <v>5</v>
      </c>
      <c r="E342" s="1" t="s">
        <v>6</v>
      </c>
      <c r="F342">
        <v>2</v>
      </c>
      <c r="H342" s="17" t="s">
        <v>91</v>
      </c>
      <c r="I342" s="18">
        <v>1</v>
      </c>
      <c r="J342" s="18"/>
      <c r="K342" s="18">
        <v>1</v>
      </c>
      <c r="L342" s="18"/>
      <c r="N342" s="19" t="s">
        <v>195</v>
      </c>
      <c r="O342" s="39">
        <v>0</v>
      </c>
      <c r="P342" s="39">
        <v>1</v>
      </c>
      <c r="Q342" s="39">
        <v>1</v>
      </c>
      <c r="R342" s="39">
        <v>0</v>
      </c>
      <c r="S342">
        <f>AVERAGE(O342:R342)</f>
        <v>0.5</v>
      </c>
    </row>
    <row r="343" spans="1:19" x14ac:dyDescent="0.2">
      <c r="A343" s="1">
        <v>2</v>
      </c>
      <c r="B343" s="1">
        <v>0</v>
      </c>
      <c r="C343" s="1" t="s">
        <v>197</v>
      </c>
      <c r="D343" s="1" t="s">
        <v>5</v>
      </c>
      <c r="E343" s="1" t="s">
        <v>6</v>
      </c>
      <c r="F343">
        <v>2</v>
      </c>
      <c r="H343" s="17" t="s">
        <v>135</v>
      </c>
      <c r="I343" s="18">
        <v>1</v>
      </c>
      <c r="J343" s="18"/>
      <c r="K343" s="18">
        <v>1</v>
      </c>
      <c r="L343" s="18"/>
      <c r="N343" s="19" t="s">
        <v>238</v>
      </c>
      <c r="O343" s="39">
        <v>0</v>
      </c>
      <c r="P343" s="39">
        <v>0</v>
      </c>
      <c r="Q343" s="39">
        <v>1</v>
      </c>
      <c r="R343" s="39">
        <v>1</v>
      </c>
      <c r="S343">
        <f>AVERAGE(O343:R343)</f>
        <v>0.5</v>
      </c>
    </row>
    <row r="344" spans="1:19" x14ac:dyDescent="0.2">
      <c r="A344" s="1">
        <v>2</v>
      </c>
      <c r="B344" s="1">
        <v>0</v>
      </c>
      <c r="C344" s="1" t="s">
        <v>198</v>
      </c>
      <c r="D344" s="1" t="s">
        <v>124</v>
      </c>
      <c r="E344" s="1" t="s">
        <v>6</v>
      </c>
      <c r="F344">
        <v>2</v>
      </c>
      <c r="H344" s="17" t="s">
        <v>71</v>
      </c>
      <c r="I344" s="18">
        <v>2</v>
      </c>
      <c r="J344" s="18"/>
      <c r="K344" s="18"/>
      <c r="L344" s="18"/>
      <c r="N344" s="19" t="s">
        <v>247</v>
      </c>
      <c r="O344" s="39">
        <v>0</v>
      </c>
      <c r="P344" s="39">
        <v>0</v>
      </c>
      <c r="Q344" s="39">
        <v>0</v>
      </c>
      <c r="R344" s="39">
        <v>2</v>
      </c>
      <c r="S344">
        <f>AVERAGE(O344:R344)</f>
        <v>0.5</v>
      </c>
    </row>
    <row r="345" spans="1:19" x14ac:dyDescent="0.2">
      <c r="A345" s="1">
        <v>2</v>
      </c>
      <c r="B345" s="1">
        <v>0</v>
      </c>
      <c r="C345" s="1" t="s">
        <v>72</v>
      </c>
      <c r="D345" s="1" t="s">
        <v>5</v>
      </c>
      <c r="E345" s="1" t="s">
        <v>6</v>
      </c>
      <c r="F345">
        <v>2</v>
      </c>
      <c r="H345" s="17" t="s">
        <v>11</v>
      </c>
      <c r="I345" s="18">
        <v>2</v>
      </c>
      <c r="J345" s="18"/>
      <c r="K345" s="18"/>
      <c r="L345" s="18"/>
      <c r="N345" s="19" t="s">
        <v>226</v>
      </c>
      <c r="O345" s="39">
        <v>0</v>
      </c>
      <c r="P345" s="39">
        <v>0</v>
      </c>
      <c r="Q345" s="39">
        <v>1</v>
      </c>
      <c r="R345" s="39">
        <v>1</v>
      </c>
      <c r="S345">
        <f>AVERAGE(O345:R345)</f>
        <v>0.5</v>
      </c>
    </row>
    <row r="346" spans="1:19" x14ac:dyDescent="0.2">
      <c r="A346" s="1">
        <v>2</v>
      </c>
      <c r="B346" s="1">
        <v>0</v>
      </c>
      <c r="C346" s="1" t="s">
        <v>72</v>
      </c>
      <c r="D346" s="1" t="s">
        <v>30</v>
      </c>
      <c r="E346" s="1" t="s">
        <v>6</v>
      </c>
      <c r="F346">
        <v>3</v>
      </c>
      <c r="H346" s="17" t="s">
        <v>226</v>
      </c>
      <c r="I346" s="18"/>
      <c r="J346" s="18"/>
      <c r="K346" s="18">
        <v>1</v>
      </c>
      <c r="L346" s="18">
        <v>1</v>
      </c>
      <c r="N346" s="19" t="s">
        <v>249</v>
      </c>
      <c r="O346" s="39">
        <v>0</v>
      </c>
      <c r="P346" s="39">
        <v>0</v>
      </c>
      <c r="Q346" s="39">
        <v>0</v>
      </c>
      <c r="R346" s="39">
        <v>2</v>
      </c>
      <c r="S346">
        <f>AVERAGE(O346:R346)</f>
        <v>0.5</v>
      </c>
    </row>
    <row r="347" spans="1:19" x14ac:dyDescent="0.2">
      <c r="A347" s="1">
        <v>2</v>
      </c>
      <c r="B347" s="1">
        <v>0</v>
      </c>
      <c r="C347" s="1" t="s">
        <v>73</v>
      </c>
      <c r="D347" s="1" t="s">
        <v>5</v>
      </c>
      <c r="E347" s="1" t="s">
        <v>6</v>
      </c>
      <c r="F347">
        <v>1</v>
      </c>
      <c r="H347" s="17" t="s">
        <v>249</v>
      </c>
      <c r="I347" s="18"/>
      <c r="J347" s="18"/>
      <c r="K347" s="18"/>
      <c r="L347" s="18">
        <v>2</v>
      </c>
      <c r="N347" s="19" t="s">
        <v>245</v>
      </c>
      <c r="O347" s="39">
        <v>0</v>
      </c>
      <c r="P347" s="39">
        <v>0</v>
      </c>
      <c r="Q347" s="39">
        <v>0</v>
      </c>
      <c r="R347" s="39">
        <v>2</v>
      </c>
      <c r="S347">
        <f>AVERAGE(O347:R347)</f>
        <v>0.5</v>
      </c>
    </row>
    <row r="348" spans="1:19" x14ac:dyDescent="0.2">
      <c r="A348" s="1">
        <v>2</v>
      </c>
      <c r="B348" s="1">
        <v>0</v>
      </c>
      <c r="C348" s="1" t="s">
        <v>74</v>
      </c>
      <c r="D348" s="1" t="s">
        <v>5</v>
      </c>
      <c r="E348" s="1" t="s">
        <v>6</v>
      </c>
      <c r="F348">
        <v>1</v>
      </c>
      <c r="H348" s="17" t="s">
        <v>245</v>
      </c>
      <c r="I348" s="18"/>
      <c r="J348" s="18"/>
      <c r="K348" s="18"/>
      <c r="L348" s="18">
        <v>2</v>
      </c>
      <c r="N348" s="19" t="s">
        <v>213</v>
      </c>
      <c r="O348" s="39">
        <v>0</v>
      </c>
      <c r="P348" s="39">
        <v>2</v>
      </c>
      <c r="Q348" s="39">
        <v>0</v>
      </c>
      <c r="R348" s="39">
        <v>0</v>
      </c>
      <c r="S348">
        <f>AVERAGE(O348:R348)</f>
        <v>0.5</v>
      </c>
    </row>
    <row r="349" spans="1:19" x14ac:dyDescent="0.2">
      <c r="A349" s="1">
        <v>2</v>
      </c>
      <c r="B349" s="1">
        <v>0</v>
      </c>
      <c r="C349" s="1" t="s">
        <v>76</v>
      </c>
      <c r="D349" s="1" t="s">
        <v>5</v>
      </c>
      <c r="E349" s="1" t="s">
        <v>6</v>
      </c>
      <c r="F349">
        <v>1</v>
      </c>
      <c r="H349" s="17" t="s">
        <v>213</v>
      </c>
      <c r="I349" s="18"/>
      <c r="J349" s="18">
        <v>2</v>
      </c>
      <c r="K349" s="18"/>
      <c r="L349" s="18"/>
      <c r="N349" s="19" t="s">
        <v>251</v>
      </c>
      <c r="O349" s="39">
        <v>0</v>
      </c>
      <c r="P349" s="39">
        <v>0</v>
      </c>
      <c r="Q349" s="39">
        <v>0</v>
      </c>
      <c r="R349" s="39">
        <v>2</v>
      </c>
      <c r="S349">
        <f>AVERAGE(O349:R349)</f>
        <v>0.5</v>
      </c>
    </row>
    <row r="350" spans="1:19" x14ac:dyDescent="0.2">
      <c r="A350" s="1">
        <v>2</v>
      </c>
      <c r="B350" s="1">
        <v>0</v>
      </c>
      <c r="C350" s="1" t="s">
        <v>199</v>
      </c>
      <c r="D350" s="1" t="s">
        <v>28</v>
      </c>
      <c r="E350" s="1" t="s">
        <v>6</v>
      </c>
      <c r="F350">
        <v>2</v>
      </c>
      <c r="H350" s="17" t="s">
        <v>251</v>
      </c>
      <c r="I350" s="18"/>
      <c r="J350" s="18"/>
      <c r="K350" s="18"/>
      <c r="L350" s="18">
        <v>2</v>
      </c>
      <c r="N350" s="19" t="s">
        <v>199</v>
      </c>
      <c r="O350" s="39">
        <v>0</v>
      </c>
      <c r="P350" s="39">
        <v>2</v>
      </c>
      <c r="Q350" s="39">
        <v>0</v>
      </c>
      <c r="R350" s="39">
        <v>0</v>
      </c>
      <c r="S350">
        <f>AVERAGE(O350:R350)</f>
        <v>0.5</v>
      </c>
    </row>
    <row r="351" spans="1:19" x14ac:dyDescent="0.2">
      <c r="A351" s="1">
        <v>2</v>
      </c>
      <c r="B351" s="1">
        <v>0</v>
      </c>
      <c r="C351" s="1" t="s">
        <v>77</v>
      </c>
      <c r="D351" s="1" t="s">
        <v>5</v>
      </c>
      <c r="E351" s="1" t="s">
        <v>6</v>
      </c>
      <c r="F351">
        <v>1</v>
      </c>
      <c r="H351" s="17" t="s">
        <v>199</v>
      </c>
      <c r="I351" s="18"/>
      <c r="J351" s="18">
        <v>2</v>
      </c>
      <c r="K351" s="18"/>
      <c r="L351" s="18"/>
      <c r="N351" s="19" t="s">
        <v>206</v>
      </c>
      <c r="O351" s="39">
        <v>0</v>
      </c>
      <c r="P351" s="39">
        <v>1</v>
      </c>
      <c r="Q351" s="39">
        <v>1</v>
      </c>
      <c r="R351" s="39">
        <v>0</v>
      </c>
      <c r="S351">
        <f>AVERAGE(O351:R351)</f>
        <v>0.5</v>
      </c>
    </row>
    <row r="352" spans="1:19" x14ac:dyDescent="0.2">
      <c r="A352" s="1">
        <v>2</v>
      </c>
      <c r="B352" s="1">
        <v>0</v>
      </c>
      <c r="C352" s="1" t="s">
        <v>200</v>
      </c>
      <c r="D352" s="1" t="s">
        <v>30</v>
      </c>
      <c r="E352" s="1" t="s">
        <v>6</v>
      </c>
      <c r="F352">
        <v>1</v>
      </c>
      <c r="H352" s="17" t="s">
        <v>206</v>
      </c>
      <c r="I352" s="18"/>
      <c r="J352" s="18">
        <v>1</v>
      </c>
      <c r="K352" s="18">
        <v>1</v>
      </c>
      <c r="L352" s="18"/>
      <c r="N352" s="19" t="s">
        <v>234</v>
      </c>
      <c r="O352" s="39">
        <v>0</v>
      </c>
      <c r="P352" s="39">
        <v>0</v>
      </c>
      <c r="Q352" s="39">
        <v>1</v>
      </c>
      <c r="R352" s="39">
        <v>1</v>
      </c>
      <c r="S352">
        <f>AVERAGE(O352:R352)</f>
        <v>0.5</v>
      </c>
    </row>
    <row r="353" spans="1:19" x14ac:dyDescent="0.2">
      <c r="A353" s="1">
        <v>2</v>
      </c>
      <c r="B353" s="1">
        <v>0</v>
      </c>
      <c r="C353" s="1" t="s">
        <v>200</v>
      </c>
      <c r="D353" s="1" t="s">
        <v>5</v>
      </c>
      <c r="E353" s="1" t="s">
        <v>6</v>
      </c>
      <c r="F353">
        <v>2</v>
      </c>
      <c r="H353" s="17" t="s">
        <v>234</v>
      </c>
      <c r="I353" s="18"/>
      <c r="J353" s="18"/>
      <c r="K353" s="18">
        <v>1</v>
      </c>
      <c r="L353" s="18">
        <v>1</v>
      </c>
      <c r="N353" s="19" t="s">
        <v>181</v>
      </c>
      <c r="O353" s="39">
        <v>0</v>
      </c>
      <c r="P353" s="39">
        <v>2</v>
      </c>
      <c r="Q353" s="39">
        <v>0</v>
      </c>
      <c r="R353" s="39">
        <v>0</v>
      </c>
      <c r="S353">
        <f>AVERAGE(O353:R353)</f>
        <v>0.5</v>
      </c>
    </row>
    <row r="354" spans="1:19" x14ac:dyDescent="0.2">
      <c r="A354" s="1">
        <v>2</v>
      </c>
      <c r="B354" s="1">
        <v>0</v>
      </c>
      <c r="C354" s="1" t="s">
        <v>201</v>
      </c>
      <c r="D354" s="1" t="s">
        <v>28</v>
      </c>
      <c r="E354" s="1" t="s">
        <v>6</v>
      </c>
      <c r="F354">
        <v>1</v>
      </c>
      <c r="H354" s="17" t="s">
        <v>181</v>
      </c>
      <c r="I354" s="18"/>
      <c r="J354" s="18">
        <v>2</v>
      </c>
      <c r="K354" s="18"/>
      <c r="L354" s="18"/>
      <c r="N354" s="19" t="s">
        <v>183</v>
      </c>
      <c r="O354" s="39">
        <v>0</v>
      </c>
      <c r="P354" s="39">
        <v>2</v>
      </c>
      <c r="Q354" s="39">
        <v>0</v>
      </c>
      <c r="R354" s="39">
        <v>0</v>
      </c>
      <c r="S354">
        <f>AVERAGE(O354:R354)</f>
        <v>0.5</v>
      </c>
    </row>
    <row r="355" spans="1:19" x14ac:dyDescent="0.2">
      <c r="A355" s="1">
        <v>2</v>
      </c>
      <c r="B355" s="1">
        <v>0</v>
      </c>
      <c r="C355" s="1" t="s">
        <v>201</v>
      </c>
      <c r="D355" s="1" t="s">
        <v>5</v>
      </c>
      <c r="E355" s="1" t="s">
        <v>6</v>
      </c>
      <c r="F355">
        <v>1</v>
      </c>
      <c r="H355" s="17" t="s">
        <v>183</v>
      </c>
      <c r="I355" s="18"/>
      <c r="J355" s="18">
        <v>2</v>
      </c>
      <c r="K355" s="18"/>
      <c r="L355" s="18"/>
      <c r="N355" s="19" t="s">
        <v>86</v>
      </c>
      <c r="O355" s="39">
        <v>1</v>
      </c>
      <c r="P355" s="39">
        <v>0</v>
      </c>
      <c r="Q355" s="39">
        <v>0</v>
      </c>
      <c r="R355" s="39">
        <v>0</v>
      </c>
      <c r="S355">
        <f>AVERAGE(O355:R355)</f>
        <v>0.25</v>
      </c>
    </row>
    <row r="356" spans="1:19" x14ac:dyDescent="0.2">
      <c r="A356" s="1">
        <v>2</v>
      </c>
      <c r="B356" s="1">
        <v>0</v>
      </c>
      <c r="C356" s="1" t="s">
        <v>78</v>
      </c>
      <c r="D356" s="1" t="s">
        <v>5</v>
      </c>
      <c r="E356" s="1" t="s">
        <v>6</v>
      </c>
      <c r="F356">
        <v>1</v>
      </c>
      <c r="H356" s="17" t="s">
        <v>86</v>
      </c>
      <c r="I356" s="18">
        <v>1</v>
      </c>
      <c r="J356" s="18"/>
      <c r="K356" s="18"/>
      <c r="L356" s="18"/>
      <c r="N356" s="19" t="s">
        <v>155</v>
      </c>
      <c r="O356" s="39">
        <v>1</v>
      </c>
      <c r="P356" s="39">
        <v>0</v>
      </c>
      <c r="Q356" s="39">
        <v>0</v>
      </c>
      <c r="R356" s="39">
        <v>0</v>
      </c>
      <c r="S356">
        <f>AVERAGE(O356:R356)</f>
        <v>0.25</v>
      </c>
    </row>
    <row r="357" spans="1:19" x14ac:dyDescent="0.2">
      <c r="A357" s="1">
        <v>2</v>
      </c>
      <c r="B357" s="1">
        <v>0</v>
      </c>
      <c r="C357" s="1" t="s">
        <v>79</v>
      </c>
      <c r="D357" s="1" t="s">
        <v>5</v>
      </c>
      <c r="E357" s="1" t="s">
        <v>6</v>
      </c>
      <c r="F357">
        <v>1</v>
      </c>
      <c r="H357" s="17" t="s">
        <v>180</v>
      </c>
      <c r="I357" s="18"/>
      <c r="J357" s="18">
        <v>1</v>
      </c>
      <c r="K357" s="18"/>
      <c r="L357" s="18"/>
      <c r="N357" s="19" t="s">
        <v>111</v>
      </c>
      <c r="O357" s="39">
        <v>1</v>
      </c>
      <c r="P357" s="39">
        <v>0</v>
      </c>
      <c r="Q357" s="39">
        <v>0</v>
      </c>
      <c r="R357" s="39">
        <v>0</v>
      </c>
      <c r="S357">
        <f>AVERAGE(O357:R357)</f>
        <v>0.25</v>
      </c>
    </row>
    <row r="358" spans="1:19" x14ac:dyDescent="0.2">
      <c r="A358" s="1">
        <v>2</v>
      </c>
      <c r="B358" s="1">
        <v>0</v>
      </c>
      <c r="C358" s="1" t="s">
        <v>80</v>
      </c>
      <c r="D358" s="1" t="s">
        <v>5</v>
      </c>
      <c r="E358" s="1" t="s">
        <v>6</v>
      </c>
      <c r="F358">
        <v>1</v>
      </c>
      <c r="H358" s="17" t="s">
        <v>155</v>
      </c>
      <c r="I358" s="18">
        <v>1</v>
      </c>
      <c r="J358" s="18"/>
      <c r="K358" s="18"/>
      <c r="L358" s="18"/>
      <c r="N358" s="19" t="s">
        <v>167</v>
      </c>
      <c r="O358" s="39">
        <v>1</v>
      </c>
      <c r="P358" s="39">
        <v>0</v>
      </c>
      <c r="Q358" s="39">
        <v>0</v>
      </c>
      <c r="R358" s="39">
        <v>0</v>
      </c>
      <c r="S358">
        <f>AVERAGE(O358:R358)</f>
        <v>0.25</v>
      </c>
    </row>
    <row r="359" spans="1:19" x14ac:dyDescent="0.2">
      <c r="A359" s="1">
        <v>2</v>
      </c>
      <c r="B359" s="1">
        <v>0</v>
      </c>
      <c r="C359" s="1" t="s">
        <v>81</v>
      </c>
      <c r="D359" s="1" t="s">
        <v>28</v>
      </c>
      <c r="E359" s="1" t="s">
        <v>6</v>
      </c>
      <c r="F359">
        <v>2</v>
      </c>
      <c r="H359" s="17" t="s">
        <v>253</v>
      </c>
      <c r="I359" s="18"/>
      <c r="J359" s="18"/>
      <c r="K359" s="18"/>
      <c r="L359" s="18">
        <v>1</v>
      </c>
      <c r="N359" s="19" t="s">
        <v>145</v>
      </c>
      <c r="O359" s="39">
        <v>1</v>
      </c>
      <c r="P359" s="39">
        <v>0</v>
      </c>
      <c r="Q359" s="39">
        <v>0</v>
      </c>
      <c r="R359" s="39">
        <v>0</v>
      </c>
      <c r="S359">
        <f>AVERAGE(O359:R359)</f>
        <v>0.25</v>
      </c>
    </row>
    <row r="360" spans="1:19" x14ac:dyDescent="0.2">
      <c r="A360" s="1">
        <v>2</v>
      </c>
      <c r="B360" s="1">
        <v>0</v>
      </c>
      <c r="C360" s="1" t="s">
        <v>82</v>
      </c>
      <c r="D360" s="1" t="s">
        <v>5</v>
      </c>
      <c r="E360" s="1" t="s">
        <v>6</v>
      </c>
      <c r="F360">
        <v>2</v>
      </c>
      <c r="H360" s="17" t="s">
        <v>229</v>
      </c>
      <c r="I360" s="18"/>
      <c r="J360" s="18"/>
      <c r="K360" s="18">
        <v>1</v>
      </c>
      <c r="L360" s="18"/>
      <c r="N360" s="19" t="s">
        <v>180</v>
      </c>
      <c r="O360" s="39">
        <v>0</v>
      </c>
      <c r="P360" s="39">
        <v>1</v>
      </c>
      <c r="Q360" s="39">
        <v>0</v>
      </c>
      <c r="R360" s="39">
        <v>0</v>
      </c>
      <c r="S360">
        <f>AVERAGE(O360:R360)</f>
        <v>0.25</v>
      </c>
    </row>
    <row r="361" spans="1:19" x14ac:dyDescent="0.2">
      <c r="A361" s="1">
        <v>2</v>
      </c>
      <c r="B361" s="1">
        <v>0</v>
      </c>
      <c r="C361" s="1" t="s">
        <v>83</v>
      </c>
      <c r="D361" s="1" t="s">
        <v>5</v>
      </c>
      <c r="E361" s="1" t="s">
        <v>6</v>
      </c>
      <c r="F361">
        <v>3</v>
      </c>
      <c r="H361" s="17" t="s">
        <v>211</v>
      </c>
      <c r="I361" s="18"/>
      <c r="J361" s="18">
        <v>1</v>
      </c>
      <c r="K361" s="18"/>
      <c r="L361" s="18"/>
      <c r="N361" s="19" t="s">
        <v>253</v>
      </c>
      <c r="O361" s="39">
        <v>0</v>
      </c>
      <c r="P361" s="39">
        <v>0</v>
      </c>
      <c r="Q361" s="39">
        <v>0</v>
      </c>
      <c r="R361" s="39">
        <v>1</v>
      </c>
      <c r="S361">
        <f>AVERAGE(O361:R361)</f>
        <v>0.25</v>
      </c>
    </row>
    <row r="362" spans="1:19" x14ac:dyDescent="0.2">
      <c r="A362" s="1">
        <v>2</v>
      </c>
      <c r="B362" s="1">
        <v>0</v>
      </c>
      <c r="C362" s="1" t="s">
        <v>83</v>
      </c>
      <c r="D362" s="1" t="s">
        <v>30</v>
      </c>
      <c r="E362" s="1" t="s">
        <v>6</v>
      </c>
      <c r="F362">
        <v>1</v>
      </c>
      <c r="H362" s="17" t="s">
        <v>212</v>
      </c>
      <c r="I362" s="18"/>
      <c r="J362" s="18">
        <v>1</v>
      </c>
      <c r="K362" s="18"/>
      <c r="L362" s="18"/>
      <c r="N362" s="19" t="s">
        <v>229</v>
      </c>
      <c r="O362" s="39">
        <v>0</v>
      </c>
      <c r="P362" s="39">
        <v>0</v>
      </c>
      <c r="Q362" s="39">
        <v>1</v>
      </c>
      <c r="R362" s="39">
        <v>0</v>
      </c>
      <c r="S362">
        <f>AVERAGE(O362:R362)</f>
        <v>0.25</v>
      </c>
    </row>
    <row r="363" spans="1:19" x14ac:dyDescent="0.2">
      <c r="A363" s="1">
        <v>2</v>
      </c>
      <c r="B363" s="1">
        <v>0</v>
      </c>
      <c r="C363" s="1" t="s">
        <v>84</v>
      </c>
      <c r="D363" s="1" t="s">
        <v>5</v>
      </c>
      <c r="E363" s="1" t="s">
        <v>6</v>
      </c>
      <c r="F363">
        <v>2</v>
      </c>
      <c r="H363" s="17" t="s">
        <v>111</v>
      </c>
      <c r="I363" s="18">
        <v>1</v>
      </c>
      <c r="J363" s="18"/>
      <c r="K363" s="18"/>
      <c r="L363" s="18"/>
      <c r="N363" s="19" t="s">
        <v>211</v>
      </c>
      <c r="O363" s="39">
        <v>0</v>
      </c>
      <c r="P363" s="39">
        <v>1</v>
      </c>
      <c r="Q363" s="39">
        <v>0</v>
      </c>
      <c r="R363" s="39">
        <v>0</v>
      </c>
      <c r="S363">
        <f>AVERAGE(O363:R363)</f>
        <v>0.25</v>
      </c>
    </row>
    <row r="364" spans="1:19" x14ac:dyDescent="0.2">
      <c r="A364" s="1">
        <v>2</v>
      </c>
      <c r="B364" s="1">
        <v>0</v>
      </c>
      <c r="C364" s="1" t="s">
        <v>85</v>
      </c>
      <c r="D364" s="1" t="s">
        <v>5</v>
      </c>
      <c r="E364" s="1" t="s">
        <v>6</v>
      </c>
      <c r="F364">
        <v>1</v>
      </c>
      <c r="H364" s="17" t="s">
        <v>230</v>
      </c>
      <c r="I364" s="18"/>
      <c r="J364" s="18"/>
      <c r="K364" s="18">
        <v>1</v>
      </c>
      <c r="L364" s="18"/>
      <c r="N364" s="19" t="s">
        <v>212</v>
      </c>
      <c r="O364" s="39">
        <v>0</v>
      </c>
      <c r="P364" s="39">
        <v>1</v>
      </c>
      <c r="Q364" s="39">
        <v>0</v>
      </c>
      <c r="R364" s="39">
        <v>0</v>
      </c>
      <c r="S364">
        <f>AVERAGE(O364:R364)</f>
        <v>0.25</v>
      </c>
    </row>
    <row r="365" spans="1:19" x14ac:dyDescent="0.2">
      <c r="A365" s="1">
        <v>2</v>
      </c>
      <c r="B365" s="1">
        <v>0</v>
      </c>
      <c r="C365" s="1" t="s">
        <v>87</v>
      </c>
      <c r="D365" s="1" t="s">
        <v>5</v>
      </c>
      <c r="E365" s="1" t="s">
        <v>6</v>
      </c>
      <c r="F365">
        <v>1</v>
      </c>
      <c r="H365" s="17" t="s">
        <v>225</v>
      </c>
      <c r="I365" s="18"/>
      <c r="J365" s="18"/>
      <c r="K365" s="18">
        <v>1</v>
      </c>
      <c r="L365" s="18"/>
      <c r="N365" s="19" t="s">
        <v>230</v>
      </c>
      <c r="O365" s="39">
        <v>0</v>
      </c>
      <c r="P365" s="39">
        <v>0</v>
      </c>
      <c r="Q365" s="39">
        <v>1</v>
      </c>
      <c r="R365" s="39">
        <v>0</v>
      </c>
      <c r="S365">
        <f>AVERAGE(O365:R365)</f>
        <v>0.25</v>
      </c>
    </row>
    <row r="366" spans="1:19" x14ac:dyDescent="0.2">
      <c r="A366" s="1">
        <v>2</v>
      </c>
      <c r="B366" s="1">
        <v>0</v>
      </c>
      <c r="C366" s="1" t="s">
        <v>88</v>
      </c>
      <c r="D366" s="1" t="s">
        <v>28</v>
      </c>
      <c r="E366" s="1" t="s">
        <v>6</v>
      </c>
      <c r="F366">
        <v>2</v>
      </c>
      <c r="H366" s="17" t="s">
        <v>187</v>
      </c>
      <c r="I366" s="18"/>
      <c r="J366" s="18">
        <v>1</v>
      </c>
      <c r="K366" s="18"/>
      <c r="L366" s="18"/>
      <c r="N366" s="19" t="s">
        <v>225</v>
      </c>
      <c r="O366" s="39">
        <v>0</v>
      </c>
      <c r="P366" s="39">
        <v>0</v>
      </c>
      <c r="Q366" s="39">
        <v>1</v>
      </c>
      <c r="R366" s="39">
        <v>0</v>
      </c>
      <c r="S366">
        <f>AVERAGE(O366:R366)</f>
        <v>0.25</v>
      </c>
    </row>
    <row r="367" spans="1:19" x14ac:dyDescent="0.2">
      <c r="A367" s="1">
        <v>2</v>
      </c>
      <c r="B367" s="1">
        <v>0</v>
      </c>
      <c r="C367" s="1" t="s">
        <v>89</v>
      </c>
      <c r="D367" s="1" t="s">
        <v>5</v>
      </c>
      <c r="E367" s="1" t="s">
        <v>6</v>
      </c>
      <c r="F367">
        <v>1</v>
      </c>
      <c r="H367" s="17" t="s">
        <v>167</v>
      </c>
      <c r="I367" s="18">
        <v>1</v>
      </c>
      <c r="J367" s="18"/>
      <c r="K367" s="18"/>
      <c r="L367" s="18"/>
      <c r="N367" s="19" t="s">
        <v>187</v>
      </c>
      <c r="O367" s="39">
        <v>0</v>
      </c>
      <c r="P367" s="39">
        <v>1</v>
      </c>
      <c r="Q367" s="39">
        <v>0</v>
      </c>
      <c r="R367" s="39">
        <v>0</v>
      </c>
      <c r="S367">
        <f>AVERAGE(O367:R367)</f>
        <v>0.25</v>
      </c>
    </row>
    <row r="368" spans="1:19" x14ac:dyDescent="0.2">
      <c r="A368" s="1">
        <v>2</v>
      </c>
      <c r="B368" s="1">
        <v>0</v>
      </c>
      <c r="C368" s="1" t="s">
        <v>90</v>
      </c>
      <c r="D368" s="1" t="s">
        <v>5</v>
      </c>
      <c r="E368" s="1" t="s">
        <v>6</v>
      </c>
      <c r="F368">
        <v>1</v>
      </c>
      <c r="H368" s="17" t="s">
        <v>231</v>
      </c>
      <c r="I368" s="18"/>
      <c r="J368" s="18"/>
      <c r="K368" s="18">
        <v>1</v>
      </c>
      <c r="L368" s="18"/>
      <c r="N368" s="19" t="s">
        <v>231</v>
      </c>
      <c r="O368" s="39">
        <v>0</v>
      </c>
      <c r="P368" s="39">
        <v>0</v>
      </c>
      <c r="Q368" s="39">
        <v>1</v>
      </c>
      <c r="R368" s="39">
        <v>0</v>
      </c>
      <c r="S368">
        <f>AVERAGE(O368:R368)</f>
        <v>0.25</v>
      </c>
    </row>
    <row r="369" spans="1:22" x14ac:dyDescent="0.2">
      <c r="A369" s="1">
        <v>2</v>
      </c>
      <c r="B369" s="1">
        <v>0</v>
      </c>
      <c r="C369" s="1" t="s">
        <v>202</v>
      </c>
      <c r="D369" s="1" t="s">
        <v>30</v>
      </c>
      <c r="E369" s="1" t="s">
        <v>6</v>
      </c>
      <c r="F369">
        <v>1</v>
      </c>
      <c r="H369" s="17" t="s">
        <v>13</v>
      </c>
      <c r="I369" s="18"/>
      <c r="J369" s="18"/>
      <c r="K369" s="18">
        <v>1</v>
      </c>
      <c r="L369" s="18"/>
      <c r="N369" s="19" t="s">
        <v>13</v>
      </c>
      <c r="O369" s="39">
        <v>0</v>
      </c>
      <c r="P369" s="39">
        <v>0</v>
      </c>
      <c r="Q369" s="39">
        <v>1</v>
      </c>
      <c r="R369" s="39">
        <v>0</v>
      </c>
      <c r="S369">
        <f>AVERAGE(O369:R369)</f>
        <v>0.25</v>
      </c>
    </row>
    <row r="370" spans="1:22" x14ac:dyDescent="0.2">
      <c r="A370" s="1">
        <v>2</v>
      </c>
      <c r="B370" s="1">
        <v>0</v>
      </c>
      <c r="C370" s="1" t="s">
        <v>203</v>
      </c>
      <c r="D370" s="1" t="s">
        <v>132</v>
      </c>
      <c r="E370" s="1" t="s">
        <v>6</v>
      </c>
      <c r="F370">
        <v>1</v>
      </c>
      <c r="H370" s="17" t="s">
        <v>192</v>
      </c>
      <c r="I370" s="18"/>
      <c r="J370" s="18">
        <v>1</v>
      </c>
      <c r="K370" s="18"/>
      <c r="L370" s="18"/>
      <c r="N370" s="19" t="s">
        <v>192</v>
      </c>
      <c r="O370" s="39">
        <v>0</v>
      </c>
      <c r="P370" s="39">
        <v>1</v>
      </c>
      <c r="Q370" s="39">
        <v>0</v>
      </c>
      <c r="R370" s="39">
        <v>0</v>
      </c>
      <c r="S370">
        <f>AVERAGE(O370:R370)</f>
        <v>0.25</v>
      </c>
    </row>
    <row r="371" spans="1:22" x14ac:dyDescent="0.2">
      <c r="A371" s="1">
        <v>2</v>
      </c>
      <c r="B371" s="1">
        <v>0</v>
      </c>
      <c r="C371" s="1" t="s">
        <v>92</v>
      </c>
      <c r="D371" s="1" t="s">
        <v>13</v>
      </c>
      <c r="E371" s="1" t="s">
        <v>6</v>
      </c>
      <c r="F371">
        <v>2</v>
      </c>
      <c r="H371" s="17" t="s">
        <v>145</v>
      </c>
      <c r="I371" s="18">
        <v>1</v>
      </c>
      <c r="J371" s="18"/>
      <c r="K371" s="18"/>
      <c r="L371" s="18"/>
      <c r="N371" s="19" t="s">
        <v>215</v>
      </c>
      <c r="O371" s="39">
        <v>0</v>
      </c>
      <c r="P371" s="39">
        <v>1</v>
      </c>
      <c r="Q371" s="39">
        <v>0</v>
      </c>
      <c r="R371" s="39">
        <v>0</v>
      </c>
      <c r="S371">
        <f>AVERAGE(O371:R371)</f>
        <v>0.25</v>
      </c>
    </row>
    <row r="372" spans="1:22" x14ac:dyDescent="0.2">
      <c r="A372" s="1">
        <v>2</v>
      </c>
      <c r="B372" s="1">
        <v>0</v>
      </c>
      <c r="C372" s="1" t="s">
        <v>92</v>
      </c>
      <c r="D372" s="1" t="s">
        <v>5</v>
      </c>
      <c r="E372" s="1" t="s">
        <v>6</v>
      </c>
      <c r="F372">
        <v>1</v>
      </c>
      <c r="H372" s="17" t="s">
        <v>215</v>
      </c>
      <c r="I372" s="18"/>
      <c r="J372" s="18">
        <v>1</v>
      </c>
      <c r="K372" s="18"/>
      <c r="L372" s="18"/>
      <c r="N372" s="19" t="s">
        <v>223</v>
      </c>
      <c r="O372" s="39">
        <v>0</v>
      </c>
      <c r="P372" s="39">
        <v>0</v>
      </c>
      <c r="Q372" s="39">
        <v>1</v>
      </c>
      <c r="R372" s="39">
        <v>0</v>
      </c>
      <c r="S372">
        <f>AVERAGE(O372:R372)</f>
        <v>0.25</v>
      </c>
    </row>
    <row r="373" spans="1:22" x14ac:dyDescent="0.2">
      <c r="A373" s="1">
        <v>2</v>
      </c>
      <c r="B373" s="1">
        <v>0</v>
      </c>
      <c r="C373" s="1" t="s">
        <v>93</v>
      </c>
      <c r="D373" s="1" t="s">
        <v>5</v>
      </c>
      <c r="E373" s="1" t="s">
        <v>6</v>
      </c>
      <c r="F373">
        <v>1</v>
      </c>
      <c r="H373" s="17" t="s">
        <v>223</v>
      </c>
      <c r="I373" s="18"/>
      <c r="J373" s="18"/>
      <c r="K373" s="18">
        <v>1</v>
      </c>
      <c r="L373" s="18"/>
      <c r="N373" s="19" t="s">
        <v>232</v>
      </c>
      <c r="O373" s="39">
        <v>0</v>
      </c>
      <c r="P373" s="39">
        <v>0</v>
      </c>
      <c r="Q373" s="39">
        <v>1</v>
      </c>
      <c r="R373" s="39">
        <v>0</v>
      </c>
      <c r="S373">
        <f>AVERAGE(O373:R373)</f>
        <v>0.25</v>
      </c>
    </row>
    <row r="374" spans="1:22" x14ac:dyDescent="0.2">
      <c r="A374" s="1">
        <v>2</v>
      </c>
      <c r="B374" s="1">
        <v>0</v>
      </c>
      <c r="C374" s="1" t="s">
        <v>93</v>
      </c>
      <c r="D374" s="1" t="s">
        <v>30</v>
      </c>
      <c r="E374" s="1" t="s">
        <v>6</v>
      </c>
      <c r="F374">
        <v>1</v>
      </c>
      <c r="H374" s="17" t="s">
        <v>232</v>
      </c>
      <c r="I374" s="18"/>
      <c r="J374" s="18"/>
      <c r="K374" s="18">
        <v>1</v>
      </c>
      <c r="L374" s="18"/>
    </row>
    <row r="375" spans="1:22" x14ac:dyDescent="0.2">
      <c r="A375" s="1">
        <v>2</v>
      </c>
      <c r="B375" s="1">
        <v>0</v>
      </c>
      <c r="C375" s="1" t="s">
        <v>94</v>
      </c>
      <c r="D375" s="1" t="s">
        <v>13</v>
      </c>
      <c r="E375" s="1" t="s">
        <v>6</v>
      </c>
      <c r="F375">
        <v>1</v>
      </c>
      <c r="N375" s="43" t="s">
        <v>288</v>
      </c>
      <c r="O375" s="44"/>
      <c r="P375" s="44"/>
      <c r="Q375" s="44"/>
      <c r="R375" s="44"/>
    </row>
    <row r="376" spans="1:22" x14ac:dyDescent="0.2">
      <c r="A376" s="1">
        <v>2</v>
      </c>
      <c r="B376" s="1">
        <v>0</v>
      </c>
      <c r="C376" s="1" t="s">
        <v>95</v>
      </c>
      <c r="D376" s="1" t="s">
        <v>13</v>
      </c>
      <c r="E376" s="1" t="s">
        <v>6</v>
      </c>
      <c r="F376">
        <v>4</v>
      </c>
      <c r="N376" s="45" t="s">
        <v>287</v>
      </c>
      <c r="O376" s="46" t="s">
        <v>265</v>
      </c>
      <c r="P376" s="46" t="s">
        <v>266</v>
      </c>
      <c r="Q376" s="46" t="s">
        <v>267</v>
      </c>
      <c r="R376" s="47" t="s">
        <v>268</v>
      </c>
      <c r="S376" s="46" t="s">
        <v>285</v>
      </c>
      <c r="T376" s="46" t="s">
        <v>291</v>
      </c>
      <c r="U376" s="46" t="s">
        <v>292</v>
      </c>
      <c r="V376" s="46" t="s">
        <v>293</v>
      </c>
    </row>
    <row r="377" spans="1:22" x14ac:dyDescent="0.2">
      <c r="A377" s="1">
        <v>2</v>
      </c>
      <c r="B377" s="1">
        <v>0</v>
      </c>
      <c r="C377" s="1" t="s">
        <v>95</v>
      </c>
      <c r="D377" s="1" t="s">
        <v>5</v>
      </c>
      <c r="E377" s="1" t="s">
        <v>6</v>
      </c>
      <c r="F377">
        <v>3</v>
      </c>
      <c r="N377">
        <v>1</v>
      </c>
      <c r="O377">
        <f t="shared" ref="O377:O385" si="6">COUNTIF(I$151:I$374,$N377)</f>
        <v>66</v>
      </c>
      <c r="P377">
        <f t="shared" ref="O377:P401" si="7">COUNTIF(J$151:J$374,$N377)</f>
        <v>75</v>
      </c>
      <c r="Q377">
        <f t="shared" ref="Q377:Q401" si="8">COUNTIF(K$151:K$374,$N377)</f>
        <v>81</v>
      </c>
      <c r="R377">
        <f t="shared" ref="R377:R401" si="9">COUNTIF(L$151:L$374,$N377)</f>
        <v>65</v>
      </c>
      <c r="S377" s="48">
        <f>O377/O$117</f>
        <v>0.42038216560509556</v>
      </c>
      <c r="T377" s="48">
        <f t="shared" ref="T377:T386" si="10">P377/P$117</f>
        <v>0.43352601156069365</v>
      </c>
      <c r="U377" s="48">
        <f t="shared" ref="U377:U386" si="11">Q377/Q$117</f>
        <v>0.48795180722891568</v>
      </c>
      <c r="V377" s="48">
        <f t="shared" ref="V377:V386" si="12">R377/R$117</f>
        <v>0.42483660130718953</v>
      </c>
    </row>
    <row r="378" spans="1:22" x14ac:dyDescent="0.2">
      <c r="A378" s="1">
        <v>2</v>
      </c>
      <c r="B378" s="1">
        <v>0</v>
      </c>
      <c r="C378" s="1" t="s">
        <v>96</v>
      </c>
      <c r="D378" s="1" t="s">
        <v>5</v>
      </c>
      <c r="E378" s="1" t="s">
        <v>6</v>
      </c>
      <c r="F378">
        <v>1</v>
      </c>
      <c r="N378">
        <v>2</v>
      </c>
      <c r="O378">
        <f t="shared" si="6"/>
        <v>43</v>
      </c>
      <c r="P378">
        <f t="shared" si="7"/>
        <v>50</v>
      </c>
      <c r="Q378">
        <f t="shared" si="8"/>
        <v>38</v>
      </c>
      <c r="R378">
        <f t="shared" si="9"/>
        <v>35</v>
      </c>
      <c r="S378" s="48">
        <f t="shared" ref="S378:S386" si="13">O378/O$117</f>
        <v>0.27388535031847133</v>
      </c>
      <c r="T378" s="48">
        <f t="shared" si="10"/>
        <v>0.28901734104046245</v>
      </c>
      <c r="U378" s="48">
        <f t="shared" si="11"/>
        <v>0.2289156626506024</v>
      </c>
      <c r="V378" s="48">
        <f t="shared" si="12"/>
        <v>0.22875816993464052</v>
      </c>
    </row>
    <row r="379" spans="1:22" x14ac:dyDescent="0.2">
      <c r="A379" s="1">
        <v>2</v>
      </c>
      <c r="B379" s="1">
        <v>0</v>
      </c>
      <c r="C379" s="1" t="s">
        <v>96</v>
      </c>
      <c r="D379" s="1" t="s">
        <v>30</v>
      </c>
      <c r="E379" s="1" t="s">
        <v>6</v>
      </c>
      <c r="F379">
        <v>1</v>
      </c>
      <c r="N379">
        <v>3</v>
      </c>
      <c r="O379">
        <f t="shared" si="6"/>
        <v>22</v>
      </c>
      <c r="P379">
        <f t="shared" si="7"/>
        <v>20</v>
      </c>
      <c r="Q379">
        <f t="shared" si="8"/>
        <v>22</v>
      </c>
      <c r="R379">
        <f t="shared" si="9"/>
        <v>20</v>
      </c>
      <c r="S379" s="48">
        <f t="shared" si="13"/>
        <v>0.14012738853503184</v>
      </c>
      <c r="T379" s="48">
        <f t="shared" si="10"/>
        <v>0.11560693641618497</v>
      </c>
      <c r="U379" s="48">
        <f t="shared" si="11"/>
        <v>0.13253012048192772</v>
      </c>
      <c r="V379" s="48">
        <f t="shared" si="12"/>
        <v>0.13071895424836602</v>
      </c>
    </row>
    <row r="380" spans="1:22" x14ac:dyDescent="0.2">
      <c r="A380" s="1">
        <v>2</v>
      </c>
      <c r="B380" s="1">
        <v>0</v>
      </c>
      <c r="C380" s="1" t="s">
        <v>97</v>
      </c>
      <c r="D380" s="1" t="s">
        <v>13</v>
      </c>
      <c r="E380" s="1" t="s">
        <v>6</v>
      </c>
      <c r="F380">
        <v>4</v>
      </c>
      <c r="N380">
        <v>4</v>
      </c>
      <c r="O380">
        <f t="shared" si="6"/>
        <v>10</v>
      </c>
      <c r="P380">
        <f t="shared" si="7"/>
        <v>11</v>
      </c>
      <c r="Q380">
        <f t="shared" si="8"/>
        <v>9</v>
      </c>
      <c r="R380">
        <f t="shared" si="9"/>
        <v>14</v>
      </c>
      <c r="S380" s="48">
        <f t="shared" si="13"/>
        <v>6.3694267515923567E-2</v>
      </c>
      <c r="T380" s="48">
        <f t="shared" si="10"/>
        <v>6.358381502890173E-2</v>
      </c>
      <c r="U380" s="48">
        <f t="shared" si="11"/>
        <v>5.4216867469879519E-2</v>
      </c>
      <c r="V380" s="48">
        <f t="shared" si="12"/>
        <v>9.1503267973856203E-2</v>
      </c>
    </row>
    <row r="381" spans="1:22" x14ac:dyDescent="0.2">
      <c r="A381" s="1">
        <v>2</v>
      </c>
      <c r="B381" s="1">
        <v>0</v>
      </c>
      <c r="C381" s="1" t="s">
        <v>98</v>
      </c>
      <c r="D381" s="1" t="s">
        <v>5</v>
      </c>
      <c r="E381" s="1" t="s">
        <v>6</v>
      </c>
      <c r="F381">
        <v>1</v>
      </c>
      <c r="N381">
        <v>5</v>
      </c>
      <c r="O381">
        <f t="shared" si="6"/>
        <v>3</v>
      </c>
      <c r="P381">
        <f t="shared" si="7"/>
        <v>4</v>
      </c>
      <c r="Q381">
        <f t="shared" si="8"/>
        <v>5</v>
      </c>
      <c r="R381">
        <f t="shared" si="9"/>
        <v>5</v>
      </c>
      <c r="S381" s="48">
        <f t="shared" si="13"/>
        <v>1.9108280254777069E-2</v>
      </c>
      <c r="T381" s="48">
        <f t="shared" si="10"/>
        <v>2.3121387283236993E-2</v>
      </c>
      <c r="U381" s="48">
        <f t="shared" si="11"/>
        <v>3.0120481927710843E-2</v>
      </c>
      <c r="V381" s="48">
        <f t="shared" si="12"/>
        <v>3.2679738562091505E-2</v>
      </c>
    </row>
    <row r="382" spans="1:22" x14ac:dyDescent="0.2">
      <c r="A382" s="1">
        <v>2</v>
      </c>
      <c r="B382" s="1">
        <v>0</v>
      </c>
      <c r="C382" s="1" t="s">
        <v>99</v>
      </c>
      <c r="D382" s="1" t="s">
        <v>13</v>
      </c>
      <c r="E382" s="1" t="s">
        <v>6</v>
      </c>
      <c r="F382">
        <v>2</v>
      </c>
      <c r="N382">
        <v>6</v>
      </c>
      <c r="O382">
        <f t="shared" si="6"/>
        <v>3</v>
      </c>
      <c r="P382">
        <f t="shared" si="7"/>
        <v>7</v>
      </c>
      <c r="Q382">
        <f t="shared" si="8"/>
        <v>4</v>
      </c>
      <c r="R382">
        <f t="shared" si="9"/>
        <v>8</v>
      </c>
      <c r="S382" s="48">
        <f t="shared" si="13"/>
        <v>1.9108280254777069E-2</v>
      </c>
      <c r="T382" s="48">
        <f t="shared" si="10"/>
        <v>4.046242774566474E-2</v>
      </c>
      <c r="U382" s="48">
        <f t="shared" si="11"/>
        <v>2.4096385542168676E-2</v>
      </c>
      <c r="V382" s="48">
        <f t="shared" si="12"/>
        <v>5.2287581699346407E-2</v>
      </c>
    </row>
    <row r="383" spans="1:22" x14ac:dyDescent="0.2">
      <c r="A383" s="1">
        <v>2</v>
      </c>
      <c r="B383" s="1">
        <v>0</v>
      </c>
      <c r="C383" s="1" t="s">
        <v>100</v>
      </c>
      <c r="D383" s="1" t="s">
        <v>5</v>
      </c>
      <c r="E383" s="1" t="s">
        <v>6</v>
      </c>
      <c r="F383">
        <v>2</v>
      </c>
      <c r="N383">
        <v>7</v>
      </c>
      <c r="O383">
        <f t="shared" si="6"/>
        <v>5</v>
      </c>
      <c r="P383">
        <f t="shared" si="7"/>
        <v>4</v>
      </c>
      <c r="Q383">
        <f t="shared" si="8"/>
        <v>3</v>
      </c>
      <c r="R383">
        <f t="shared" si="9"/>
        <v>2</v>
      </c>
      <c r="S383" s="48">
        <f t="shared" si="13"/>
        <v>3.1847133757961783E-2</v>
      </c>
      <c r="T383" s="48">
        <f t="shared" si="10"/>
        <v>2.3121387283236993E-2</v>
      </c>
      <c r="U383" s="48">
        <f t="shared" si="11"/>
        <v>1.8072289156626505E-2</v>
      </c>
      <c r="V383" s="48">
        <f t="shared" si="12"/>
        <v>1.3071895424836602E-2</v>
      </c>
    </row>
    <row r="384" spans="1:22" x14ac:dyDescent="0.2">
      <c r="A384" s="1">
        <v>2</v>
      </c>
      <c r="B384" s="1">
        <v>0</v>
      </c>
      <c r="C384" s="1" t="s">
        <v>101</v>
      </c>
      <c r="D384" s="1" t="s">
        <v>5</v>
      </c>
      <c r="E384" s="1" t="s">
        <v>6</v>
      </c>
      <c r="F384">
        <v>3</v>
      </c>
      <c r="N384">
        <v>8</v>
      </c>
      <c r="O384">
        <f t="shared" si="6"/>
        <v>0</v>
      </c>
      <c r="P384">
        <f t="shared" si="7"/>
        <v>0</v>
      </c>
      <c r="Q384">
        <f t="shared" si="8"/>
        <v>0</v>
      </c>
      <c r="R384">
        <f t="shared" si="9"/>
        <v>0</v>
      </c>
      <c r="S384" s="48">
        <f t="shared" si="13"/>
        <v>0</v>
      </c>
      <c r="T384" s="48">
        <f t="shared" si="10"/>
        <v>0</v>
      </c>
      <c r="U384" s="48">
        <f t="shared" si="11"/>
        <v>0</v>
      </c>
      <c r="V384" s="48">
        <f t="shared" si="12"/>
        <v>0</v>
      </c>
    </row>
    <row r="385" spans="1:22" x14ac:dyDescent="0.2">
      <c r="A385" s="1">
        <v>2</v>
      </c>
      <c r="B385" s="1">
        <v>0</v>
      </c>
      <c r="C385" s="1" t="s">
        <v>102</v>
      </c>
      <c r="D385" s="1" t="s">
        <v>5</v>
      </c>
      <c r="E385" s="1" t="s">
        <v>6</v>
      </c>
      <c r="F385">
        <v>1</v>
      </c>
      <c r="N385">
        <v>9</v>
      </c>
      <c r="O385">
        <f t="shared" si="6"/>
        <v>3</v>
      </c>
      <c r="P385">
        <f t="shared" si="7"/>
        <v>1</v>
      </c>
      <c r="Q385">
        <f t="shared" si="8"/>
        <v>1</v>
      </c>
      <c r="R385">
        <f t="shared" si="9"/>
        <v>2</v>
      </c>
      <c r="S385" s="48">
        <f t="shared" si="13"/>
        <v>1.9108280254777069E-2</v>
      </c>
      <c r="T385" s="48">
        <f t="shared" si="10"/>
        <v>5.7803468208092483E-3</v>
      </c>
      <c r="U385" s="48">
        <f t="shared" si="11"/>
        <v>6.024096385542169E-3</v>
      </c>
      <c r="V385" s="48">
        <f t="shared" si="12"/>
        <v>1.3071895424836602E-2</v>
      </c>
    </row>
    <row r="386" spans="1:22" x14ac:dyDescent="0.2">
      <c r="A386" s="1">
        <v>2</v>
      </c>
      <c r="B386" s="1">
        <v>0</v>
      </c>
      <c r="C386" s="1" t="s">
        <v>103</v>
      </c>
      <c r="D386" s="1" t="s">
        <v>5</v>
      </c>
      <c r="E386" s="1" t="s">
        <v>6</v>
      </c>
      <c r="F386">
        <v>4</v>
      </c>
      <c r="N386" t="s">
        <v>289</v>
      </c>
      <c r="O386">
        <f>SUM(O387:O402)</f>
        <v>2</v>
      </c>
      <c r="P386">
        <f t="shared" ref="P386:R386" si="14">SUM(P387:P402)</f>
        <v>1</v>
      </c>
      <c r="Q386">
        <f t="shared" si="14"/>
        <v>3</v>
      </c>
      <c r="R386">
        <f t="shared" si="14"/>
        <v>2</v>
      </c>
      <c r="S386" s="48">
        <f t="shared" si="13"/>
        <v>1.2738853503184714E-2</v>
      </c>
      <c r="T386" s="48">
        <f t="shared" si="10"/>
        <v>5.7803468208092483E-3</v>
      </c>
      <c r="U386" s="48">
        <f t="shared" si="11"/>
        <v>1.8072289156626505E-2</v>
      </c>
      <c r="V386" s="48">
        <f t="shared" si="12"/>
        <v>1.3071895424836602E-2</v>
      </c>
    </row>
    <row r="387" spans="1:22" x14ac:dyDescent="0.2">
      <c r="A387" s="1">
        <v>2</v>
      </c>
      <c r="B387" s="1">
        <v>0</v>
      </c>
      <c r="C387" s="1" t="s">
        <v>104</v>
      </c>
      <c r="D387" s="1" t="s">
        <v>5</v>
      </c>
      <c r="E387" s="1" t="s">
        <v>6</v>
      </c>
      <c r="F387">
        <v>2</v>
      </c>
      <c r="N387">
        <v>10</v>
      </c>
      <c r="O387">
        <f t="shared" ref="O387:O403" si="15">COUNTIF(I$151:I$374,$N387)</f>
        <v>0</v>
      </c>
      <c r="P387">
        <f t="shared" ref="P387:P403" si="16">COUNTIF(J$151:J$374,$N387)</f>
        <v>0</v>
      </c>
      <c r="Q387">
        <f t="shared" ref="Q387:Q403" si="17">COUNTIF(K$151:K$374,$N387)</f>
        <v>1</v>
      </c>
      <c r="R387">
        <f t="shared" ref="R387:R403" si="18">COUNTIF(L$151:L$374,$N387)</f>
        <v>0</v>
      </c>
    </row>
    <row r="388" spans="1:22" x14ac:dyDescent="0.2">
      <c r="A388" s="1">
        <v>2</v>
      </c>
      <c r="B388" s="1">
        <v>0</v>
      </c>
      <c r="C388" s="1" t="s">
        <v>106</v>
      </c>
      <c r="D388" s="1" t="s">
        <v>5</v>
      </c>
      <c r="E388" s="1" t="s">
        <v>6</v>
      </c>
      <c r="F388">
        <v>1</v>
      </c>
      <c r="N388">
        <v>11</v>
      </c>
      <c r="O388">
        <f t="shared" si="15"/>
        <v>0</v>
      </c>
      <c r="P388">
        <f t="shared" si="16"/>
        <v>0</v>
      </c>
      <c r="Q388">
        <f t="shared" si="17"/>
        <v>1</v>
      </c>
      <c r="R388">
        <f t="shared" si="18"/>
        <v>0</v>
      </c>
    </row>
    <row r="389" spans="1:22" x14ac:dyDescent="0.2">
      <c r="A389" s="1">
        <v>2</v>
      </c>
      <c r="B389" s="1">
        <v>0</v>
      </c>
      <c r="C389" s="1" t="s">
        <v>107</v>
      </c>
      <c r="D389" s="1" t="s">
        <v>5</v>
      </c>
      <c r="E389" s="1" t="s">
        <v>6</v>
      </c>
      <c r="F389">
        <v>1</v>
      </c>
      <c r="N389">
        <v>12</v>
      </c>
      <c r="O389">
        <f t="shared" si="15"/>
        <v>0</v>
      </c>
      <c r="P389">
        <f t="shared" si="16"/>
        <v>0</v>
      </c>
      <c r="Q389">
        <f t="shared" si="17"/>
        <v>0</v>
      </c>
      <c r="R389">
        <f t="shared" si="18"/>
        <v>0</v>
      </c>
    </row>
    <row r="390" spans="1:22" x14ac:dyDescent="0.2">
      <c r="A390" s="1">
        <v>2</v>
      </c>
      <c r="B390" s="1">
        <v>0</v>
      </c>
      <c r="C390" s="1" t="s">
        <v>108</v>
      </c>
      <c r="D390" s="1" t="s">
        <v>5</v>
      </c>
      <c r="E390" s="1" t="s">
        <v>6</v>
      </c>
      <c r="F390">
        <v>1</v>
      </c>
      <c r="N390">
        <v>13</v>
      </c>
      <c r="O390">
        <f t="shared" si="15"/>
        <v>1</v>
      </c>
      <c r="P390">
        <f t="shared" si="16"/>
        <v>0</v>
      </c>
      <c r="Q390">
        <f t="shared" si="17"/>
        <v>0</v>
      </c>
      <c r="R390">
        <f t="shared" si="18"/>
        <v>1</v>
      </c>
    </row>
    <row r="391" spans="1:22" x14ac:dyDescent="0.2">
      <c r="A391" s="1">
        <v>2</v>
      </c>
      <c r="B391" s="1">
        <v>0</v>
      </c>
      <c r="C391" s="1" t="s">
        <v>108</v>
      </c>
      <c r="D391" s="1" t="s">
        <v>42</v>
      </c>
      <c r="E391" s="1" t="s">
        <v>6</v>
      </c>
      <c r="F391">
        <v>1</v>
      </c>
      <c r="N391">
        <v>14</v>
      </c>
      <c r="O391">
        <f t="shared" si="15"/>
        <v>0</v>
      </c>
      <c r="P391">
        <f t="shared" si="16"/>
        <v>0</v>
      </c>
      <c r="Q391">
        <f t="shared" si="17"/>
        <v>0</v>
      </c>
      <c r="R391">
        <f t="shared" si="18"/>
        <v>1</v>
      </c>
    </row>
    <row r="392" spans="1:22" x14ac:dyDescent="0.2">
      <c r="A392" s="1">
        <v>2</v>
      </c>
      <c r="B392" s="1">
        <v>0</v>
      </c>
      <c r="C392" s="1" t="s">
        <v>109</v>
      </c>
      <c r="D392" s="1" t="s">
        <v>13</v>
      </c>
      <c r="E392" s="1" t="s">
        <v>6</v>
      </c>
      <c r="F392">
        <v>1</v>
      </c>
      <c r="N392">
        <v>15</v>
      </c>
      <c r="O392">
        <f t="shared" si="15"/>
        <v>0</v>
      </c>
      <c r="P392">
        <f t="shared" si="16"/>
        <v>0</v>
      </c>
      <c r="Q392">
        <f t="shared" si="17"/>
        <v>0</v>
      </c>
      <c r="R392">
        <f t="shared" si="18"/>
        <v>0</v>
      </c>
    </row>
    <row r="393" spans="1:22" x14ac:dyDescent="0.2">
      <c r="A393" s="1">
        <v>2</v>
      </c>
      <c r="B393" s="1">
        <v>0</v>
      </c>
      <c r="C393" s="1" t="s">
        <v>110</v>
      </c>
      <c r="D393" s="1" t="s">
        <v>5</v>
      </c>
      <c r="E393" s="1" t="s">
        <v>6</v>
      </c>
      <c r="F393">
        <v>2</v>
      </c>
      <c r="N393">
        <v>16</v>
      </c>
      <c r="O393">
        <f t="shared" si="15"/>
        <v>0</v>
      </c>
      <c r="P393">
        <f t="shared" si="16"/>
        <v>0</v>
      </c>
      <c r="Q393">
        <f t="shared" si="17"/>
        <v>0</v>
      </c>
      <c r="R393">
        <f t="shared" si="18"/>
        <v>0</v>
      </c>
    </row>
    <row r="394" spans="1:22" x14ac:dyDescent="0.2">
      <c r="A394" s="1">
        <v>2</v>
      </c>
      <c r="B394" s="1">
        <v>0</v>
      </c>
      <c r="C394" s="1" t="s">
        <v>112</v>
      </c>
      <c r="D394" s="1" t="s">
        <v>5</v>
      </c>
      <c r="E394" s="1" t="s">
        <v>6</v>
      </c>
      <c r="F394">
        <v>1</v>
      </c>
      <c r="N394">
        <v>17</v>
      </c>
      <c r="O394">
        <f t="shared" si="15"/>
        <v>0</v>
      </c>
      <c r="P394">
        <f t="shared" si="16"/>
        <v>0</v>
      </c>
      <c r="Q394">
        <f t="shared" si="17"/>
        <v>1</v>
      </c>
      <c r="R394">
        <f t="shared" si="18"/>
        <v>0</v>
      </c>
    </row>
    <row r="395" spans="1:22" x14ac:dyDescent="0.2">
      <c r="A395" s="1">
        <v>2</v>
      </c>
      <c r="B395" s="1">
        <v>0</v>
      </c>
      <c r="C395" s="1" t="s">
        <v>113</v>
      </c>
      <c r="D395" s="1" t="s">
        <v>5</v>
      </c>
      <c r="E395" s="1" t="s">
        <v>6</v>
      </c>
      <c r="F395">
        <v>1</v>
      </c>
      <c r="N395">
        <v>18</v>
      </c>
      <c r="O395">
        <f t="shared" si="15"/>
        <v>0</v>
      </c>
      <c r="P395">
        <f t="shared" si="16"/>
        <v>1</v>
      </c>
      <c r="Q395">
        <f t="shared" si="17"/>
        <v>0</v>
      </c>
      <c r="R395">
        <f t="shared" si="18"/>
        <v>0</v>
      </c>
    </row>
    <row r="396" spans="1:22" x14ac:dyDescent="0.2">
      <c r="A396" s="1">
        <v>2</v>
      </c>
      <c r="B396" s="1">
        <v>0</v>
      </c>
      <c r="C396" s="1" t="s">
        <v>204</v>
      </c>
      <c r="D396" s="1" t="s">
        <v>5</v>
      </c>
      <c r="E396" s="1" t="s">
        <v>6</v>
      </c>
      <c r="F396">
        <v>5</v>
      </c>
      <c r="N396">
        <v>19</v>
      </c>
      <c r="O396">
        <f t="shared" si="15"/>
        <v>0</v>
      </c>
      <c r="P396">
        <f t="shared" si="16"/>
        <v>0</v>
      </c>
      <c r="Q396">
        <f t="shared" si="17"/>
        <v>0</v>
      </c>
      <c r="R396">
        <f t="shared" si="18"/>
        <v>0</v>
      </c>
    </row>
    <row r="397" spans="1:22" x14ac:dyDescent="0.2">
      <c r="A397" s="1">
        <v>2</v>
      </c>
      <c r="B397" s="1">
        <v>0</v>
      </c>
      <c r="C397" s="1" t="s">
        <v>114</v>
      </c>
      <c r="D397" s="1" t="s">
        <v>13</v>
      </c>
      <c r="E397" s="1" t="s">
        <v>6</v>
      </c>
      <c r="F397">
        <v>1</v>
      </c>
      <c r="N397">
        <v>20</v>
      </c>
      <c r="O397">
        <f t="shared" si="15"/>
        <v>0</v>
      </c>
      <c r="P397">
        <f t="shared" si="16"/>
        <v>0</v>
      </c>
      <c r="Q397">
        <f t="shared" si="17"/>
        <v>0</v>
      </c>
      <c r="R397">
        <f t="shared" si="18"/>
        <v>0</v>
      </c>
    </row>
    <row r="398" spans="1:22" x14ac:dyDescent="0.2">
      <c r="A398" s="1">
        <v>2</v>
      </c>
      <c r="B398" s="1">
        <v>0</v>
      </c>
      <c r="C398" s="1" t="s">
        <v>115</v>
      </c>
      <c r="D398" s="1" t="s">
        <v>5</v>
      </c>
      <c r="E398" s="1" t="s">
        <v>6</v>
      </c>
      <c r="F398">
        <v>1</v>
      </c>
      <c r="N398">
        <v>21</v>
      </c>
      <c r="O398">
        <f t="shared" si="15"/>
        <v>0</v>
      </c>
      <c r="P398">
        <f t="shared" si="16"/>
        <v>0</v>
      </c>
      <c r="Q398">
        <f t="shared" si="17"/>
        <v>0</v>
      </c>
      <c r="R398">
        <f t="shared" si="18"/>
        <v>0</v>
      </c>
    </row>
    <row r="399" spans="1:22" x14ac:dyDescent="0.2">
      <c r="A399" s="1">
        <v>2</v>
      </c>
      <c r="B399" s="1">
        <v>0</v>
      </c>
      <c r="C399" s="1" t="s">
        <v>116</v>
      </c>
      <c r="D399" s="1" t="s">
        <v>5</v>
      </c>
      <c r="E399" s="1" t="s">
        <v>6</v>
      </c>
      <c r="F399">
        <v>2</v>
      </c>
      <c r="N399">
        <v>22</v>
      </c>
      <c r="O399">
        <f t="shared" si="15"/>
        <v>1</v>
      </c>
      <c r="P399">
        <f t="shared" si="16"/>
        <v>0</v>
      </c>
      <c r="Q399">
        <f t="shared" si="17"/>
        <v>0</v>
      </c>
      <c r="R399">
        <f t="shared" si="18"/>
        <v>0</v>
      </c>
    </row>
    <row r="400" spans="1:22" x14ac:dyDescent="0.2">
      <c r="A400" s="1">
        <v>2</v>
      </c>
      <c r="B400" s="1">
        <v>0</v>
      </c>
      <c r="C400" s="1" t="s">
        <v>116</v>
      </c>
      <c r="D400" s="1" t="s">
        <v>28</v>
      </c>
      <c r="E400" s="1" t="s">
        <v>6</v>
      </c>
      <c r="F400">
        <v>1</v>
      </c>
      <c r="N400">
        <v>23</v>
      </c>
      <c r="O400">
        <f t="shared" si="15"/>
        <v>0</v>
      </c>
      <c r="P400">
        <f t="shared" si="16"/>
        <v>0</v>
      </c>
      <c r="Q400">
        <f t="shared" si="17"/>
        <v>0</v>
      </c>
      <c r="R400">
        <f t="shared" si="18"/>
        <v>0</v>
      </c>
    </row>
    <row r="401" spans="1:18" x14ac:dyDescent="0.2">
      <c r="A401" s="1">
        <v>2</v>
      </c>
      <c r="B401" s="1">
        <v>0</v>
      </c>
      <c r="C401" s="1" t="s">
        <v>117</v>
      </c>
      <c r="D401" s="1" t="s">
        <v>28</v>
      </c>
      <c r="E401" s="1" t="s">
        <v>6</v>
      </c>
      <c r="F401">
        <v>2</v>
      </c>
      <c r="N401">
        <v>24</v>
      </c>
      <c r="O401">
        <f t="shared" si="15"/>
        <v>0</v>
      </c>
      <c r="P401">
        <f t="shared" si="16"/>
        <v>0</v>
      </c>
      <c r="Q401">
        <f t="shared" si="17"/>
        <v>0</v>
      </c>
      <c r="R401">
        <f t="shared" si="18"/>
        <v>0</v>
      </c>
    </row>
    <row r="402" spans="1:18" x14ac:dyDescent="0.2">
      <c r="A402" s="1">
        <v>2</v>
      </c>
      <c r="B402" s="1">
        <v>0</v>
      </c>
      <c r="C402" s="1" t="s">
        <v>119</v>
      </c>
      <c r="D402" s="1" t="s">
        <v>13</v>
      </c>
      <c r="E402" s="1" t="s">
        <v>6</v>
      </c>
      <c r="F402">
        <v>2</v>
      </c>
      <c r="N402">
        <v>25</v>
      </c>
      <c r="O402">
        <f t="shared" si="15"/>
        <v>0</v>
      </c>
      <c r="P402">
        <f t="shared" si="16"/>
        <v>0</v>
      </c>
      <c r="Q402">
        <f t="shared" si="17"/>
        <v>0</v>
      </c>
      <c r="R402">
        <f t="shared" si="18"/>
        <v>0</v>
      </c>
    </row>
    <row r="403" spans="1:18" x14ac:dyDescent="0.2">
      <c r="A403" s="1">
        <v>2</v>
      </c>
      <c r="B403" s="1">
        <v>0</v>
      </c>
      <c r="C403" s="1" t="s">
        <v>119</v>
      </c>
      <c r="D403" s="1" t="s">
        <v>5</v>
      </c>
      <c r="E403" s="1" t="s">
        <v>6</v>
      </c>
      <c r="F403">
        <v>3</v>
      </c>
      <c r="N403" t="s">
        <v>289</v>
      </c>
      <c r="O403">
        <f t="shared" si="15"/>
        <v>0</v>
      </c>
      <c r="P403">
        <f>SUM(P387:P402)</f>
        <v>1</v>
      </c>
      <c r="Q403">
        <f>SUM(Q387:Q402)</f>
        <v>3</v>
      </c>
      <c r="R403">
        <f>SUM(R387:R402)</f>
        <v>2</v>
      </c>
    </row>
    <row r="404" spans="1:18" x14ac:dyDescent="0.2">
      <c r="A404" s="1">
        <v>2</v>
      </c>
      <c r="B404" s="1">
        <v>0</v>
      </c>
      <c r="C404" s="1" t="s">
        <v>121</v>
      </c>
      <c r="D404" s="1" t="s">
        <v>40</v>
      </c>
      <c r="E404" s="1" t="s">
        <v>6</v>
      </c>
      <c r="F404">
        <v>2</v>
      </c>
    </row>
    <row r="405" spans="1:18" x14ac:dyDescent="0.2">
      <c r="A405" s="1">
        <v>2</v>
      </c>
      <c r="B405" s="1">
        <v>0</v>
      </c>
      <c r="C405" s="1" t="s">
        <v>121</v>
      </c>
      <c r="D405" s="1" t="s">
        <v>41</v>
      </c>
      <c r="E405" s="1" t="s">
        <v>6</v>
      </c>
      <c r="F405">
        <v>2</v>
      </c>
    </row>
    <row r="406" spans="1:18" x14ac:dyDescent="0.2">
      <c r="A406" s="1">
        <v>2</v>
      </c>
      <c r="B406" s="1">
        <v>0</v>
      </c>
      <c r="C406" s="1" t="s">
        <v>121</v>
      </c>
      <c r="D406" s="1" t="s">
        <v>28</v>
      </c>
      <c r="E406" s="1" t="s">
        <v>6</v>
      </c>
      <c r="F406">
        <v>1</v>
      </c>
    </row>
    <row r="407" spans="1:18" x14ac:dyDescent="0.2">
      <c r="A407" s="1">
        <v>2</v>
      </c>
      <c r="B407" s="1">
        <v>0</v>
      </c>
      <c r="C407" s="1" t="s">
        <v>122</v>
      </c>
      <c r="D407" s="1" t="s">
        <v>5</v>
      </c>
      <c r="E407" s="1" t="s">
        <v>6</v>
      </c>
      <c r="F407">
        <v>4</v>
      </c>
    </row>
    <row r="408" spans="1:18" x14ac:dyDescent="0.2">
      <c r="A408" s="1">
        <v>2</v>
      </c>
      <c r="B408" s="1">
        <v>0</v>
      </c>
      <c r="C408" s="1" t="s">
        <v>123</v>
      </c>
      <c r="D408" s="1" t="s">
        <v>5</v>
      </c>
      <c r="E408" s="1" t="s">
        <v>6</v>
      </c>
      <c r="F408">
        <v>4</v>
      </c>
    </row>
    <row r="409" spans="1:18" x14ac:dyDescent="0.2">
      <c r="A409" s="1">
        <v>2</v>
      </c>
      <c r="B409" s="1">
        <v>0</v>
      </c>
      <c r="C409" s="1" t="s">
        <v>125</v>
      </c>
      <c r="D409" s="1" t="s">
        <v>42</v>
      </c>
      <c r="E409" s="1" t="s">
        <v>6</v>
      </c>
      <c r="F409">
        <v>6</v>
      </c>
    </row>
    <row r="410" spans="1:18" x14ac:dyDescent="0.2">
      <c r="A410" s="1">
        <v>2</v>
      </c>
      <c r="B410" s="1">
        <v>0</v>
      </c>
      <c r="C410" s="1" t="s">
        <v>126</v>
      </c>
      <c r="D410" s="1" t="s">
        <v>5</v>
      </c>
      <c r="E410" s="1" t="s">
        <v>6</v>
      </c>
      <c r="F410">
        <v>2</v>
      </c>
    </row>
    <row r="411" spans="1:18" x14ac:dyDescent="0.2">
      <c r="A411" s="1">
        <v>2</v>
      </c>
      <c r="B411" s="1">
        <v>0</v>
      </c>
      <c r="C411" s="1" t="s">
        <v>205</v>
      </c>
      <c r="D411" s="1" t="s">
        <v>13</v>
      </c>
      <c r="E411" s="1" t="s">
        <v>6</v>
      </c>
      <c r="F411">
        <v>4</v>
      </c>
    </row>
    <row r="412" spans="1:18" x14ac:dyDescent="0.2">
      <c r="A412" s="1">
        <v>2</v>
      </c>
      <c r="B412" s="1">
        <v>0</v>
      </c>
      <c r="C412" s="1" t="s">
        <v>205</v>
      </c>
      <c r="D412" s="1" t="s">
        <v>5</v>
      </c>
      <c r="E412" s="1" t="s">
        <v>6</v>
      </c>
      <c r="F412">
        <v>2</v>
      </c>
    </row>
    <row r="413" spans="1:18" x14ac:dyDescent="0.2">
      <c r="A413" s="1">
        <v>2</v>
      </c>
      <c r="B413" s="1">
        <v>0</v>
      </c>
      <c r="C413" s="1" t="s">
        <v>206</v>
      </c>
      <c r="D413" s="1" t="s">
        <v>13</v>
      </c>
      <c r="E413" s="1" t="s">
        <v>6</v>
      </c>
      <c r="F413">
        <v>1</v>
      </c>
    </row>
    <row r="414" spans="1:18" x14ac:dyDescent="0.2">
      <c r="A414" s="1">
        <v>2</v>
      </c>
      <c r="B414" s="1">
        <v>0</v>
      </c>
      <c r="C414" s="1" t="s">
        <v>128</v>
      </c>
      <c r="D414" s="1" t="s">
        <v>5</v>
      </c>
      <c r="E414" s="1" t="s">
        <v>6</v>
      </c>
      <c r="F414">
        <v>1</v>
      </c>
    </row>
    <row r="415" spans="1:18" x14ac:dyDescent="0.2">
      <c r="A415" s="1">
        <v>2</v>
      </c>
      <c r="B415" s="1">
        <v>0</v>
      </c>
      <c r="C415" s="1" t="s">
        <v>128</v>
      </c>
      <c r="D415" s="1" t="s">
        <v>40</v>
      </c>
      <c r="E415" s="1" t="s">
        <v>6</v>
      </c>
      <c r="F415">
        <v>6</v>
      </c>
    </row>
    <row r="416" spans="1:18" x14ac:dyDescent="0.2">
      <c r="A416" s="1">
        <v>2</v>
      </c>
      <c r="B416" s="1">
        <v>0</v>
      </c>
      <c r="C416" s="1" t="s">
        <v>128</v>
      </c>
      <c r="D416" s="1" t="s">
        <v>41</v>
      </c>
      <c r="E416" s="1" t="s">
        <v>6</v>
      </c>
      <c r="F416">
        <v>6</v>
      </c>
    </row>
    <row r="417" spans="1:19" x14ac:dyDescent="0.2">
      <c r="A417" s="1">
        <v>2</v>
      </c>
      <c r="B417" s="1">
        <v>0</v>
      </c>
      <c r="C417" s="1" t="s">
        <v>128</v>
      </c>
      <c r="D417" s="1" t="s">
        <v>30</v>
      </c>
      <c r="E417" s="1" t="s">
        <v>6</v>
      </c>
      <c r="F417">
        <v>2</v>
      </c>
    </row>
    <row r="418" spans="1:19" x14ac:dyDescent="0.2">
      <c r="A418" s="1">
        <v>2</v>
      </c>
      <c r="B418" s="1">
        <v>0</v>
      </c>
      <c r="C418" s="1" t="s">
        <v>128</v>
      </c>
      <c r="D418" s="1" t="s">
        <v>42</v>
      </c>
      <c r="E418" s="1" t="s">
        <v>6</v>
      </c>
      <c r="F418">
        <v>1</v>
      </c>
    </row>
    <row r="419" spans="1:19" x14ac:dyDescent="0.2">
      <c r="A419" s="1">
        <v>2</v>
      </c>
      <c r="B419" s="1">
        <v>0</v>
      </c>
      <c r="C419" s="1" t="s">
        <v>128</v>
      </c>
      <c r="D419" s="1" t="s">
        <v>28</v>
      </c>
      <c r="E419" s="1" t="s">
        <v>6</v>
      </c>
      <c r="F419">
        <v>2</v>
      </c>
    </row>
    <row r="420" spans="1:19" x14ac:dyDescent="0.2">
      <c r="A420" s="1">
        <v>2</v>
      </c>
      <c r="B420" s="1">
        <v>0</v>
      </c>
      <c r="C420" s="1" t="s">
        <v>129</v>
      </c>
      <c r="D420" s="1" t="s">
        <v>5</v>
      </c>
      <c r="E420" s="1" t="s">
        <v>6</v>
      </c>
      <c r="F420">
        <v>3</v>
      </c>
    </row>
    <row r="421" spans="1:19" x14ac:dyDescent="0.2">
      <c r="A421" s="1">
        <v>2</v>
      </c>
      <c r="B421" s="1">
        <v>0</v>
      </c>
      <c r="C421" s="1" t="s">
        <v>130</v>
      </c>
      <c r="D421" s="1" t="s">
        <v>5</v>
      </c>
      <c r="E421" s="1" t="s">
        <v>6</v>
      </c>
      <c r="F421">
        <v>2</v>
      </c>
    </row>
    <row r="422" spans="1:19" x14ac:dyDescent="0.2">
      <c r="A422" s="1">
        <v>2</v>
      </c>
      <c r="B422" s="1">
        <v>0</v>
      </c>
      <c r="C422" s="1" t="s">
        <v>131</v>
      </c>
      <c r="D422" s="1" t="s">
        <v>5</v>
      </c>
      <c r="E422" s="1" t="s">
        <v>6</v>
      </c>
      <c r="F422">
        <v>2</v>
      </c>
    </row>
    <row r="423" spans="1:19" x14ac:dyDescent="0.2">
      <c r="A423" s="1">
        <v>2</v>
      </c>
      <c r="B423" s="1">
        <v>0</v>
      </c>
      <c r="C423" s="1" t="s">
        <v>132</v>
      </c>
      <c r="D423" s="1" t="s">
        <v>5</v>
      </c>
      <c r="E423" s="1" t="s">
        <v>6</v>
      </c>
      <c r="F423">
        <v>1</v>
      </c>
    </row>
    <row r="424" spans="1:19" x14ac:dyDescent="0.2">
      <c r="A424" s="1">
        <v>2</v>
      </c>
      <c r="B424" s="1">
        <v>0</v>
      </c>
      <c r="C424" s="1" t="s">
        <v>132</v>
      </c>
      <c r="D424" s="1" t="s">
        <v>28</v>
      </c>
      <c r="E424" s="1" t="s">
        <v>6</v>
      </c>
      <c r="F424">
        <v>1</v>
      </c>
    </row>
    <row r="425" spans="1:19" x14ac:dyDescent="0.2">
      <c r="A425" s="1">
        <v>2</v>
      </c>
      <c r="B425" s="1">
        <v>0</v>
      </c>
      <c r="C425" s="1" t="s">
        <v>132</v>
      </c>
      <c r="D425" s="1" t="s">
        <v>30</v>
      </c>
      <c r="E425" s="1" t="s">
        <v>6</v>
      </c>
      <c r="F425">
        <v>1</v>
      </c>
    </row>
    <row r="426" spans="1:19" x14ac:dyDescent="0.2">
      <c r="A426" s="1">
        <v>2</v>
      </c>
      <c r="B426" s="1">
        <v>0</v>
      </c>
      <c r="C426" s="1" t="s">
        <v>133</v>
      </c>
      <c r="D426" s="1" t="s">
        <v>13</v>
      </c>
      <c r="E426" s="1" t="s">
        <v>6</v>
      </c>
      <c r="F426">
        <v>2</v>
      </c>
    </row>
    <row r="427" spans="1:19" x14ac:dyDescent="0.2">
      <c r="A427" s="1">
        <v>2</v>
      </c>
      <c r="B427" s="1">
        <v>0</v>
      </c>
      <c r="C427" s="1" t="s">
        <v>133</v>
      </c>
      <c r="D427" s="1" t="s">
        <v>5</v>
      </c>
      <c r="E427" s="1" t="s">
        <v>6</v>
      </c>
      <c r="F427">
        <v>1</v>
      </c>
    </row>
    <row r="428" spans="1:19" x14ac:dyDescent="0.2">
      <c r="A428" s="1">
        <v>2</v>
      </c>
      <c r="B428" s="1">
        <v>0</v>
      </c>
      <c r="C428" s="1" t="s">
        <v>207</v>
      </c>
      <c r="D428" s="1" t="s">
        <v>28</v>
      </c>
      <c r="E428" s="1" t="s">
        <v>6</v>
      </c>
      <c r="F428">
        <v>1</v>
      </c>
    </row>
    <row r="429" spans="1:19" x14ac:dyDescent="0.2">
      <c r="A429" s="1">
        <v>2</v>
      </c>
      <c r="B429" s="1">
        <v>0</v>
      </c>
      <c r="C429" s="1" t="s">
        <v>134</v>
      </c>
      <c r="D429" s="1" t="s">
        <v>5</v>
      </c>
      <c r="E429" s="1" t="s">
        <v>6</v>
      </c>
      <c r="F429">
        <v>1</v>
      </c>
    </row>
    <row r="430" spans="1:19" x14ac:dyDescent="0.2">
      <c r="A430" s="1">
        <v>2</v>
      </c>
      <c r="B430" s="1">
        <v>0</v>
      </c>
      <c r="C430" s="1" t="s">
        <v>208</v>
      </c>
      <c r="D430" s="1" t="s">
        <v>13</v>
      </c>
      <c r="E430" s="1" t="s">
        <v>6</v>
      </c>
      <c r="F430">
        <v>4</v>
      </c>
    </row>
    <row r="431" spans="1:19" x14ac:dyDescent="0.2">
      <c r="A431" s="1">
        <v>2</v>
      </c>
      <c r="B431" s="1">
        <v>0</v>
      </c>
      <c r="C431" s="1" t="s">
        <v>209</v>
      </c>
      <c r="D431" s="1" t="s">
        <v>13</v>
      </c>
      <c r="E431" s="1" t="s">
        <v>6</v>
      </c>
      <c r="F431">
        <v>1</v>
      </c>
      <c r="O431" t="s">
        <v>265</v>
      </c>
      <c r="P431" t="s">
        <v>266</v>
      </c>
      <c r="Q431" t="s">
        <v>267</v>
      </c>
      <c r="R431" t="s">
        <v>268</v>
      </c>
    </row>
    <row r="432" spans="1:19" x14ac:dyDescent="0.2">
      <c r="A432" s="1">
        <v>2</v>
      </c>
      <c r="B432" s="1">
        <v>0</v>
      </c>
      <c r="C432" s="1" t="s">
        <v>210</v>
      </c>
      <c r="D432" s="1" t="s">
        <v>13</v>
      </c>
      <c r="E432" s="1" t="s">
        <v>6</v>
      </c>
      <c r="F432">
        <v>3</v>
      </c>
      <c r="N432" t="s">
        <v>295</v>
      </c>
      <c r="O432" s="48">
        <f>IF(O3=0,0,(O4/O3)-1)</f>
        <v>-0.84278350515463918</v>
      </c>
      <c r="P432" s="48">
        <f t="shared" ref="P432:R432" si="19">IF(P3=0,0,(P4/P3)-1)</f>
        <v>-0.85606060606060608</v>
      </c>
      <c r="Q432" s="48">
        <f t="shared" si="19"/>
        <v>-0.84042553191489366</v>
      </c>
      <c r="R432" s="48">
        <f t="shared" si="19"/>
        <v>-0.81201044386422971</v>
      </c>
      <c r="S432" s="49">
        <f>AVERAGE(O432:R432)</f>
        <v>-0.83782002174859216</v>
      </c>
    </row>
    <row r="433" spans="1:19" x14ac:dyDescent="0.2">
      <c r="A433" s="1">
        <v>2</v>
      </c>
      <c r="B433" s="1">
        <v>0</v>
      </c>
      <c r="C433" s="1" t="s">
        <v>136</v>
      </c>
      <c r="D433" s="1" t="s">
        <v>5</v>
      </c>
      <c r="E433" s="1" t="s">
        <v>6</v>
      </c>
      <c r="F433">
        <v>6</v>
      </c>
      <c r="N433" t="s">
        <v>296</v>
      </c>
      <c r="O433" s="48">
        <f t="shared" ref="O433:R433" si="20">IF(O4=0,0,(O5/O4)-1)</f>
        <v>-0.63934426229508201</v>
      </c>
      <c r="P433" s="48">
        <f t="shared" si="20"/>
        <v>-0.80701754385964919</v>
      </c>
      <c r="Q433" s="48">
        <f t="shared" si="20"/>
        <v>-0.91666666666666663</v>
      </c>
      <c r="R433" s="48">
        <f t="shared" si="20"/>
        <v>-0.73611111111111116</v>
      </c>
      <c r="S433" s="49">
        <f t="shared" ref="S433:S438" si="21">AVERAGE(O433:R433)</f>
        <v>-0.77478489598312728</v>
      </c>
    </row>
    <row r="434" spans="1:19" x14ac:dyDescent="0.2">
      <c r="A434" s="1">
        <v>2</v>
      </c>
      <c r="B434" s="1">
        <v>0</v>
      </c>
      <c r="C434" s="1" t="s">
        <v>137</v>
      </c>
      <c r="D434" s="1" t="s">
        <v>13</v>
      </c>
      <c r="E434" s="1" t="s">
        <v>6</v>
      </c>
      <c r="F434">
        <v>2</v>
      </c>
      <c r="N434" t="s">
        <v>294</v>
      </c>
      <c r="O434" s="48">
        <f t="shared" ref="O434:R434" si="22">IF(O5=0,0,(O6/O5)-1)</f>
        <v>-0.31818181818181823</v>
      </c>
      <c r="P434" s="48">
        <f t="shared" si="22"/>
        <v>-0.90909090909090906</v>
      </c>
      <c r="Q434" s="48">
        <f t="shared" si="22"/>
        <v>0</v>
      </c>
      <c r="R434" s="48">
        <f t="shared" si="22"/>
        <v>-0.31578947368421051</v>
      </c>
      <c r="S434" s="49">
        <f t="shared" si="21"/>
        <v>-0.38576555023923442</v>
      </c>
    </row>
    <row r="435" spans="1:19" x14ac:dyDescent="0.2">
      <c r="A435" s="1">
        <v>2</v>
      </c>
      <c r="B435" s="1">
        <v>0</v>
      </c>
      <c r="C435" s="1" t="s">
        <v>211</v>
      </c>
      <c r="D435" s="1" t="s">
        <v>5</v>
      </c>
      <c r="E435" s="1" t="s">
        <v>6</v>
      </c>
      <c r="F435">
        <v>1</v>
      </c>
      <c r="N435" t="s">
        <v>297</v>
      </c>
      <c r="O435" s="48">
        <f t="shared" ref="O435:R435" si="23">IF(O6=0,0,(O7/O6)-1)</f>
        <v>-0.26666666666666672</v>
      </c>
      <c r="P435" s="48">
        <f t="shared" si="23"/>
        <v>-1</v>
      </c>
      <c r="Q435" s="48">
        <f t="shared" si="23"/>
        <v>-0.8</v>
      </c>
      <c r="R435" s="48">
        <f t="shared" si="23"/>
        <v>-0.30769230769230771</v>
      </c>
      <c r="S435" s="49">
        <f t="shared" si="21"/>
        <v>-0.59358974358974348</v>
      </c>
    </row>
    <row r="436" spans="1:19" x14ac:dyDescent="0.2">
      <c r="A436" s="1">
        <v>2</v>
      </c>
      <c r="B436" s="1">
        <v>0</v>
      </c>
      <c r="C436" s="1" t="s">
        <v>138</v>
      </c>
      <c r="D436" s="1" t="s">
        <v>5</v>
      </c>
      <c r="E436" s="1" t="s">
        <v>6</v>
      </c>
      <c r="F436">
        <v>2</v>
      </c>
      <c r="N436" t="s">
        <v>298</v>
      </c>
      <c r="O436" s="48">
        <f t="shared" ref="O436:R436" si="24">IF(O7=0,0,(O8/O7)-1)</f>
        <v>9.0909090909090828E-2</v>
      </c>
      <c r="P436" s="48"/>
      <c r="Q436" s="48">
        <f t="shared" si="24"/>
        <v>-1</v>
      </c>
      <c r="R436" s="48">
        <f t="shared" si="24"/>
        <v>-0.44444444444444442</v>
      </c>
      <c r="S436" s="49">
        <f t="shared" si="21"/>
        <v>-0.45117845117845118</v>
      </c>
    </row>
    <row r="437" spans="1:19" x14ac:dyDescent="0.2">
      <c r="A437" s="1">
        <v>2</v>
      </c>
      <c r="B437" s="1">
        <v>0</v>
      </c>
      <c r="C437" s="1" t="s">
        <v>139</v>
      </c>
      <c r="D437" s="1" t="s">
        <v>5</v>
      </c>
      <c r="E437" s="1" t="s">
        <v>6</v>
      </c>
      <c r="F437">
        <v>1</v>
      </c>
      <c r="N437" t="s">
        <v>299</v>
      </c>
      <c r="O437" s="48">
        <f t="shared" ref="O437:R437" si="25">IF(O8=0,0,(O9/O8)-1)</f>
        <v>-0.83333333333333337</v>
      </c>
      <c r="P437" s="48"/>
      <c r="Q437" s="48"/>
      <c r="R437" s="48">
        <f t="shared" si="25"/>
        <v>-1</v>
      </c>
      <c r="S437" s="49">
        <f t="shared" si="21"/>
        <v>-0.91666666666666674</v>
      </c>
    </row>
    <row r="438" spans="1:19" x14ac:dyDescent="0.2">
      <c r="A438" s="1">
        <v>2</v>
      </c>
      <c r="B438" s="1">
        <v>0</v>
      </c>
      <c r="C438" s="1" t="s">
        <v>170</v>
      </c>
      <c r="D438" s="1" t="s">
        <v>5</v>
      </c>
      <c r="E438" s="1" t="s">
        <v>6</v>
      </c>
      <c r="F438">
        <v>4</v>
      </c>
      <c r="N438" t="s">
        <v>300</v>
      </c>
      <c r="O438" s="48">
        <v>-1</v>
      </c>
      <c r="S438" s="49">
        <f t="shared" si="21"/>
        <v>-1</v>
      </c>
    </row>
    <row r="439" spans="1:19" x14ac:dyDescent="0.2">
      <c r="A439" s="1">
        <v>2</v>
      </c>
      <c r="B439" s="1">
        <v>0</v>
      </c>
      <c r="C439" s="1" t="s">
        <v>212</v>
      </c>
      <c r="D439" s="1" t="s">
        <v>13</v>
      </c>
      <c r="E439" s="1" t="s">
        <v>6</v>
      </c>
      <c r="F439">
        <v>1</v>
      </c>
    </row>
    <row r="440" spans="1:19" x14ac:dyDescent="0.2">
      <c r="A440" s="1">
        <v>2</v>
      </c>
      <c r="B440" s="1">
        <v>0</v>
      </c>
      <c r="C440" s="1" t="s">
        <v>141</v>
      </c>
      <c r="D440" s="1" t="s">
        <v>5</v>
      </c>
      <c r="E440" s="1" t="s">
        <v>6</v>
      </c>
      <c r="F440">
        <v>1</v>
      </c>
    </row>
    <row r="441" spans="1:19" x14ac:dyDescent="0.2">
      <c r="A441" s="1">
        <v>2</v>
      </c>
      <c r="B441" s="1">
        <v>0</v>
      </c>
      <c r="C441" s="1" t="s">
        <v>213</v>
      </c>
      <c r="D441" s="1" t="s">
        <v>13</v>
      </c>
      <c r="E441" s="1" t="s">
        <v>6</v>
      </c>
      <c r="F441">
        <v>2</v>
      </c>
    </row>
    <row r="442" spans="1:19" x14ac:dyDescent="0.2">
      <c r="A442" s="1">
        <v>2</v>
      </c>
      <c r="B442" s="1">
        <v>0</v>
      </c>
      <c r="C442" s="1" t="s">
        <v>142</v>
      </c>
      <c r="D442" s="1" t="s">
        <v>5</v>
      </c>
      <c r="E442" s="1" t="s">
        <v>6</v>
      </c>
      <c r="F442">
        <v>3</v>
      </c>
    </row>
    <row r="443" spans="1:19" x14ac:dyDescent="0.2">
      <c r="A443" s="1">
        <v>2</v>
      </c>
      <c r="B443" s="1">
        <v>0</v>
      </c>
      <c r="C443" s="1" t="s">
        <v>143</v>
      </c>
      <c r="D443" s="1" t="s">
        <v>5</v>
      </c>
      <c r="E443" s="1" t="s">
        <v>6</v>
      </c>
      <c r="F443">
        <v>2</v>
      </c>
    </row>
    <row r="444" spans="1:19" x14ac:dyDescent="0.2">
      <c r="A444" s="1">
        <v>2</v>
      </c>
      <c r="B444" s="1">
        <v>0</v>
      </c>
      <c r="C444" s="1" t="s">
        <v>144</v>
      </c>
      <c r="D444" s="1" t="s">
        <v>13</v>
      </c>
      <c r="E444" s="1" t="s">
        <v>6</v>
      </c>
      <c r="F444">
        <v>2</v>
      </c>
    </row>
    <row r="445" spans="1:19" x14ac:dyDescent="0.2">
      <c r="A445" s="1">
        <v>2</v>
      </c>
      <c r="B445" s="1">
        <v>0</v>
      </c>
      <c r="C445" s="1" t="s">
        <v>144</v>
      </c>
      <c r="D445" s="1" t="s">
        <v>5</v>
      </c>
      <c r="E445" s="1" t="s">
        <v>6</v>
      </c>
      <c r="F445">
        <v>1</v>
      </c>
    </row>
    <row r="446" spans="1:19" x14ac:dyDescent="0.2">
      <c r="A446" s="1">
        <v>2</v>
      </c>
      <c r="B446" s="1">
        <v>0</v>
      </c>
      <c r="C446" s="1" t="s">
        <v>146</v>
      </c>
      <c r="D446" s="1" t="s">
        <v>13</v>
      </c>
      <c r="E446" s="1" t="s">
        <v>6</v>
      </c>
      <c r="F446">
        <v>2</v>
      </c>
    </row>
    <row r="447" spans="1:19" x14ac:dyDescent="0.2">
      <c r="A447" s="1">
        <v>2</v>
      </c>
      <c r="B447" s="1">
        <v>0</v>
      </c>
      <c r="C447" s="1" t="s">
        <v>147</v>
      </c>
      <c r="D447" s="1" t="s">
        <v>5</v>
      </c>
      <c r="E447" s="1" t="s">
        <v>6</v>
      </c>
      <c r="F447">
        <v>1</v>
      </c>
    </row>
    <row r="448" spans="1:19" x14ac:dyDescent="0.2">
      <c r="A448" s="1">
        <v>2</v>
      </c>
      <c r="B448" s="1">
        <v>0</v>
      </c>
      <c r="C448" s="1" t="s">
        <v>149</v>
      </c>
      <c r="D448" s="1" t="s">
        <v>52</v>
      </c>
      <c r="E448" s="1" t="s">
        <v>6</v>
      </c>
      <c r="F448">
        <v>1</v>
      </c>
    </row>
    <row r="449" spans="1:6" x14ac:dyDescent="0.2">
      <c r="A449" s="1">
        <v>2</v>
      </c>
      <c r="B449" s="1">
        <v>0</v>
      </c>
      <c r="C449" s="1" t="s">
        <v>149</v>
      </c>
      <c r="D449" s="1" t="s">
        <v>42</v>
      </c>
      <c r="E449" s="1" t="s">
        <v>6</v>
      </c>
      <c r="F449">
        <v>1</v>
      </c>
    </row>
    <row r="450" spans="1:6" x14ac:dyDescent="0.2">
      <c r="A450" s="1">
        <v>2</v>
      </c>
      <c r="B450" s="1">
        <v>0</v>
      </c>
      <c r="C450" s="1" t="s">
        <v>214</v>
      </c>
      <c r="D450" s="1" t="s">
        <v>5</v>
      </c>
      <c r="E450" s="1" t="s">
        <v>6</v>
      </c>
      <c r="F450">
        <v>3</v>
      </c>
    </row>
    <row r="451" spans="1:6" x14ac:dyDescent="0.2">
      <c r="A451" s="1">
        <v>2</v>
      </c>
      <c r="B451" s="1">
        <v>0</v>
      </c>
      <c r="C451" s="1" t="s">
        <v>215</v>
      </c>
      <c r="D451" s="1" t="s">
        <v>13</v>
      </c>
      <c r="E451" s="1" t="s">
        <v>6</v>
      </c>
      <c r="F451">
        <v>1</v>
      </c>
    </row>
    <row r="452" spans="1:6" x14ac:dyDescent="0.2">
      <c r="A452" s="1">
        <v>2</v>
      </c>
      <c r="B452" s="1">
        <v>0</v>
      </c>
      <c r="C452" s="1" t="s">
        <v>150</v>
      </c>
      <c r="D452" s="1" t="s">
        <v>5</v>
      </c>
      <c r="E452" s="1" t="s">
        <v>6</v>
      </c>
      <c r="F452">
        <v>1</v>
      </c>
    </row>
    <row r="453" spans="1:6" x14ac:dyDescent="0.2">
      <c r="A453" s="1">
        <v>2</v>
      </c>
      <c r="B453" s="1">
        <v>0</v>
      </c>
      <c r="C453" s="1" t="s">
        <v>151</v>
      </c>
      <c r="D453" s="1" t="s">
        <v>13</v>
      </c>
      <c r="E453" s="1" t="s">
        <v>6</v>
      </c>
      <c r="F453">
        <v>1</v>
      </c>
    </row>
    <row r="454" spans="1:6" x14ac:dyDescent="0.2">
      <c r="A454" s="1">
        <v>2</v>
      </c>
      <c r="B454" s="1">
        <v>0</v>
      </c>
      <c r="C454" s="1" t="s">
        <v>152</v>
      </c>
      <c r="D454" s="1" t="s">
        <v>5</v>
      </c>
      <c r="E454" s="1" t="s">
        <v>6</v>
      </c>
      <c r="F454">
        <v>1</v>
      </c>
    </row>
    <row r="455" spans="1:6" x14ac:dyDescent="0.2">
      <c r="A455" s="1">
        <v>2</v>
      </c>
      <c r="B455" s="1">
        <v>0</v>
      </c>
      <c r="C455" s="1" t="s">
        <v>153</v>
      </c>
      <c r="D455" s="1" t="s">
        <v>5</v>
      </c>
      <c r="E455" s="1" t="s">
        <v>6</v>
      </c>
      <c r="F455">
        <v>1</v>
      </c>
    </row>
    <row r="456" spans="1:6" x14ac:dyDescent="0.2">
      <c r="A456" s="1">
        <v>2</v>
      </c>
      <c r="B456" s="1">
        <v>0</v>
      </c>
      <c r="C456" s="1" t="s">
        <v>154</v>
      </c>
      <c r="D456" s="1" t="s">
        <v>5</v>
      </c>
      <c r="E456" s="1" t="s">
        <v>6</v>
      </c>
      <c r="F456">
        <v>2</v>
      </c>
    </row>
    <row r="457" spans="1:6" x14ac:dyDescent="0.2">
      <c r="A457" s="1">
        <v>2</v>
      </c>
      <c r="B457" s="1">
        <v>0</v>
      </c>
      <c r="C457" s="1" t="s">
        <v>216</v>
      </c>
      <c r="D457" s="1" t="s">
        <v>5</v>
      </c>
      <c r="E457" s="1" t="s">
        <v>6</v>
      </c>
      <c r="F457">
        <v>3</v>
      </c>
    </row>
    <row r="458" spans="1:6" x14ac:dyDescent="0.2">
      <c r="A458" s="1">
        <v>2</v>
      </c>
      <c r="B458" s="1">
        <v>0</v>
      </c>
      <c r="C458" s="1" t="s">
        <v>156</v>
      </c>
      <c r="D458" s="1" t="s">
        <v>5</v>
      </c>
      <c r="E458" s="1" t="s">
        <v>6</v>
      </c>
      <c r="F458">
        <v>1</v>
      </c>
    </row>
    <row r="459" spans="1:6" x14ac:dyDescent="0.2">
      <c r="A459" s="1">
        <v>2</v>
      </c>
      <c r="B459" s="1">
        <v>0</v>
      </c>
      <c r="C459" s="1" t="s">
        <v>217</v>
      </c>
      <c r="D459" s="1" t="s">
        <v>5</v>
      </c>
      <c r="E459" s="1" t="s">
        <v>6</v>
      </c>
      <c r="F459">
        <v>2</v>
      </c>
    </row>
    <row r="460" spans="1:6" x14ac:dyDescent="0.2">
      <c r="A460" s="1">
        <v>2</v>
      </c>
      <c r="B460" s="1">
        <v>0</v>
      </c>
      <c r="C460" s="1" t="s">
        <v>218</v>
      </c>
      <c r="D460" s="1" t="s">
        <v>5</v>
      </c>
      <c r="E460" s="1" t="s">
        <v>6</v>
      </c>
      <c r="F460">
        <v>6</v>
      </c>
    </row>
    <row r="461" spans="1:6" x14ac:dyDescent="0.2">
      <c r="A461" s="1">
        <v>2</v>
      </c>
      <c r="B461" s="1">
        <v>0</v>
      </c>
      <c r="C461" s="1" t="s">
        <v>218</v>
      </c>
      <c r="D461" s="1" t="s">
        <v>28</v>
      </c>
      <c r="E461" s="1" t="s">
        <v>6</v>
      </c>
      <c r="F461">
        <v>3</v>
      </c>
    </row>
    <row r="462" spans="1:6" x14ac:dyDescent="0.2">
      <c r="A462" s="1">
        <v>2</v>
      </c>
      <c r="B462" s="1">
        <v>0</v>
      </c>
      <c r="C462" s="1" t="s">
        <v>157</v>
      </c>
      <c r="D462" s="1" t="s">
        <v>42</v>
      </c>
      <c r="E462" s="1" t="s">
        <v>6</v>
      </c>
      <c r="F462">
        <v>4</v>
      </c>
    </row>
    <row r="463" spans="1:6" x14ac:dyDescent="0.2">
      <c r="A463" s="1">
        <v>2</v>
      </c>
      <c r="B463" s="1">
        <v>0</v>
      </c>
      <c r="C463" s="1" t="s">
        <v>158</v>
      </c>
      <c r="D463" s="1" t="s">
        <v>13</v>
      </c>
      <c r="E463" s="1" t="s">
        <v>6</v>
      </c>
      <c r="F463">
        <v>2</v>
      </c>
    </row>
    <row r="464" spans="1:6" x14ac:dyDescent="0.2">
      <c r="A464" s="1">
        <v>2</v>
      </c>
      <c r="B464" s="1">
        <v>0</v>
      </c>
      <c r="C464" s="1" t="s">
        <v>159</v>
      </c>
      <c r="D464" s="1" t="s">
        <v>5</v>
      </c>
      <c r="E464" s="1" t="s">
        <v>6</v>
      </c>
      <c r="F464">
        <v>1</v>
      </c>
    </row>
    <row r="465" spans="1:6" x14ac:dyDescent="0.2">
      <c r="A465" s="1">
        <v>2</v>
      </c>
      <c r="B465" s="1">
        <v>0</v>
      </c>
      <c r="C465" s="1" t="s">
        <v>160</v>
      </c>
      <c r="D465" s="1" t="s">
        <v>13</v>
      </c>
      <c r="E465" s="1" t="s">
        <v>6</v>
      </c>
      <c r="F465">
        <v>2</v>
      </c>
    </row>
    <row r="466" spans="1:6" x14ac:dyDescent="0.2">
      <c r="A466" s="1">
        <v>2</v>
      </c>
      <c r="B466" s="1">
        <v>0</v>
      </c>
      <c r="C466" s="1" t="s">
        <v>161</v>
      </c>
      <c r="D466" s="1" t="s">
        <v>5</v>
      </c>
      <c r="E466" s="1" t="s">
        <v>6</v>
      </c>
      <c r="F466">
        <v>1</v>
      </c>
    </row>
    <row r="467" spans="1:6" x14ac:dyDescent="0.2">
      <c r="A467" s="1">
        <v>2</v>
      </c>
      <c r="B467" s="1">
        <v>0</v>
      </c>
      <c r="C467" s="1" t="s">
        <v>162</v>
      </c>
      <c r="D467" s="1" t="s">
        <v>5</v>
      </c>
      <c r="E467" s="1" t="s">
        <v>6</v>
      </c>
      <c r="F467">
        <v>1</v>
      </c>
    </row>
    <row r="468" spans="1:6" x14ac:dyDescent="0.2">
      <c r="A468" s="1">
        <v>2</v>
      </c>
      <c r="B468" s="1">
        <v>0</v>
      </c>
      <c r="C468" s="1" t="s">
        <v>163</v>
      </c>
      <c r="D468" s="1" t="s">
        <v>5</v>
      </c>
      <c r="E468" s="1" t="s">
        <v>6</v>
      </c>
      <c r="F468">
        <v>1</v>
      </c>
    </row>
    <row r="469" spans="1:6" x14ac:dyDescent="0.2">
      <c r="A469" s="1">
        <v>2</v>
      </c>
      <c r="B469" s="1">
        <v>0</v>
      </c>
      <c r="C469" s="1" t="s">
        <v>165</v>
      </c>
      <c r="D469" s="1" t="s">
        <v>42</v>
      </c>
      <c r="E469" s="1" t="s">
        <v>6</v>
      </c>
      <c r="F469">
        <v>4</v>
      </c>
    </row>
    <row r="470" spans="1:6" x14ac:dyDescent="0.2">
      <c r="A470" s="1">
        <v>2</v>
      </c>
      <c r="B470" s="1">
        <v>0</v>
      </c>
      <c r="C470" s="1" t="s">
        <v>166</v>
      </c>
      <c r="D470" s="1" t="s">
        <v>5</v>
      </c>
      <c r="E470" s="1" t="s">
        <v>6</v>
      </c>
      <c r="F470">
        <v>1</v>
      </c>
    </row>
    <row r="471" spans="1:6" x14ac:dyDescent="0.2">
      <c r="A471" s="1">
        <v>2</v>
      </c>
      <c r="B471" s="1">
        <v>1</v>
      </c>
      <c r="C471" s="1" t="s">
        <v>9</v>
      </c>
      <c r="D471" s="1" t="s">
        <v>28</v>
      </c>
      <c r="E471" s="1" t="s">
        <v>6</v>
      </c>
      <c r="F471">
        <v>1</v>
      </c>
    </row>
    <row r="472" spans="1:6" x14ac:dyDescent="0.2">
      <c r="A472" s="1">
        <v>2</v>
      </c>
      <c r="B472" s="1">
        <v>1</v>
      </c>
      <c r="C472" s="1" t="s">
        <v>20</v>
      </c>
      <c r="D472" s="1" t="s">
        <v>30</v>
      </c>
      <c r="E472" s="1" t="s">
        <v>6</v>
      </c>
      <c r="F472">
        <v>1</v>
      </c>
    </row>
    <row r="473" spans="1:6" x14ac:dyDescent="0.2">
      <c r="A473" s="1">
        <v>2</v>
      </c>
      <c r="B473" s="1">
        <v>1</v>
      </c>
      <c r="C473" s="1" t="s">
        <v>20</v>
      </c>
      <c r="D473" s="1" t="s">
        <v>42</v>
      </c>
      <c r="E473" s="1" t="s">
        <v>6</v>
      </c>
      <c r="F473">
        <v>2</v>
      </c>
    </row>
    <row r="474" spans="1:6" x14ac:dyDescent="0.2">
      <c r="A474" s="1">
        <v>2</v>
      </c>
      <c r="B474" s="1">
        <v>1</v>
      </c>
      <c r="C474" s="1" t="s">
        <v>22</v>
      </c>
      <c r="D474" s="1" t="s">
        <v>30</v>
      </c>
      <c r="E474" s="1" t="s">
        <v>6</v>
      </c>
      <c r="F474">
        <v>2</v>
      </c>
    </row>
    <row r="475" spans="1:6" x14ac:dyDescent="0.2">
      <c r="A475" s="1">
        <v>2</v>
      </c>
      <c r="B475" s="1">
        <v>1</v>
      </c>
      <c r="C475" s="1" t="s">
        <v>23</v>
      </c>
      <c r="D475" s="1" t="s">
        <v>28</v>
      </c>
      <c r="E475" s="1" t="s">
        <v>6</v>
      </c>
      <c r="F475">
        <v>1</v>
      </c>
    </row>
    <row r="476" spans="1:6" x14ac:dyDescent="0.2">
      <c r="A476" s="1">
        <v>2</v>
      </c>
      <c r="B476" s="1">
        <v>1</v>
      </c>
      <c r="C476" s="1" t="s">
        <v>25</v>
      </c>
      <c r="D476" s="1" t="s">
        <v>30</v>
      </c>
      <c r="E476" s="1" t="s">
        <v>6</v>
      </c>
      <c r="F476">
        <v>1</v>
      </c>
    </row>
    <row r="477" spans="1:6" x14ac:dyDescent="0.2">
      <c r="A477" s="1">
        <v>2</v>
      </c>
      <c r="B477" s="1">
        <v>1</v>
      </c>
      <c r="C477" s="1" t="s">
        <v>186</v>
      </c>
      <c r="D477" s="1" t="s">
        <v>30</v>
      </c>
      <c r="E477" s="1" t="s">
        <v>6</v>
      </c>
      <c r="F477">
        <v>2</v>
      </c>
    </row>
    <row r="478" spans="1:6" x14ac:dyDescent="0.2">
      <c r="A478" s="1">
        <v>2</v>
      </c>
      <c r="B478" s="1">
        <v>1</v>
      </c>
      <c r="C478" s="1" t="s">
        <v>189</v>
      </c>
      <c r="D478" s="1" t="s">
        <v>28</v>
      </c>
      <c r="E478" s="1" t="s">
        <v>6</v>
      </c>
      <c r="F478">
        <v>2</v>
      </c>
    </row>
    <row r="479" spans="1:6" x14ac:dyDescent="0.2">
      <c r="A479" s="1">
        <v>2</v>
      </c>
      <c r="B479" s="1">
        <v>1</v>
      </c>
      <c r="C479" s="1" t="s">
        <v>58</v>
      </c>
      <c r="D479" s="1" t="s">
        <v>42</v>
      </c>
      <c r="E479" s="1" t="s">
        <v>6</v>
      </c>
      <c r="F479">
        <v>2</v>
      </c>
    </row>
    <row r="480" spans="1:6" x14ac:dyDescent="0.2">
      <c r="A480" s="1">
        <v>2</v>
      </c>
      <c r="B480" s="1">
        <v>1</v>
      </c>
      <c r="C480" s="1" t="s">
        <v>58</v>
      </c>
      <c r="D480" s="1" t="s">
        <v>28</v>
      </c>
      <c r="E480" s="1" t="s">
        <v>6</v>
      </c>
      <c r="F480">
        <v>2</v>
      </c>
    </row>
    <row r="481" spans="1:6" x14ac:dyDescent="0.2">
      <c r="A481" s="1">
        <v>2</v>
      </c>
      <c r="B481" s="1">
        <v>1</v>
      </c>
      <c r="C481" s="1" t="s">
        <v>67</v>
      </c>
      <c r="D481" s="1" t="s">
        <v>30</v>
      </c>
      <c r="E481" s="1" t="s">
        <v>6</v>
      </c>
      <c r="F481">
        <v>2</v>
      </c>
    </row>
    <row r="482" spans="1:6" x14ac:dyDescent="0.2">
      <c r="A482" s="1">
        <v>2</v>
      </c>
      <c r="B482" s="1">
        <v>1</v>
      </c>
      <c r="C482" s="1" t="s">
        <v>67</v>
      </c>
      <c r="D482" s="1" t="s">
        <v>28</v>
      </c>
      <c r="E482" s="1" t="s">
        <v>6</v>
      </c>
      <c r="F482">
        <v>2</v>
      </c>
    </row>
    <row r="483" spans="1:6" x14ac:dyDescent="0.2">
      <c r="A483" s="1">
        <v>2</v>
      </c>
      <c r="B483" s="1">
        <v>1</v>
      </c>
      <c r="C483" s="1" t="s">
        <v>198</v>
      </c>
      <c r="D483" s="1" t="s">
        <v>132</v>
      </c>
      <c r="E483" s="1" t="s">
        <v>6</v>
      </c>
      <c r="F483">
        <v>1</v>
      </c>
    </row>
    <row r="484" spans="1:6" x14ac:dyDescent="0.2">
      <c r="A484" s="1">
        <v>2</v>
      </c>
      <c r="B484" s="1">
        <v>1</v>
      </c>
      <c r="C484" s="1" t="s">
        <v>200</v>
      </c>
      <c r="D484" s="1" t="s">
        <v>30</v>
      </c>
      <c r="E484" s="1" t="s">
        <v>6</v>
      </c>
      <c r="F484">
        <v>2</v>
      </c>
    </row>
    <row r="485" spans="1:6" x14ac:dyDescent="0.2">
      <c r="A485" s="1">
        <v>2</v>
      </c>
      <c r="B485" s="1">
        <v>1</v>
      </c>
      <c r="C485" s="1" t="s">
        <v>78</v>
      </c>
      <c r="D485" s="1" t="s">
        <v>42</v>
      </c>
      <c r="E485" s="1" t="s">
        <v>6</v>
      </c>
      <c r="F485">
        <v>3</v>
      </c>
    </row>
    <row r="486" spans="1:6" x14ac:dyDescent="0.2">
      <c r="A486" s="1">
        <v>2</v>
      </c>
      <c r="B486" s="1">
        <v>1</v>
      </c>
      <c r="C486" s="1" t="s">
        <v>84</v>
      </c>
      <c r="D486" s="1" t="s">
        <v>30</v>
      </c>
      <c r="E486" s="1" t="s">
        <v>6</v>
      </c>
      <c r="F486">
        <v>2</v>
      </c>
    </row>
    <row r="487" spans="1:6" x14ac:dyDescent="0.2">
      <c r="A487" s="1">
        <v>2</v>
      </c>
      <c r="B487" s="1">
        <v>1</v>
      </c>
      <c r="C487" s="1" t="s">
        <v>85</v>
      </c>
      <c r="D487" s="1" t="s">
        <v>42</v>
      </c>
      <c r="E487" s="1" t="s">
        <v>6</v>
      </c>
      <c r="F487">
        <v>2</v>
      </c>
    </row>
    <row r="488" spans="1:6" x14ac:dyDescent="0.2">
      <c r="A488" s="1">
        <v>2</v>
      </c>
      <c r="B488" s="1">
        <v>1</v>
      </c>
      <c r="C488" s="1" t="s">
        <v>128</v>
      </c>
      <c r="D488" s="1" t="s">
        <v>40</v>
      </c>
      <c r="E488" s="1" t="s">
        <v>6</v>
      </c>
      <c r="F488">
        <v>8</v>
      </c>
    </row>
    <row r="489" spans="1:6" x14ac:dyDescent="0.2">
      <c r="A489" s="1">
        <v>2</v>
      </c>
      <c r="B489" s="1">
        <v>1</v>
      </c>
      <c r="C489" s="1" t="s">
        <v>128</v>
      </c>
      <c r="D489" s="1" t="s">
        <v>41</v>
      </c>
      <c r="E489" s="1" t="s">
        <v>6</v>
      </c>
      <c r="F489">
        <v>8</v>
      </c>
    </row>
    <row r="490" spans="1:6" x14ac:dyDescent="0.2">
      <c r="A490" s="1">
        <v>2</v>
      </c>
      <c r="B490" s="1">
        <v>1</v>
      </c>
      <c r="C490" s="1" t="s">
        <v>128</v>
      </c>
      <c r="D490" s="1" t="s">
        <v>30</v>
      </c>
      <c r="E490" s="1" t="s">
        <v>6</v>
      </c>
      <c r="F490">
        <v>2</v>
      </c>
    </row>
    <row r="491" spans="1:6" x14ac:dyDescent="0.2">
      <c r="A491" s="1">
        <v>2</v>
      </c>
      <c r="B491" s="1">
        <v>1</v>
      </c>
      <c r="C491" s="1" t="s">
        <v>128</v>
      </c>
      <c r="D491" s="1" t="s">
        <v>28</v>
      </c>
      <c r="E491" s="1" t="s">
        <v>6</v>
      </c>
      <c r="F491">
        <v>1</v>
      </c>
    </row>
    <row r="492" spans="1:6" x14ac:dyDescent="0.2">
      <c r="A492" s="1">
        <v>2</v>
      </c>
      <c r="B492" s="1">
        <v>1</v>
      </c>
      <c r="C492" s="1" t="s">
        <v>129</v>
      </c>
      <c r="D492" s="1" t="s">
        <v>30</v>
      </c>
      <c r="E492" s="1" t="s">
        <v>6</v>
      </c>
      <c r="F492">
        <v>2</v>
      </c>
    </row>
    <row r="493" spans="1:6" x14ac:dyDescent="0.2">
      <c r="A493" s="1">
        <v>2</v>
      </c>
      <c r="B493" s="1">
        <v>1</v>
      </c>
      <c r="C493" s="1" t="s">
        <v>132</v>
      </c>
      <c r="D493" s="1" t="s">
        <v>28</v>
      </c>
      <c r="E493" s="1" t="s">
        <v>6</v>
      </c>
      <c r="F493">
        <v>1</v>
      </c>
    </row>
    <row r="494" spans="1:6" x14ac:dyDescent="0.2">
      <c r="A494" s="1">
        <v>2</v>
      </c>
      <c r="B494" s="1">
        <v>1</v>
      </c>
      <c r="C494" s="1" t="s">
        <v>170</v>
      </c>
      <c r="D494" s="1" t="s">
        <v>42</v>
      </c>
      <c r="E494" s="1" t="s">
        <v>6</v>
      </c>
      <c r="F494">
        <v>2</v>
      </c>
    </row>
    <row r="495" spans="1:6" x14ac:dyDescent="0.2">
      <c r="A495" s="1">
        <v>2</v>
      </c>
      <c r="B495" s="1">
        <v>1</v>
      </c>
      <c r="C495" s="1" t="s">
        <v>218</v>
      </c>
      <c r="D495" s="1" t="s">
        <v>5</v>
      </c>
      <c r="E495" s="1" t="s">
        <v>6</v>
      </c>
      <c r="F495">
        <v>3</v>
      </c>
    </row>
    <row r="496" spans="1:6" x14ac:dyDescent="0.2">
      <c r="A496" s="1">
        <v>2</v>
      </c>
      <c r="B496" s="1">
        <v>2</v>
      </c>
      <c r="C496" s="1" t="s">
        <v>23</v>
      </c>
      <c r="D496" s="1" t="s">
        <v>28</v>
      </c>
      <c r="E496" s="1" t="s">
        <v>6</v>
      </c>
      <c r="F496">
        <v>1</v>
      </c>
    </row>
    <row r="497" spans="1:6" x14ac:dyDescent="0.2">
      <c r="A497" s="1">
        <v>2</v>
      </c>
      <c r="B497" s="1">
        <v>2</v>
      </c>
      <c r="C497" s="1" t="s">
        <v>198</v>
      </c>
      <c r="D497" s="1" t="s">
        <v>124</v>
      </c>
      <c r="E497" s="1" t="s">
        <v>6</v>
      </c>
      <c r="F497">
        <v>4</v>
      </c>
    </row>
    <row r="498" spans="1:6" x14ac:dyDescent="0.2">
      <c r="A498" s="1">
        <v>2</v>
      </c>
      <c r="B498" s="1">
        <v>2</v>
      </c>
      <c r="C498" s="1" t="s">
        <v>128</v>
      </c>
      <c r="D498" s="1" t="s">
        <v>30</v>
      </c>
      <c r="E498" s="1" t="s">
        <v>6</v>
      </c>
      <c r="F498">
        <v>1</v>
      </c>
    </row>
    <row r="499" spans="1:6" x14ac:dyDescent="0.2">
      <c r="A499" s="1">
        <v>2</v>
      </c>
      <c r="B499" s="1">
        <v>2</v>
      </c>
      <c r="C499" s="1" t="s">
        <v>129</v>
      </c>
      <c r="D499" s="1" t="s">
        <v>30</v>
      </c>
      <c r="E499" s="1" t="s">
        <v>6</v>
      </c>
      <c r="F499">
        <v>2</v>
      </c>
    </row>
    <row r="500" spans="1:6" x14ac:dyDescent="0.2">
      <c r="A500" s="1">
        <v>2</v>
      </c>
      <c r="B500" s="1">
        <v>2</v>
      </c>
      <c r="C500" s="1" t="s">
        <v>170</v>
      </c>
      <c r="D500" s="1" t="s">
        <v>30</v>
      </c>
      <c r="E500" s="1" t="s">
        <v>6</v>
      </c>
      <c r="F500">
        <v>1</v>
      </c>
    </row>
    <row r="501" spans="1:6" x14ac:dyDescent="0.2">
      <c r="A501" s="1">
        <v>2</v>
      </c>
      <c r="B501" s="1">
        <v>2</v>
      </c>
      <c r="C501" s="1" t="s">
        <v>170</v>
      </c>
      <c r="D501" s="1" t="s">
        <v>42</v>
      </c>
      <c r="E501" s="1" t="s">
        <v>6</v>
      </c>
      <c r="F501">
        <v>2</v>
      </c>
    </row>
    <row r="502" spans="1:6" x14ac:dyDescent="0.2">
      <c r="A502" s="1">
        <v>2</v>
      </c>
      <c r="B502" s="1">
        <v>3</v>
      </c>
      <c r="C502" s="1" t="s">
        <v>23</v>
      </c>
      <c r="D502" s="1" t="s">
        <v>28</v>
      </c>
      <c r="E502" s="1" t="s">
        <v>6</v>
      </c>
      <c r="F502">
        <v>1</v>
      </c>
    </row>
    <row r="503" spans="1:6" x14ac:dyDescent="0.2">
      <c r="A503" s="1">
        <v>3</v>
      </c>
      <c r="B503" s="1">
        <v>0</v>
      </c>
      <c r="C503" s="1" t="s">
        <v>4</v>
      </c>
      <c r="D503" s="1" t="s">
        <v>5</v>
      </c>
      <c r="E503" s="1" t="s">
        <v>6</v>
      </c>
      <c r="F503">
        <v>3</v>
      </c>
    </row>
    <row r="504" spans="1:6" x14ac:dyDescent="0.2">
      <c r="A504" s="1">
        <v>3</v>
      </c>
      <c r="B504" s="1">
        <v>0</v>
      </c>
      <c r="C504" s="1" t="s">
        <v>7</v>
      </c>
      <c r="D504" s="1" t="s">
        <v>5</v>
      </c>
      <c r="E504" s="1" t="s">
        <v>6</v>
      </c>
      <c r="F504">
        <v>1</v>
      </c>
    </row>
    <row r="505" spans="1:6" x14ac:dyDescent="0.2">
      <c r="A505" s="1">
        <v>3</v>
      </c>
      <c r="B505" s="1">
        <v>0</v>
      </c>
      <c r="C505" s="1" t="s">
        <v>8</v>
      </c>
      <c r="D505" s="1" t="s">
        <v>5</v>
      </c>
      <c r="E505" s="1" t="s">
        <v>6</v>
      </c>
      <c r="F505">
        <v>1</v>
      </c>
    </row>
    <row r="506" spans="1:6" x14ac:dyDescent="0.2">
      <c r="A506" s="1">
        <v>3</v>
      </c>
      <c r="B506" s="1">
        <v>0</v>
      </c>
      <c r="C506" s="1" t="s">
        <v>9</v>
      </c>
      <c r="D506" s="1" t="s">
        <v>42</v>
      </c>
      <c r="E506" s="1" t="s">
        <v>6</v>
      </c>
      <c r="F506">
        <v>1</v>
      </c>
    </row>
    <row r="507" spans="1:6" x14ac:dyDescent="0.2">
      <c r="A507" s="1">
        <v>3</v>
      </c>
      <c r="B507" s="1">
        <v>0</v>
      </c>
      <c r="C507" s="1" t="s">
        <v>10</v>
      </c>
      <c r="D507" s="1" t="s">
        <v>5</v>
      </c>
      <c r="E507" s="1" t="s">
        <v>6</v>
      </c>
      <c r="F507">
        <v>2</v>
      </c>
    </row>
    <row r="508" spans="1:6" x14ac:dyDescent="0.2">
      <c r="A508" s="1">
        <v>3</v>
      </c>
      <c r="B508" s="1">
        <v>0</v>
      </c>
      <c r="C508" s="1" t="s">
        <v>12</v>
      </c>
      <c r="D508" s="1" t="s">
        <v>13</v>
      </c>
      <c r="E508" s="1" t="s">
        <v>6</v>
      </c>
      <c r="F508">
        <v>2</v>
      </c>
    </row>
    <row r="509" spans="1:6" x14ac:dyDescent="0.2">
      <c r="A509" s="1">
        <v>3</v>
      </c>
      <c r="B509" s="1">
        <v>0</v>
      </c>
      <c r="C509" s="1" t="s">
        <v>12</v>
      </c>
      <c r="D509" s="1" t="s">
        <v>5</v>
      </c>
      <c r="E509" s="1" t="s">
        <v>6</v>
      </c>
      <c r="F509">
        <v>1</v>
      </c>
    </row>
    <row r="510" spans="1:6" x14ac:dyDescent="0.2">
      <c r="A510" s="1">
        <v>3</v>
      </c>
      <c r="B510" s="1">
        <v>0</v>
      </c>
      <c r="C510" s="1" t="s">
        <v>179</v>
      </c>
      <c r="D510" s="1" t="s">
        <v>5</v>
      </c>
      <c r="E510" s="1" t="s">
        <v>6</v>
      </c>
      <c r="F510">
        <v>2</v>
      </c>
    </row>
    <row r="511" spans="1:6" x14ac:dyDescent="0.2">
      <c r="A511" s="1">
        <v>3</v>
      </c>
      <c r="B511" s="1">
        <v>0</v>
      </c>
      <c r="C511" s="1" t="s">
        <v>14</v>
      </c>
      <c r="D511" s="1" t="s">
        <v>5</v>
      </c>
      <c r="E511" s="1" t="s">
        <v>6</v>
      </c>
      <c r="F511">
        <v>2</v>
      </c>
    </row>
    <row r="512" spans="1:6" x14ac:dyDescent="0.2">
      <c r="A512" s="1">
        <v>3</v>
      </c>
      <c r="B512" s="1">
        <v>0</v>
      </c>
      <c r="C512" s="1" t="s">
        <v>15</v>
      </c>
      <c r="D512" s="1" t="s">
        <v>5</v>
      </c>
      <c r="E512" s="1" t="s">
        <v>6</v>
      </c>
      <c r="F512">
        <v>1</v>
      </c>
    </row>
    <row r="513" spans="1:6" x14ac:dyDescent="0.2">
      <c r="A513" s="1">
        <v>3</v>
      </c>
      <c r="B513" s="1">
        <v>0</v>
      </c>
      <c r="C513" s="1" t="s">
        <v>16</v>
      </c>
      <c r="D513" s="1" t="s">
        <v>5</v>
      </c>
      <c r="E513" s="1" t="s">
        <v>6</v>
      </c>
      <c r="F513">
        <v>1</v>
      </c>
    </row>
    <row r="514" spans="1:6" x14ac:dyDescent="0.2">
      <c r="A514" s="1">
        <v>3</v>
      </c>
      <c r="B514" s="1">
        <v>0</v>
      </c>
      <c r="C514" s="1" t="s">
        <v>17</v>
      </c>
      <c r="D514" s="1" t="s">
        <v>5</v>
      </c>
      <c r="E514" s="1" t="s">
        <v>6</v>
      </c>
      <c r="F514">
        <v>2</v>
      </c>
    </row>
    <row r="515" spans="1:6" x14ac:dyDescent="0.2">
      <c r="A515" s="1">
        <v>3</v>
      </c>
      <c r="B515" s="1">
        <v>0</v>
      </c>
      <c r="C515" s="1" t="s">
        <v>18</v>
      </c>
      <c r="D515" s="1" t="s">
        <v>5</v>
      </c>
      <c r="E515" s="1" t="s">
        <v>6</v>
      </c>
      <c r="F515">
        <v>2</v>
      </c>
    </row>
    <row r="516" spans="1:6" x14ac:dyDescent="0.2">
      <c r="A516" s="1">
        <v>3</v>
      </c>
      <c r="B516" s="1">
        <v>0</v>
      </c>
      <c r="C516" s="1" t="s">
        <v>20</v>
      </c>
      <c r="D516" s="1" t="s">
        <v>5</v>
      </c>
      <c r="E516" s="1" t="s">
        <v>6</v>
      </c>
      <c r="F516">
        <v>1</v>
      </c>
    </row>
    <row r="517" spans="1:6" x14ac:dyDescent="0.2">
      <c r="A517" s="1">
        <v>3</v>
      </c>
      <c r="B517" s="1">
        <v>0</v>
      </c>
      <c r="C517" s="1" t="s">
        <v>21</v>
      </c>
      <c r="D517" s="1" t="s">
        <v>5</v>
      </c>
      <c r="E517" s="1" t="s">
        <v>6</v>
      </c>
      <c r="F517">
        <v>1</v>
      </c>
    </row>
    <row r="518" spans="1:6" x14ac:dyDescent="0.2">
      <c r="A518" s="1">
        <v>3</v>
      </c>
      <c r="B518" s="1">
        <v>0</v>
      </c>
      <c r="C518" s="1" t="s">
        <v>22</v>
      </c>
      <c r="D518" s="1" t="s">
        <v>5</v>
      </c>
      <c r="E518" s="1" t="s">
        <v>6</v>
      </c>
      <c r="F518">
        <v>2</v>
      </c>
    </row>
    <row r="519" spans="1:6" x14ac:dyDescent="0.2">
      <c r="A519" s="1">
        <v>3</v>
      </c>
      <c r="B519" s="1">
        <v>0</v>
      </c>
      <c r="C519" s="1" t="s">
        <v>23</v>
      </c>
      <c r="D519" s="1" t="s">
        <v>5</v>
      </c>
      <c r="E519" s="1" t="s">
        <v>6</v>
      </c>
      <c r="F519">
        <v>4</v>
      </c>
    </row>
    <row r="520" spans="1:6" x14ac:dyDescent="0.2">
      <c r="A520" s="1">
        <v>3</v>
      </c>
      <c r="B520" s="1">
        <v>0</v>
      </c>
      <c r="C520" s="1" t="s">
        <v>23</v>
      </c>
      <c r="D520" s="1" t="s">
        <v>28</v>
      </c>
      <c r="E520" s="1" t="s">
        <v>6</v>
      </c>
      <c r="F520">
        <v>1</v>
      </c>
    </row>
    <row r="521" spans="1:6" x14ac:dyDescent="0.2">
      <c r="A521" s="1">
        <v>3</v>
      </c>
      <c r="B521" s="1">
        <v>0</v>
      </c>
      <c r="C521" s="1" t="s">
        <v>23</v>
      </c>
      <c r="D521" s="1" t="s">
        <v>30</v>
      </c>
      <c r="E521" s="1" t="s">
        <v>6</v>
      </c>
      <c r="F521">
        <v>4</v>
      </c>
    </row>
    <row r="522" spans="1:6" x14ac:dyDescent="0.2">
      <c r="A522" s="1">
        <v>3</v>
      </c>
      <c r="B522" s="1">
        <v>0</v>
      </c>
      <c r="C522" s="1" t="s">
        <v>223</v>
      </c>
      <c r="D522" s="1" t="s">
        <v>5</v>
      </c>
      <c r="E522" s="1" t="s">
        <v>6</v>
      </c>
      <c r="F522">
        <v>1</v>
      </c>
    </row>
    <row r="523" spans="1:6" x14ac:dyDescent="0.2">
      <c r="A523" s="1">
        <v>3</v>
      </c>
      <c r="B523" s="1">
        <v>0</v>
      </c>
      <c r="C523" s="1" t="s">
        <v>182</v>
      </c>
      <c r="D523" s="1" t="s">
        <v>13</v>
      </c>
      <c r="E523" s="1" t="s">
        <v>6</v>
      </c>
      <c r="F523">
        <v>2</v>
      </c>
    </row>
    <row r="524" spans="1:6" x14ac:dyDescent="0.2">
      <c r="A524" s="1">
        <v>3</v>
      </c>
      <c r="B524" s="1">
        <v>0</v>
      </c>
      <c r="C524" s="1" t="s">
        <v>24</v>
      </c>
      <c r="D524" s="1" t="s">
        <v>5</v>
      </c>
      <c r="E524" s="1" t="s">
        <v>6</v>
      </c>
      <c r="F524">
        <v>1</v>
      </c>
    </row>
    <row r="525" spans="1:6" x14ac:dyDescent="0.2">
      <c r="A525" s="1">
        <v>3</v>
      </c>
      <c r="B525" s="1">
        <v>0</v>
      </c>
      <c r="C525" s="1" t="s">
        <v>25</v>
      </c>
      <c r="D525" s="1" t="s">
        <v>5</v>
      </c>
      <c r="E525" s="1" t="s">
        <v>6</v>
      </c>
      <c r="F525">
        <v>2</v>
      </c>
    </row>
    <row r="526" spans="1:6" x14ac:dyDescent="0.2">
      <c r="A526" s="1">
        <v>3</v>
      </c>
      <c r="B526" s="1">
        <v>0</v>
      </c>
      <c r="C526" s="1" t="s">
        <v>27</v>
      </c>
      <c r="D526" s="1" t="s">
        <v>28</v>
      </c>
      <c r="E526" s="1" t="s">
        <v>6</v>
      </c>
      <c r="F526">
        <v>2</v>
      </c>
    </row>
    <row r="527" spans="1:6" x14ac:dyDescent="0.2">
      <c r="A527" s="1">
        <v>3</v>
      </c>
      <c r="B527" s="1">
        <v>0</v>
      </c>
      <c r="C527" s="1" t="s">
        <v>184</v>
      </c>
      <c r="D527" s="1" t="s">
        <v>5</v>
      </c>
      <c r="E527" s="1" t="s">
        <v>6</v>
      </c>
      <c r="F527">
        <v>1</v>
      </c>
    </row>
    <row r="528" spans="1:6" x14ac:dyDescent="0.2">
      <c r="A528" s="1">
        <v>3</v>
      </c>
      <c r="B528" s="1">
        <v>0</v>
      </c>
      <c r="C528" s="1" t="s">
        <v>29</v>
      </c>
      <c r="D528" s="1" t="s">
        <v>5</v>
      </c>
      <c r="E528" s="1" t="s">
        <v>6</v>
      </c>
      <c r="F528">
        <v>1</v>
      </c>
    </row>
    <row r="529" spans="1:6" x14ac:dyDescent="0.2">
      <c r="A529" s="1">
        <v>3</v>
      </c>
      <c r="B529" s="1">
        <v>0</v>
      </c>
      <c r="C529" s="1" t="s">
        <v>31</v>
      </c>
      <c r="D529" s="1" t="s">
        <v>5</v>
      </c>
      <c r="E529" s="1" t="s">
        <v>6</v>
      </c>
      <c r="F529">
        <v>2</v>
      </c>
    </row>
    <row r="530" spans="1:6" x14ac:dyDescent="0.2">
      <c r="A530" s="1">
        <v>3</v>
      </c>
      <c r="B530" s="1">
        <v>0</v>
      </c>
      <c r="C530" s="1" t="s">
        <v>31</v>
      </c>
      <c r="D530" s="1" t="s">
        <v>28</v>
      </c>
      <c r="E530" s="1" t="s">
        <v>6</v>
      </c>
      <c r="F530">
        <v>1</v>
      </c>
    </row>
    <row r="531" spans="1:6" x14ac:dyDescent="0.2">
      <c r="A531" s="1">
        <v>3</v>
      </c>
      <c r="B531" s="1">
        <v>0</v>
      </c>
      <c r="C531" s="1" t="s">
        <v>32</v>
      </c>
      <c r="D531" s="1" t="s">
        <v>5</v>
      </c>
      <c r="E531" s="1" t="s">
        <v>6</v>
      </c>
      <c r="F531">
        <v>1</v>
      </c>
    </row>
    <row r="532" spans="1:6" x14ac:dyDescent="0.2">
      <c r="A532" s="1">
        <v>3</v>
      </c>
      <c r="B532" s="1">
        <v>0</v>
      </c>
      <c r="C532" s="1" t="s">
        <v>13</v>
      </c>
      <c r="D532" s="1" t="s">
        <v>5</v>
      </c>
      <c r="E532" s="1" t="s">
        <v>6</v>
      </c>
      <c r="F532">
        <v>1</v>
      </c>
    </row>
    <row r="533" spans="1:6" x14ac:dyDescent="0.2">
      <c r="A533" s="1">
        <v>3</v>
      </c>
      <c r="B533" s="1">
        <v>0</v>
      </c>
      <c r="C533" s="1" t="s">
        <v>224</v>
      </c>
      <c r="D533" s="1" t="s">
        <v>13</v>
      </c>
      <c r="E533" s="1" t="s">
        <v>6</v>
      </c>
      <c r="F533">
        <v>4</v>
      </c>
    </row>
    <row r="534" spans="1:6" x14ac:dyDescent="0.2">
      <c r="A534" s="1">
        <v>3</v>
      </c>
      <c r="B534" s="1">
        <v>0</v>
      </c>
      <c r="C534" s="1" t="s">
        <v>224</v>
      </c>
      <c r="D534" s="1" t="s">
        <v>5</v>
      </c>
      <c r="E534" s="1" t="s">
        <v>6</v>
      </c>
      <c r="F534">
        <v>2</v>
      </c>
    </row>
    <row r="535" spans="1:6" x14ac:dyDescent="0.2">
      <c r="A535" s="1">
        <v>3</v>
      </c>
      <c r="B535" s="1">
        <v>0</v>
      </c>
      <c r="C535" s="1" t="s">
        <v>33</v>
      </c>
      <c r="D535" s="1" t="s">
        <v>5</v>
      </c>
      <c r="E535" s="1" t="s">
        <v>6</v>
      </c>
      <c r="F535">
        <v>2</v>
      </c>
    </row>
    <row r="536" spans="1:6" x14ac:dyDescent="0.2">
      <c r="A536" s="1">
        <v>3</v>
      </c>
      <c r="B536" s="1">
        <v>0</v>
      </c>
      <c r="C536" s="1" t="s">
        <v>34</v>
      </c>
      <c r="D536" s="1" t="s">
        <v>28</v>
      </c>
      <c r="E536" s="1" t="s">
        <v>6</v>
      </c>
      <c r="F536">
        <v>2</v>
      </c>
    </row>
    <row r="537" spans="1:6" x14ac:dyDescent="0.2">
      <c r="A537" s="1">
        <v>3</v>
      </c>
      <c r="B537" s="1">
        <v>0</v>
      </c>
      <c r="C537" s="1" t="s">
        <v>35</v>
      </c>
      <c r="D537" s="1" t="s">
        <v>5</v>
      </c>
      <c r="E537" s="1" t="s">
        <v>6</v>
      </c>
      <c r="F537">
        <v>1</v>
      </c>
    </row>
    <row r="538" spans="1:6" x14ac:dyDescent="0.2">
      <c r="A538" s="1">
        <v>3</v>
      </c>
      <c r="B538" s="1">
        <v>0</v>
      </c>
      <c r="C538" s="1" t="s">
        <v>36</v>
      </c>
      <c r="D538" s="1" t="s">
        <v>5</v>
      </c>
      <c r="E538" s="1" t="s">
        <v>6</v>
      </c>
      <c r="F538">
        <v>1</v>
      </c>
    </row>
    <row r="539" spans="1:6" x14ac:dyDescent="0.2">
      <c r="A539" s="1">
        <v>3</v>
      </c>
      <c r="B539" s="1">
        <v>0</v>
      </c>
      <c r="C539" s="1" t="s">
        <v>225</v>
      </c>
      <c r="D539" s="1" t="s">
        <v>5</v>
      </c>
      <c r="E539" s="1" t="s">
        <v>6</v>
      </c>
      <c r="F539">
        <v>1</v>
      </c>
    </row>
    <row r="540" spans="1:6" x14ac:dyDescent="0.2">
      <c r="A540" s="1">
        <v>3</v>
      </c>
      <c r="B540" s="1">
        <v>0</v>
      </c>
      <c r="C540" s="1" t="s">
        <v>37</v>
      </c>
      <c r="D540" s="1" t="s">
        <v>5</v>
      </c>
      <c r="E540" s="1" t="s">
        <v>6</v>
      </c>
      <c r="F540">
        <v>1</v>
      </c>
    </row>
    <row r="541" spans="1:6" x14ac:dyDescent="0.2">
      <c r="A541" s="1">
        <v>3</v>
      </c>
      <c r="B541" s="1">
        <v>0</v>
      </c>
      <c r="C541" s="1" t="s">
        <v>37</v>
      </c>
      <c r="D541" s="1" t="s">
        <v>30</v>
      </c>
      <c r="E541" s="1" t="s">
        <v>6</v>
      </c>
      <c r="F541">
        <v>1</v>
      </c>
    </row>
    <row r="542" spans="1:6" x14ac:dyDescent="0.2">
      <c r="A542" s="1">
        <v>3</v>
      </c>
      <c r="B542" s="1">
        <v>0</v>
      </c>
      <c r="C542" s="1" t="s">
        <v>188</v>
      </c>
      <c r="D542" s="1" t="s">
        <v>13</v>
      </c>
      <c r="E542" s="1" t="s">
        <v>6</v>
      </c>
      <c r="F542">
        <v>1</v>
      </c>
    </row>
    <row r="543" spans="1:6" x14ac:dyDescent="0.2">
      <c r="A543" s="1">
        <v>3</v>
      </c>
      <c r="B543" s="1">
        <v>0</v>
      </c>
      <c r="C543" s="1" t="s">
        <v>38</v>
      </c>
      <c r="D543" s="1" t="s">
        <v>5</v>
      </c>
      <c r="E543" s="1" t="s">
        <v>6</v>
      </c>
      <c r="F543">
        <v>1</v>
      </c>
    </row>
    <row r="544" spans="1:6" x14ac:dyDescent="0.2">
      <c r="A544" s="1">
        <v>3</v>
      </c>
      <c r="B544" s="1">
        <v>0</v>
      </c>
      <c r="C544" s="1" t="s">
        <v>226</v>
      </c>
      <c r="D544" s="1" t="s">
        <v>5</v>
      </c>
      <c r="E544" s="1" t="s">
        <v>6</v>
      </c>
      <c r="F544">
        <v>1</v>
      </c>
    </row>
    <row r="545" spans="1:6" x14ac:dyDescent="0.2">
      <c r="A545" s="1">
        <v>3</v>
      </c>
      <c r="B545" s="1">
        <v>0</v>
      </c>
      <c r="C545" s="1" t="s">
        <v>189</v>
      </c>
      <c r="D545" s="1" t="s">
        <v>5</v>
      </c>
      <c r="E545" s="1" t="s">
        <v>6</v>
      </c>
      <c r="F545">
        <v>4</v>
      </c>
    </row>
    <row r="546" spans="1:6" x14ac:dyDescent="0.2">
      <c r="A546" s="1">
        <v>3</v>
      </c>
      <c r="B546" s="1">
        <v>0</v>
      </c>
      <c r="C546" s="1" t="s">
        <v>189</v>
      </c>
      <c r="D546" s="1" t="s">
        <v>28</v>
      </c>
      <c r="E546" s="1" t="s">
        <v>6</v>
      </c>
      <c r="F546">
        <v>2</v>
      </c>
    </row>
    <row r="547" spans="1:6" x14ac:dyDescent="0.2">
      <c r="A547" s="1">
        <v>3</v>
      </c>
      <c r="B547" s="1">
        <v>0</v>
      </c>
      <c r="C547" s="1" t="s">
        <v>43</v>
      </c>
      <c r="D547" s="1" t="s">
        <v>5</v>
      </c>
      <c r="E547" s="1" t="s">
        <v>6</v>
      </c>
      <c r="F547">
        <v>1</v>
      </c>
    </row>
    <row r="548" spans="1:6" x14ac:dyDescent="0.2">
      <c r="A548" s="1">
        <v>3</v>
      </c>
      <c r="B548" s="1">
        <v>0</v>
      </c>
      <c r="C548" s="1" t="s">
        <v>44</v>
      </c>
      <c r="D548" s="1" t="s">
        <v>5</v>
      </c>
      <c r="E548" s="1" t="s">
        <v>6</v>
      </c>
      <c r="F548">
        <v>2</v>
      </c>
    </row>
    <row r="549" spans="1:6" x14ac:dyDescent="0.2">
      <c r="A549" s="1">
        <v>3</v>
      </c>
      <c r="B549" s="1">
        <v>0</v>
      </c>
      <c r="C549" s="1" t="s">
        <v>45</v>
      </c>
      <c r="D549" s="1" t="s">
        <v>5</v>
      </c>
      <c r="E549" s="1" t="s">
        <v>6</v>
      </c>
      <c r="F549">
        <v>1</v>
      </c>
    </row>
    <row r="550" spans="1:6" x14ac:dyDescent="0.2">
      <c r="A550" s="1">
        <v>3</v>
      </c>
      <c r="B550" s="1">
        <v>0</v>
      </c>
      <c r="C550" s="1" t="s">
        <v>46</v>
      </c>
      <c r="D550" s="1" t="s">
        <v>5</v>
      </c>
      <c r="E550" s="1" t="s">
        <v>6</v>
      </c>
      <c r="F550">
        <v>1</v>
      </c>
    </row>
    <row r="551" spans="1:6" x14ac:dyDescent="0.2">
      <c r="A551" s="1">
        <v>3</v>
      </c>
      <c r="B551" s="1">
        <v>0</v>
      </c>
      <c r="C551" s="1" t="s">
        <v>47</v>
      </c>
      <c r="D551" s="1" t="s">
        <v>13</v>
      </c>
      <c r="E551" s="1" t="s">
        <v>6</v>
      </c>
      <c r="F551">
        <v>2</v>
      </c>
    </row>
    <row r="552" spans="1:6" x14ac:dyDescent="0.2">
      <c r="A552" s="1">
        <v>3</v>
      </c>
      <c r="B552" s="1">
        <v>0</v>
      </c>
      <c r="C552" s="1" t="s">
        <v>48</v>
      </c>
      <c r="D552" s="1" t="s">
        <v>5</v>
      </c>
      <c r="E552" s="1" t="s">
        <v>6</v>
      </c>
      <c r="F552">
        <v>1</v>
      </c>
    </row>
    <row r="553" spans="1:6" x14ac:dyDescent="0.2">
      <c r="A553" s="1">
        <v>3</v>
      </c>
      <c r="B553" s="1">
        <v>0</v>
      </c>
      <c r="C553" s="1" t="s">
        <v>48</v>
      </c>
      <c r="D553" s="1" t="s">
        <v>28</v>
      </c>
      <c r="E553" s="1" t="s">
        <v>6</v>
      </c>
      <c r="F553">
        <v>1</v>
      </c>
    </row>
    <row r="554" spans="1:6" x14ac:dyDescent="0.2">
      <c r="A554" s="1">
        <v>3</v>
      </c>
      <c r="B554" s="1">
        <v>0</v>
      </c>
      <c r="C554" s="1" t="s">
        <v>227</v>
      </c>
      <c r="D554" s="1" t="s">
        <v>13</v>
      </c>
      <c r="E554" s="1" t="s">
        <v>6</v>
      </c>
      <c r="F554">
        <v>2</v>
      </c>
    </row>
    <row r="555" spans="1:6" x14ac:dyDescent="0.2">
      <c r="A555" s="1">
        <v>3</v>
      </c>
      <c r="B555" s="1">
        <v>0</v>
      </c>
      <c r="C555" s="1" t="s">
        <v>49</v>
      </c>
      <c r="D555" s="1" t="s">
        <v>13</v>
      </c>
      <c r="E555" s="1" t="s">
        <v>6</v>
      </c>
      <c r="F555">
        <v>4</v>
      </c>
    </row>
    <row r="556" spans="1:6" x14ac:dyDescent="0.2">
      <c r="A556" s="1">
        <v>3</v>
      </c>
      <c r="B556" s="1">
        <v>0</v>
      </c>
      <c r="C556" s="1" t="s">
        <v>49</v>
      </c>
      <c r="D556" s="1" t="s">
        <v>5</v>
      </c>
      <c r="E556" s="1" t="s">
        <v>6</v>
      </c>
      <c r="F556">
        <v>3</v>
      </c>
    </row>
    <row r="557" spans="1:6" x14ac:dyDescent="0.2">
      <c r="A557" s="1">
        <v>3</v>
      </c>
      <c r="B557" s="1">
        <v>0</v>
      </c>
      <c r="C557" s="1" t="s">
        <v>191</v>
      </c>
      <c r="D557" s="1" t="s">
        <v>13</v>
      </c>
      <c r="E557" s="1" t="s">
        <v>6</v>
      </c>
      <c r="F557">
        <v>4</v>
      </c>
    </row>
    <row r="558" spans="1:6" x14ac:dyDescent="0.2">
      <c r="A558" s="1">
        <v>3</v>
      </c>
      <c r="B558" s="1">
        <v>0</v>
      </c>
      <c r="C558" s="1" t="s">
        <v>191</v>
      </c>
      <c r="D558" s="1" t="s">
        <v>5</v>
      </c>
      <c r="E558" s="1" t="s">
        <v>6</v>
      </c>
      <c r="F558">
        <v>1</v>
      </c>
    </row>
    <row r="559" spans="1:6" x14ac:dyDescent="0.2">
      <c r="A559" s="1">
        <v>3</v>
      </c>
      <c r="B559" s="1">
        <v>0</v>
      </c>
      <c r="C559" s="1" t="s">
        <v>50</v>
      </c>
      <c r="D559" s="1" t="s">
        <v>13</v>
      </c>
      <c r="E559" s="1" t="s">
        <v>6</v>
      </c>
      <c r="F559">
        <v>2</v>
      </c>
    </row>
    <row r="560" spans="1:6" x14ac:dyDescent="0.2">
      <c r="A560" s="1">
        <v>3</v>
      </c>
      <c r="B560" s="1">
        <v>0</v>
      </c>
      <c r="C560" s="1" t="s">
        <v>193</v>
      </c>
      <c r="D560" s="1" t="s">
        <v>5</v>
      </c>
      <c r="E560" s="1" t="s">
        <v>6</v>
      </c>
      <c r="F560">
        <v>3</v>
      </c>
    </row>
    <row r="561" spans="1:6" x14ac:dyDescent="0.2">
      <c r="A561" s="1">
        <v>3</v>
      </c>
      <c r="B561" s="1">
        <v>0</v>
      </c>
      <c r="C561" s="1" t="s">
        <v>194</v>
      </c>
      <c r="D561" s="1" t="s">
        <v>5</v>
      </c>
      <c r="E561" s="1" t="s">
        <v>6</v>
      </c>
      <c r="F561">
        <v>1</v>
      </c>
    </row>
    <row r="562" spans="1:6" x14ac:dyDescent="0.2">
      <c r="A562" s="1">
        <v>3</v>
      </c>
      <c r="B562" s="1">
        <v>0</v>
      </c>
      <c r="C562" s="1" t="s">
        <v>52</v>
      </c>
      <c r="D562" s="1" t="s">
        <v>13</v>
      </c>
      <c r="E562" s="1" t="s">
        <v>6</v>
      </c>
      <c r="F562">
        <v>2</v>
      </c>
    </row>
    <row r="563" spans="1:6" x14ac:dyDescent="0.2">
      <c r="A563" s="1">
        <v>3</v>
      </c>
      <c r="B563" s="1">
        <v>0</v>
      </c>
      <c r="C563" s="1" t="s">
        <v>52</v>
      </c>
      <c r="D563" s="1" t="s">
        <v>5</v>
      </c>
      <c r="E563" s="1" t="s">
        <v>6</v>
      </c>
      <c r="F563">
        <v>1</v>
      </c>
    </row>
    <row r="564" spans="1:6" x14ac:dyDescent="0.2">
      <c r="A564" s="1">
        <v>3</v>
      </c>
      <c r="B564" s="1">
        <v>0</v>
      </c>
      <c r="C564" s="1" t="s">
        <v>53</v>
      </c>
      <c r="D564" s="1" t="s">
        <v>28</v>
      </c>
      <c r="E564" s="1" t="s">
        <v>6</v>
      </c>
      <c r="F564">
        <v>3</v>
      </c>
    </row>
    <row r="565" spans="1:6" x14ac:dyDescent="0.2">
      <c r="A565" s="1">
        <v>3</v>
      </c>
      <c r="B565" s="1">
        <v>0</v>
      </c>
      <c r="C565" s="1" t="s">
        <v>54</v>
      </c>
      <c r="D565" s="1" t="s">
        <v>13</v>
      </c>
      <c r="E565" s="1" t="s">
        <v>6</v>
      </c>
      <c r="F565">
        <v>1</v>
      </c>
    </row>
    <row r="566" spans="1:6" x14ac:dyDescent="0.2">
      <c r="A566" s="1">
        <v>3</v>
      </c>
      <c r="B566" s="1">
        <v>0</v>
      </c>
      <c r="C566" s="1" t="s">
        <v>195</v>
      </c>
      <c r="D566" s="1" t="s">
        <v>13</v>
      </c>
      <c r="E566" s="1" t="s">
        <v>6</v>
      </c>
      <c r="F566">
        <v>1</v>
      </c>
    </row>
    <row r="567" spans="1:6" x14ac:dyDescent="0.2">
      <c r="A567" s="1">
        <v>3</v>
      </c>
      <c r="B567" s="1">
        <v>0</v>
      </c>
      <c r="C567" s="1" t="s">
        <v>228</v>
      </c>
      <c r="D567" s="1" t="s">
        <v>5</v>
      </c>
      <c r="E567" s="1" t="s">
        <v>6</v>
      </c>
      <c r="F567">
        <v>1</v>
      </c>
    </row>
    <row r="568" spans="1:6" x14ac:dyDescent="0.2">
      <c r="A568" s="1">
        <v>3</v>
      </c>
      <c r="B568" s="1">
        <v>0</v>
      </c>
      <c r="C568" s="1" t="s">
        <v>229</v>
      </c>
      <c r="D568" s="1" t="s">
        <v>5</v>
      </c>
      <c r="E568" s="1" t="s">
        <v>6</v>
      </c>
      <c r="F568">
        <v>1</v>
      </c>
    </row>
    <row r="569" spans="1:6" x14ac:dyDescent="0.2">
      <c r="A569" s="1">
        <v>3</v>
      </c>
      <c r="B569" s="1">
        <v>0</v>
      </c>
      <c r="C569" s="1" t="s">
        <v>55</v>
      </c>
      <c r="D569" s="1" t="s">
        <v>5</v>
      </c>
      <c r="E569" s="1" t="s">
        <v>6</v>
      </c>
      <c r="F569">
        <v>1</v>
      </c>
    </row>
    <row r="570" spans="1:6" x14ac:dyDescent="0.2">
      <c r="A570" s="1">
        <v>3</v>
      </c>
      <c r="B570" s="1">
        <v>0</v>
      </c>
      <c r="C570" s="1" t="s">
        <v>56</v>
      </c>
      <c r="D570" s="1" t="s">
        <v>13</v>
      </c>
      <c r="E570" s="1" t="s">
        <v>6</v>
      </c>
      <c r="F570">
        <v>2</v>
      </c>
    </row>
    <row r="571" spans="1:6" x14ac:dyDescent="0.2">
      <c r="A571" s="1">
        <v>3</v>
      </c>
      <c r="B571" s="1">
        <v>0</v>
      </c>
      <c r="C571" s="1" t="s">
        <v>196</v>
      </c>
      <c r="D571" s="1" t="s">
        <v>5</v>
      </c>
      <c r="E571" s="1" t="s">
        <v>6</v>
      </c>
      <c r="F571">
        <v>1</v>
      </c>
    </row>
    <row r="572" spans="1:6" x14ac:dyDescent="0.2">
      <c r="A572" s="1">
        <v>3</v>
      </c>
      <c r="B572" s="1">
        <v>0</v>
      </c>
      <c r="C572" s="1" t="s">
        <v>57</v>
      </c>
      <c r="D572" s="1" t="s">
        <v>5</v>
      </c>
      <c r="E572" s="1" t="s">
        <v>6</v>
      </c>
      <c r="F572">
        <v>1</v>
      </c>
    </row>
    <row r="573" spans="1:6" x14ac:dyDescent="0.2">
      <c r="A573" s="1">
        <v>3</v>
      </c>
      <c r="B573" s="1">
        <v>0</v>
      </c>
      <c r="C573" s="1" t="s">
        <v>59</v>
      </c>
      <c r="D573" s="1" t="s">
        <v>28</v>
      </c>
      <c r="E573" s="1" t="s">
        <v>6</v>
      </c>
      <c r="F573">
        <v>2</v>
      </c>
    </row>
    <row r="574" spans="1:6" x14ac:dyDescent="0.2">
      <c r="A574" s="1">
        <v>3</v>
      </c>
      <c r="B574" s="1">
        <v>0</v>
      </c>
      <c r="C574" s="1" t="s">
        <v>28</v>
      </c>
      <c r="D574" s="1" t="s">
        <v>5</v>
      </c>
      <c r="E574" s="1" t="s">
        <v>6</v>
      </c>
      <c r="F574">
        <v>1</v>
      </c>
    </row>
    <row r="575" spans="1:6" x14ac:dyDescent="0.2">
      <c r="A575" s="1">
        <v>3</v>
      </c>
      <c r="B575" s="1">
        <v>0</v>
      </c>
      <c r="C575" s="1" t="s">
        <v>60</v>
      </c>
      <c r="D575" s="1" t="s">
        <v>13</v>
      </c>
      <c r="E575" s="1" t="s">
        <v>6</v>
      </c>
      <c r="F575">
        <v>1</v>
      </c>
    </row>
    <row r="576" spans="1:6" x14ac:dyDescent="0.2">
      <c r="A576" s="1">
        <v>3</v>
      </c>
      <c r="B576" s="1">
        <v>0</v>
      </c>
      <c r="C576" s="1" t="s">
        <v>61</v>
      </c>
      <c r="D576" s="1" t="s">
        <v>5</v>
      </c>
      <c r="E576" s="1" t="s">
        <v>6</v>
      </c>
      <c r="F576">
        <v>2</v>
      </c>
    </row>
    <row r="577" spans="1:6" x14ac:dyDescent="0.2">
      <c r="A577" s="1">
        <v>3</v>
      </c>
      <c r="B577" s="1">
        <v>0</v>
      </c>
      <c r="C577" s="1" t="s">
        <v>61</v>
      </c>
      <c r="D577" s="1" t="s">
        <v>30</v>
      </c>
      <c r="E577" s="1" t="s">
        <v>6</v>
      </c>
      <c r="F577">
        <v>1</v>
      </c>
    </row>
    <row r="578" spans="1:6" x14ac:dyDescent="0.2">
      <c r="A578" s="1">
        <v>3</v>
      </c>
      <c r="B578" s="1">
        <v>0</v>
      </c>
      <c r="C578" s="1" t="s">
        <v>62</v>
      </c>
      <c r="D578" s="1" t="s">
        <v>5</v>
      </c>
      <c r="E578" s="1" t="s">
        <v>6</v>
      </c>
      <c r="F578">
        <v>1</v>
      </c>
    </row>
    <row r="579" spans="1:6" x14ac:dyDescent="0.2">
      <c r="A579" s="1">
        <v>3</v>
      </c>
      <c r="B579" s="1">
        <v>0</v>
      </c>
      <c r="C579" s="1" t="s">
        <v>64</v>
      </c>
      <c r="D579" s="1" t="s">
        <v>52</v>
      </c>
      <c r="E579" s="1" t="s">
        <v>6</v>
      </c>
      <c r="F579">
        <v>1</v>
      </c>
    </row>
    <row r="580" spans="1:6" x14ac:dyDescent="0.2">
      <c r="A580" s="1">
        <v>3</v>
      </c>
      <c r="B580" s="1">
        <v>0</v>
      </c>
      <c r="C580" s="1" t="s">
        <v>66</v>
      </c>
      <c r="D580" s="1" t="s">
        <v>5</v>
      </c>
      <c r="E580" s="1" t="s">
        <v>6</v>
      </c>
      <c r="F580">
        <v>1</v>
      </c>
    </row>
    <row r="581" spans="1:6" x14ac:dyDescent="0.2">
      <c r="A581" s="1">
        <v>3</v>
      </c>
      <c r="B581" s="1">
        <v>0</v>
      </c>
      <c r="C581" s="1" t="s">
        <v>68</v>
      </c>
      <c r="D581" s="1" t="s">
        <v>5</v>
      </c>
      <c r="E581" s="1" t="s">
        <v>6</v>
      </c>
      <c r="F581">
        <v>2</v>
      </c>
    </row>
    <row r="582" spans="1:6" x14ac:dyDescent="0.2">
      <c r="A582" s="1">
        <v>3</v>
      </c>
      <c r="B582" s="1">
        <v>0</v>
      </c>
      <c r="C582" s="1" t="s">
        <v>69</v>
      </c>
      <c r="D582" s="1" t="s">
        <v>5</v>
      </c>
      <c r="E582" s="1" t="s">
        <v>6</v>
      </c>
      <c r="F582">
        <v>1</v>
      </c>
    </row>
    <row r="583" spans="1:6" x14ac:dyDescent="0.2">
      <c r="A583" s="1">
        <v>3</v>
      </c>
      <c r="B583" s="1">
        <v>0</v>
      </c>
      <c r="C583" s="1" t="s">
        <v>70</v>
      </c>
      <c r="D583" s="1" t="s">
        <v>13</v>
      </c>
      <c r="E583" s="1" t="s">
        <v>6</v>
      </c>
      <c r="F583">
        <v>5</v>
      </c>
    </row>
    <row r="584" spans="1:6" x14ac:dyDescent="0.2">
      <c r="A584" s="1">
        <v>3</v>
      </c>
      <c r="B584" s="1">
        <v>0</v>
      </c>
      <c r="C584" s="1" t="s">
        <v>70</v>
      </c>
      <c r="D584" s="1" t="s">
        <v>5</v>
      </c>
      <c r="E584" s="1" t="s">
        <v>6</v>
      </c>
      <c r="F584">
        <v>2</v>
      </c>
    </row>
    <row r="585" spans="1:6" x14ac:dyDescent="0.2">
      <c r="A585" s="1">
        <v>3</v>
      </c>
      <c r="B585" s="1">
        <v>0</v>
      </c>
      <c r="C585" s="1" t="s">
        <v>197</v>
      </c>
      <c r="D585" s="1" t="s">
        <v>5</v>
      </c>
      <c r="E585" s="1" t="s">
        <v>6</v>
      </c>
      <c r="F585">
        <v>7</v>
      </c>
    </row>
    <row r="586" spans="1:6" x14ac:dyDescent="0.2">
      <c r="A586" s="1">
        <v>3</v>
      </c>
      <c r="B586" s="1">
        <v>0</v>
      </c>
      <c r="C586" s="1" t="s">
        <v>197</v>
      </c>
      <c r="D586" s="1" t="s">
        <v>28</v>
      </c>
      <c r="E586" s="1" t="s">
        <v>6</v>
      </c>
      <c r="F586">
        <v>4</v>
      </c>
    </row>
    <row r="587" spans="1:6" x14ac:dyDescent="0.2">
      <c r="A587" s="1">
        <v>3</v>
      </c>
      <c r="B587" s="1">
        <v>0</v>
      </c>
      <c r="C587" s="1" t="s">
        <v>198</v>
      </c>
      <c r="D587" s="1" t="s">
        <v>124</v>
      </c>
      <c r="E587" s="1" t="s">
        <v>6</v>
      </c>
      <c r="F587">
        <v>4</v>
      </c>
    </row>
    <row r="588" spans="1:6" x14ac:dyDescent="0.2">
      <c r="A588" s="1">
        <v>3</v>
      </c>
      <c r="B588" s="1">
        <v>0</v>
      </c>
      <c r="C588" s="1" t="s">
        <v>230</v>
      </c>
      <c r="D588" s="1" t="s">
        <v>5</v>
      </c>
      <c r="E588" s="1" t="s">
        <v>6</v>
      </c>
      <c r="F588">
        <v>1</v>
      </c>
    </row>
    <row r="589" spans="1:6" x14ac:dyDescent="0.2">
      <c r="A589" s="1">
        <v>3</v>
      </c>
      <c r="B589" s="1">
        <v>0</v>
      </c>
      <c r="C589" s="1" t="s">
        <v>72</v>
      </c>
      <c r="D589" s="1" t="s">
        <v>5</v>
      </c>
      <c r="E589" s="1" t="s">
        <v>6</v>
      </c>
      <c r="F589">
        <v>2</v>
      </c>
    </row>
    <row r="590" spans="1:6" x14ac:dyDescent="0.2">
      <c r="A590" s="1">
        <v>3</v>
      </c>
      <c r="B590" s="1">
        <v>0</v>
      </c>
      <c r="C590" s="1" t="s">
        <v>72</v>
      </c>
      <c r="D590" s="1" t="s">
        <v>30</v>
      </c>
      <c r="E590" s="1" t="s">
        <v>6</v>
      </c>
      <c r="F590">
        <v>3</v>
      </c>
    </row>
    <row r="591" spans="1:6" x14ac:dyDescent="0.2">
      <c r="A591" s="1">
        <v>3</v>
      </c>
      <c r="B591" s="1">
        <v>0</v>
      </c>
      <c r="C591" s="1" t="s">
        <v>73</v>
      </c>
      <c r="D591" s="1" t="s">
        <v>5</v>
      </c>
      <c r="E591" s="1" t="s">
        <v>6</v>
      </c>
      <c r="F591">
        <v>1</v>
      </c>
    </row>
    <row r="592" spans="1:6" x14ac:dyDescent="0.2">
      <c r="A592" s="1">
        <v>3</v>
      </c>
      <c r="B592" s="1">
        <v>0</v>
      </c>
      <c r="C592" s="1" t="s">
        <v>74</v>
      </c>
      <c r="D592" s="1" t="s">
        <v>5</v>
      </c>
      <c r="E592" s="1" t="s">
        <v>6</v>
      </c>
      <c r="F592">
        <v>1</v>
      </c>
    </row>
    <row r="593" spans="1:6" x14ac:dyDescent="0.2">
      <c r="A593" s="1">
        <v>3</v>
      </c>
      <c r="B593" s="1">
        <v>0</v>
      </c>
      <c r="C593" s="1" t="s">
        <v>75</v>
      </c>
      <c r="D593" s="1" t="s">
        <v>13</v>
      </c>
      <c r="E593" s="1" t="s">
        <v>6</v>
      </c>
      <c r="F593">
        <v>2</v>
      </c>
    </row>
    <row r="594" spans="1:6" x14ac:dyDescent="0.2">
      <c r="A594" s="1">
        <v>3</v>
      </c>
      <c r="B594" s="1">
        <v>0</v>
      </c>
      <c r="C594" s="1" t="s">
        <v>75</v>
      </c>
      <c r="D594" s="1" t="s">
        <v>5</v>
      </c>
      <c r="E594" s="1" t="s">
        <v>6</v>
      </c>
      <c r="F594">
        <v>1</v>
      </c>
    </row>
    <row r="595" spans="1:6" x14ac:dyDescent="0.2">
      <c r="A595" s="1">
        <v>3</v>
      </c>
      <c r="B595" s="1">
        <v>0</v>
      </c>
      <c r="C595" s="1" t="s">
        <v>76</v>
      </c>
      <c r="D595" s="1" t="s">
        <v>5</v>
      </c>
      <c r="E595" s="1" t="s">
        <v>6</v>
      </c>
      <c r="F595">
        <v>1</v>
      </c>
    </row>
    <row r="596" spans="1:6" x14ac:dyDescent="0.2">
      <c r="A596" s="1">
        <v>3</v>
      </c>
      <c r="B596" s="1">
        <v>0</v>
      </c>
      <c r="C596" s="1" t="s">
        <v>77</v>
      </c>
      <c r="D596" s="1" t="s">
        <v>42</v>
      </c>
      <c r="E596" s="1" t="s">
        <v>6</v>
      </c>
      <c r="F596">
        <v>1</v>
      </c>
    </row>
    <row r="597" spans="1:6" x14ac:dyDescent="0.2">
      <c r="A597" s="1">
        <v>3</v>
      </c>
      <c r="B597" s="1">
        <v>0</v>
      </c>
      <c r="C597" s="1" t="s">
        <v>78</v>
      </c>
      <c r="D597" s="1" t="s">
        <v>5</v>
      </c>
      <c r="E597" s="1" t="s">
        <v>6</v>
      </c>
      <c r="F597">
        <v>1</v>
      </c>
    </row>
    <row r="598" spans="1:6" x14ac:dyDescent="0.2">
      <c r="A598" s="1">
        <v>3</v>
      </c>
      <c r="B598" s="1">
        <v>0</v>
      </c>
      <c r="C598" s="1" t="s">
        <v>80</v>
      </c>
      <c r="D598" s="1" t="s">
        <v>5</v>
      </c>
      <c r="E598" s="1" t="s">
        <v>6</v>
      </c>
      <c r="F598">
        <v>1</v>
      </c>
    </row>
    <row r="599" spans="1:6" x14ac:dyDescent="0.2">
      <c r="A599" s="1">
        <v>3</v>
      </c>
      <c r="B599" s="1">
        <v>0</v>
      </c>
      <c r="C599" s="1" t="s">
        <v>81</v>
      </c>
      <c r="D599" s="1" t="s">
        <v>28</v>
      </c>
      <c r="E599" s="1" t="s">
        <v>6</v>
      </c>
      <c r="F599">
        <v>2</v>
      </c>
    </row>
    <row r="600" spans="1:6" x14ac:dyDescent="0.2">
      <c r="A600" s="1">
        <v>3</v>
      </c>
      <c r="B600" s="1">
        <v>0</v>
      </c>
      <c r="C600" s="1" t="s">
        <v>82</v>
      </c>
      <c r="D600" s="1" t="s">
        <v>5</v>
      </c>
      <c r="E600" s="1" t="s">
        <v>6</v>
      </c>
      <c r="F600">
        <v>4</v>
      </c>
    </row>
    <row r="601" spans="1:6" x14ac:dyDescent="0.2">
      <c r="A601" s="1">
        <v>3</v>
      </c>
      <c r="B601" s="1">
        <v>0</v>
      </c>
      <c r="C601" s="1" t="s">
        <v>231</v>
      </c>
      <c r="D601" s="1" t="s">
        <v>5</v>
      </c>
      <c r="E601" s="1" t="s">
        <v>6</v>
      </c>
      <c r="F601">
        <v>1</v>
      </c>
    </row>
    <row r="602" spans="1:6" x14ac:dyDescent="0.2">
      <c r="A602" s="1">
        <v>3</v>
      </c>
      <c r="B602" s="1">
        <v>0</v>
      </c>
      <c r="C602" s="1" t="s">
        <v>83</v>
      </c>
      <c r="D602" s="1" t="s">
        <v>5</v>
      </c>
      <c r="E602" s="1" t="s">
        <v>6</v>
      </c>
      <c r="F602">
        <v>4</v>
      </c>
    </row>
    <row r="603" spans="1:6" x14ac:dyDescent="0.2">
      <c r="A603" s="1">
        <v>3</v>
      </c>
      <c r="B603" s="1">
        <v>0</v>
      </c>
      <c r="C603" s="1" t="s">
        <v>83</v>
      </c>
      <c r="D603" s="1" t="s">
        <v>28</v>
      </c>
      <c r="E603" s="1" t="s">
        <v>6</v>
      </c>
      <c r="F603">
        <v>1</v>
      </c>
    </row>
    <row r="604" spans="1:6" x14ac:dyDescent="0.2">
      <c r="A604" s="1">
        <v>3</v>
      </c>
      <c r="B604" s="1">
        <v>0</v>
      </c>
      <c r="C604" s="1" t="s">
        <v>84</v>
      </c>
      <c r="D604" s="1" t="s">
        <v>5</v>
      </c>
      <c r="E604" s="1" t="s">
        <v>6</v>
      </c>
      <c r="F604">
        <v>2</v>
      </c>
    </row>
    <row r="605" spans="1:6" x14ac:dyDescent="0.2">
      <c r="A605" s="1">
        <v>3</v>
      </c>
      <c r="B605" s="1">
        <v>0</v>
      </c>
      <c r="C605" s="1" t="s">
        <v>84</v>
      </c>
      <c r="D605" s="1" t="s">
        <v>28</v>
      </c>
      <c r="E605" s="1" t="s">
        <v>6</v>
      </c>
      <c r="F605">
        <v>1</v>
      </c>
    </row>
    <row r="606" spans="1:6" x14ac:dyDescent="0.2">
      <c r="A606" s="1">
        <v>3</v>
      </c>
      <c r="B606" s="1">
        <v>0</v>
      </c>
      <c r="C606" s="1" t="s">
        <v>85</v>
      </c>
      <c r="D606" s="1" t="s">
        <v>5</v>
      </c>
      <c r="E606" s="1" t="s">
        <v>6</v>
      </c>
      <c r="F606">
        <v>1</v>
      </c>
    </row>
    <row r="607" spans="1:6" x14ac:dyDescent="0.2">
      <c r="A607" s="1">
        <v>3</v>
      </c>
      <c r="B607" s="1">
        <v>0</v>
      </c>
      <c r="C607" s="1" t="s">
        <v>87</v>
      </c>
      <c r="D607" s="1" t="s">
        <v>5</v>
      </c>
      <c r="E607" s="1" t="s">
        <v>6</v>
      </c>
      <c r="F607">
        <v>1</v>
      </c>
    </row>
    <row r="608" spans="1:6" x14ac:dyDescent="0.2">
      <c r="A608" s="1">
        <v>3</v>
      </c>
      <c r="B608" s="1">
        <v>0</v>
      </c>
      <c r="C608" s="1" t="s">
        <v>232</v>
      </c>
      <c r="D608" s="1" t="s">
        <v>5</v>
      </c>
      <c r="E608" s="1" t="s">
        <v>6</v>
      </c>
      <c r="F608">
        <v>1</v>
      </c>
    </row>
    <row r="609" spans="1:6" x14ac:dyDescent="0.2">
      <c r="A609" s="1">
        <v>3</v>
      </c>
      <c r="B609" s="1">
        <v>0</v>
      </c>
      <c r="C609" s="1" t="s">
        <v>88</v>
      </c>
      <c r="D609" s="1" t="s">
        <v>28</v>
      </c>
      <c r="E609" s="1" t="s">
        <v>6</v>
      </c>
      <c r="F609">
        <v>2</v>
      </c>
    </row>
    <row r="610" spans="1:6" x14ac:dyDescent="0.2">
      <c r="A610" s="1">
        <v>3</v>
      </c>
      <c r="B610" s="1">
        <v>0</v>
      </c>
      <c r="C610" s="1" t="s">
        <v>89</v>
      </c>
      <c r="D610" s="1" t="s">
        <v>5</v>
      </c>
      <c r="E610" s="1" t="s">
        <v>6</v>
      </c>
      <c r="F610">
        <v>1</v>
      </c>
    </row>
    <row r="611" spans="1:6" x14ac:dyDescent="0.2">
      <c r="A611" s="1">
        <v>3</v>
      </c>
      <c r="B611" s="1">
        <v>0</v>
      </c>
      <c r="C611" s="1" t="s">
        <v>202</v>
      </c>
      <c r="D611" s="1" t="s">
        <v>42</v>
      </c>
      <c r="E611" s="1" t="s">
        <v>6</v>
      </c>
      <c r="F611">
        <v>1</v>
      </c>
    </row>
    <row r="612" spans="1:6" x14ac:dyDescent="0.2">
      <c r="A612" s="1">
        <v>3</v>
      </c>
      <c r="B612" s="1">
        <v>0</v>
      </c>
      <c r="C612" s="1" t="s">
        <v>203</v>
      </c>
      <c r="D612" s="1" t="s">
        <v>13</v>
      </c>
      <c r="E612" s="1" t="s">
        <v>6</v>
      </c>
      <c r="F612">
        <v>2</v>
      </c>
    </row>
    <row r="613" spans="1:6" x14ac:dyDescent="0.2">
      <c r="A613" s="1">
        <v>3</v>
      </c>
      <c r="B613" s="1">
        <v>0</v>
      </c>
      <c r="C613" s="1" t="s">
        <v>91</v>
      </c>
      <c r="D613" s="1" t="s">
        <v>5</v>
      </c>
      <c r="E613" s="1" t="s">
        <v>6</v>
      </c>
      <c r="F613">
        <v>1</v>
      </c>
    </row>
    <row r="614" spans="1:6" x14ac:dyDescent="0.2">
      <c r="A614" s="1">
        <v>3</v>
      </c>
      <c r="B614" s="1">
        <v>0</v>
      </c>
      <c r="C614" s="1" t="s">
        <v>92</v>
      </c>
      <c r="D614" s="1" t="s">
        <v>13</v>
      </c>
      <c r="E614" s="1" t="s">
        <v>6</v>
      </c>
      <c r="F614">
        <v>2</v>
      </c>
    </row>
    <row r="615" spans="1:6" x14ac:dyDescent="0.2">
      <c r="A615" s="1">
        <v>3</v>
      </c>
      <c r="B615" s="1">
        <v>0</v>
      </c>
      <c r="C615" s="1" t="s">
        <v>92</v>
      </c>
      <c r="D615" s="1" t="s">
        <v>5</v>
      </c>
      <c r="E615" s="1" t="s">
        <v>6</v>
      </c>
      <c r="F615">
        <v>1</v>
      </c>
    </row>
    <row r="616" spans="1:6" x14ac:dyDescent="0.2">
      <c r="A616" s="1">
        <v>3</v>
      </c>
      <c r="B616" s="1">
        <v>0</v>
      </c>
      <c r="C616" s="1" t="s">
        <v>93</v>
      </c>
      <c r="D616" s="1" t="s">
        <v>13</v>
      </c>
      <c r="E616" s="1" t="s">
        <v>6</v>
      </c>
      <c r="F616">
        <v>2</v>
      </c>
    </row>
    <row r="617" spans="1:6" x14ac:dyDescent="0.2">
      <c r="A617" s="1">
        <v>3</v>
      </c>
      <c r="B617" s="1">
        <v>0</v>
      </c>
      <c r="C617" s="1" t="s">
        <v>93</v>
      </c>
      <c r="D617" s="1" t="s">
        <v>30</v>
      </c>
      <c r="E617" s="1" t="s">
        <v>6</v>
      </c>
      <c r="F617">
        <v>4</v>
      </c>
    </row>
    <row r="618" spans="1:6" x14ac:dyDescent="0.2">
      <c r="A618" s="1">
        <v>3</v>
      </c>
      <c r="B618" s="1">
        <v>0</v>
      </c>
      <c r="C618" s="1" t="s">
        <v>233</v>
      </c>
      <c r="D618" s="1" t="s">
        <v>13</v>
      </c>
      <c r="E618" s="1" t="s">
        <v>6</v>
      </c>
      <c r="F618">
        <v>4</v>
      </c>
    </row>
    <row r="619" spans="1:6" x14ac:dyDescent="0.2">
      <c r="A619" s="1">
        <v>3</v>
      </c>
      <c r="B619" s="1">
        <v>0</v>
      </c>
      <c r="C619" s="1" t="s">
        <v>94</v>
      </c>
      <c r="D619" s="1" t="s">
        <v>13</v>
      </c>
      <c r="E619" s="1" t="s">
        <v>6</v>
      </c>
      <c r="F619">
        <v>1</v>
      </c>
    </row>
    <row r="620" spans="1:6" x14ac:dyDescent="0.2">
      <c r="A620" s="1">
        <v>3</v>
      </c>
      <c r="B620" s="1">
        <v>0</v>
      </c>
      <c r="C620" s="1" t="s">
        <v>96</v>
      </c>
      <c r="D620" s="1" t="s">
        <v>5</v>
      </c>
      <c r="E620" s="1" t="s">
        <v>6</v>
      </c>
      <c r="F620">
        <v>1</v>
      </c>
    </row>
    <row r="621" spans="1:6" x14ac:dyDescent="0.2">
      <c r="A621" s="1">
        <v>3</v>
      </c>
      <c r="B621" s="1">
        <v>0</v>
      </c>
      <c r="C621" s="1" t="s">
        <v>96</v>
      </c>
      <c r="D621" s="1" t="s">
        <v>30</v>
      </c>
      <c r="E621" s="1" t="s">
        <v>6</v>
      </c>
      <c r="F621">
        <v>1</v>
      </c>
    </row>
    <row r="622" spans="1:6" x14ac:dyDescent="0.2">
      <c r="A622" s="1">
        <v>3</v>
      </c>
      <c r="B622" s="1">
        <v>0</v>
      </c>
      <c r="C622" s="1" t="s">
        <v>97</v>
      </c>
      <c r="D622" s="1" t="s">
        <v>13</v>
      </c>
      <c r="E622" s="1" t="s">
        <v>6</v>
      </c>
      <c r="F622">
        <v>4</v>
      </c>
    </row>
    <row r="623" spans="1:6" x14ac:dyDescent="0.2">
      <c r="A623" s="1">
        <v>3</v>
      </c>
      <c r="B623" s="1">
        <v>0</v>
      </c>
      <c r="C623" s="1" t="s">
        <v>98</v>
      </c>
      <c r="D623" s="1" t="s">
        <v>5</v>
      </c>
      <c r="E623" s="1" t="s">
        <v>6</v>
      </c>
      <c r="F623">
        <v>1</v>
      </c>
    </row>
    <row r="624" spans="1:6" x14ac:dyDescent="0.2">
      <c r="A624" s="1">
        <v>3</v>
      </c>
      <c r="B624" s="1">
        <v>0</v>
      </c>
      <c r="C624" s="1" t="s">
        <v>99</v>
      </c>
      <c r="D624" s="1" t="s">
        <v>13</v>
      </c>
      <c r="E624" s="1" t="s">
        <v>6</v>
      </c>
      <c r="F624">
        <v>2</v>
      </c>
    </row>
    <row r="625" spans="1:6" x14ac:dyDescent="0.2">
      <c r="A625" s="1">
        <v>3</v>
      </c>
      <c r="B625" s="1">
        <v>0</v>
      </c>
      <c r="C625" s="1" t="s">
        <v>100</v>
      </c>
      <c r="D625" s="1" t="s">
        <v>5</v>
      </c>
      <c r="E625" s="1" t="s">
        <v>6</v>
      </c>
      <c r="F625">
        <v>2</v>
      </c>
    </row>
    <row r="626" spans="1:6" x14ac:dyDescent="0.2">
      <c r="A626" s="1">
        <v>3</v>
      </c>
      <c r="B626" s="1">
        <v>0</v>
      </c>
      <c r="C626" s="1" t="s">
        <v>101</v>
      </c>
      <c r="D626" s="1" t="s">
        <v>5</v>
      </c>
      <c r="E626" s="1" t="s">
        <v>6</v>
      </c>
      <c r="F626">
        <v>3</v>
      </c>
    </row>
    <row r="627" spans="1:6" x14ac:dyDescent="0.2">
      <c r="A627" s="1">
        <v>3</v>
      </c>
      <c r="B627" s="1">
        <v>0</v>
      </c>
      <c r="C627" s="1" t="s">
        <v>102</v>
      </c>
      <c r="D627" s="1" t="s">
        <v>5</v>
      </c>
      <c r="E627" s="1" t="s">
        <v>6</v>
      </c>
      <c r="F627">
        <v>1</v>
      </c>
    </row>
    <row r="628" spans="1:6" x14ac:dyDescent="0.2">
      <c r="A628" s="1">
        <v>3</v>
      </c>
      <c r="B628" s="1">
        <v>0</v>
      </c>
      <c r="C628" s="1" t="s">
        <v>234</v>
      </c>
      <c r="D628" s="1" t="s">
        <v>5</v>
      </c>
      <c r="E628" s="1" t="s">
        <v>6</v>
      </c>
      <c r="F628">
        <v>1</v>
      </c>
    </row>
    <row r="629" spans="1:6" x14ac:dyDescent="0.2">
      <c r="A629" s="1">
        <v>3</v>
      </c>
      <c r="B629" s="1">
        <v>0</v>
      </c>
      <c r="C629" s="1" t="s">
        <v>103</v>
      </c>
      <c r="D629" s="1" t="s">
        <v>5</v>
      </c>
      <c r="E629" s="1" t="s">
        <v>6</v>
      </c>
      <c r="F629">
        <v>2</v>
      </c>
    </row>
    <row r="630" spans="1:6" x14ac:dyDescent="0.2">
      <c r="A630" s="1">
        <v>3</v>
      </c>
      <c r="B630" s="1">
        <v>0</v>
      </c>
      <c r="C630" s="1" t="s">
        <v>104</v>
      </c>
      <c r="D630" s="1" t="s">
        <v>5</v>
      </c>
      <c r="E630" s="1" t="s">
        <v>6</v>
      </c>
      <c r="F630">
        <v>3</v>
      </c>
    </row>
    <row r="631" spans="1:6" x14ac:dyDescent="0.2">
      <c r="A631" s="1">
        <v>3</v>
      </c>
      <c r="B631" s="1">
        <v>0</v>
      </c>
      <c r="C631" s="1" t="s">
        <v>106</v>
      </c>
      <c r="D631" s="1" t="s">
        <v>5</v>
      </c>
      <c r="E631" s="1" t="s">
        <v>6</v>
      </c>
      <c r="F631">
        <v>1</v>
      </c>
    </row>
    <row r="632" spans="1:6" x14ac:dyDescent="0.2">
      <c r="A632" s="1">
        <v>3</v>
      </c>
      <c r="B632" s="1">
        <v>0</v>
      </c>
      <c r="C632" s="1" t="s">
        <v>107</v>
      </c>
      <c r="D632" s="1" t="s">
        <v>5</v>
      </c>
      <c r="E632" s="1" t="s">
        <v>6</v>
      </c>
      <c r="F632">
        <v>1</v>
      </c>
    </row>
    <row r="633" spans="1:6" x14ac:dyDescent="0.2">
      <c r="A633" s="1">
        <v>3</v>
      </c>
      <c r="B633" s="1">
        <v>0</v>
      </c>
      <c r="C633" s="1" t="s">
        <v>108</v>
      </c>
      <c r="D633" s="1" t="s">
        <v>5</v>
      </c>
      <c r="E633" s="1" t="s">
        <v>6</v>
      </c>
      <c r="F633">
        <v>1</v>
      </c>
    </row>
    <row r="634" spans="1:6" x14ac:dyDescent="0.2">
      <c r="A634" s="1">
        <v>3</v>
      </c>
      <c r="B634" s="1">
        <v>0</v>
      </c>
      <c r="C634" s="1" t="s">
        <v>109</v>
      </c>
      <c r="D634" s="1" t="s">
        <v>13</v>
      </c>
      <c r="E634" s="1" t="s">
        <v>6</v>
      </c>
      <c r="F634">
        <v>1</v>
      </c>
    </row>
    <row r="635" spans="1:6" x14ac:dyDescent="0.2">
      <c r="A635" s="1">
        <v>3</v>
      </c>
      <c r="B635" s="1">
        <v>0</v>
      </c>
      <c r="C635" s="1" t="s">
        <v>110</v>
      </c>
      <c r="D635" s="1" t="s">
        <v>5</v>
      </c>
      <c r="E635" s="1" t="s">
        <v>6</v>
      </c>
      <c r="F635">
        <v>1</v>
      </c>
    </row>
    <row r="636" spans="1:6" x14ac:dyDescent="0.2">
      <c r="A636" s="1">
        <v>3</v>
      </c>
      <c r="B636" s="1">
        <v>0</v>
      </c>
      <c r="C636" s="1" t="s">
        <v>112</v>
      </c>
      <c r="D636" s="1" t="s">
        <v>5</v>
      </c>
      <c r="E636" s="1" t="s">
        <v>6</v>
      </c>
      <c r="F636">
        <v>1</v>
      </c>
    </row>
    <row r="637" spans="1:6" x14ac:dyDescent="0.2">
      <c r="A637" s="1">
        <v>3</v>
      </c>
      <c r="B637" s="1">
        <v>0</v>
      </c>
      <c r="C637" s="1" t="s">
        <v>235</v>
      </c>
      <c r="D637" s="1" t="s">
        <v>28</v>
      </c>
      <c r="E637" s="1" t="s">
        <v>6</v>
      </c>
      <c r="F637">
        <v>1</v>
      </c>
    </row>
    <row r="638" spans="1:6" x14ac:dyDescent="0.2">
      <c r="A638" s="1">
        <v>3</v>
      </c>
      <c r="B638" s="1">
        <v>0</v>
      </c>
      <c r="C638" s="1" t="s">
        <v>235</v>
      </c>
      <c r="D638" s="1" t="s">
        <v>5</v>
      </c>
      <c r="E638" s="1" t="s">
        <v>6</v>
      </c>
      <c r="F638">
        <v>2</v>
      </c>
    </row>
    <row r="639" spans="1:6" x14ac:dyDescent="0.2">
      <c r="A639" s="1">
        <v>3</v>
      </c>
      <c r="B639" s="1">
        <v>0</v>
      </c>
      <c r="C639" s="1" t="s">
        <v>114</v>
      </c>
      <c r="D639" s="1" t="s">
        <v>28</v>
      </c>
      <c r="E639" s="1" t="s">
        <v>6</v>
      </c>
      <c r="F639">
        <v>3</v>
      </c>
    </row>
    <row r="640" spans="1:6" x14ac:dyDescent="0.2">
      <c r="A640" s="1">
        <v>3</v>
      </c>
      <c r="B640" s="1">
        <v>0</v>
      </c>
      <c r="C640" s="1" t="s">
        <v>115</v>
      </c>
      <c r="D640" s="1" t="s">
        <v>5</v>
      </c>
      <c r="E640" s="1" t="s">
        <v>6</v>
      </c>
      <c r="F640">
        <v>3</v>
      </c>
    </row>
    <row r="641" spans="1:6" x14ac:dyDescent="0.2">
      <c r="A641" s="1">
        <v>3</v>
      </c>
      <c r="B641" s="1">
        <v>0</v>
      </c>
      <c r="C641" s="1" t="s">
        <v>236</v>
      </c>
      <c r="D641" s="1" t="s">
        <v>13</v>
      </c>
      <c r="E641" s="1" t="s">
        <v>6</v>
      </c>
      <c r="F641">
        <v>4</v>
      </c>
    </row>
    <row r="642" spans="1:6" x14ac:dyDescent="0.2">
      <c r="A642" s="1">
        <v>3</v>
      </c>
      <c r="B642" s="1">
        <v>0</v>
      </c>
      <c r="C642" s="1" t="s">
        <v>236</v>
      </c>
      <c r="D642" s="1" t="s">
        <v>5</v>
      </c>
      <c r="E642" s="1" t="s">
        <v>6</v>
      </c>
      <c r="F642">
        <v>3</v>
      </c>
    </row>
    <row r="643" spans="1:6" x14ac:dyDescent="0.2">
      <c r="A643" s="1">
        <v>3</v>
      </c>
      <c r="B643" s="1">
        <v>0</v>
      </c>
      <c r="C643" s="1" t="s">
        <v>116</v>
      </c>
      <c r="D643" s="1" t="s">
        <v>5</v>
      </c>
      <c r="E643" s="1" t="s">
        <v>6</v>
      </c>
      <c r="F643">
        <v>2</v>
      </c>
    </row>
    <row r="644" spans="1:6" x14ac:dyDescent="0.2">
      <c r="A644" s="1">
        <v>3</v>
      </c>
      <c r="B644" s="1">
        <v>0</v>
      </c>
      <c r="C644" s="1" t="s">
        <v>116</v>
      </c>
      <c r="D644" s="1" t="s">
        <v>28</v>
      </c>
      <c r="E644" s="1" t="s">
        <v>6</v>
      </c>
      <c r="F644">
        <v>1</v>
      </c>
    </row>
    <row r="645" spans="1:6" x14ac:dyDescent="0.2">
      <c r="A645" s="1">
        <v>3</v>
      </c>
      <c r="B645" s="1">
        <v>0</v>
      </c>
      <c r="C645" s="1" t="s">
        <v>117</v>
      </c>
      <c r="D645" s="1" t="s">
        <v>28</v>
      </c>
      <c r="E645" s="1" t="s">
        <v>6</v>
      </c>
      <c r="F645">
        <v>2</v>
      </c>
    </row>
    <row r="646" spans="1:6" x14ac:dyDescent="0.2">
      <c r="A646" s="1">
        <v>3</v>
      </c>
      <c r="B646" s="1">
        <v>0</v>
      </c>
      <c r="C646" s="1" t="s">
        <v>118</v>
      </c>
      <c r="D646" s="1" t="s">
        <v>5</v>
      </c>
      <c r="E646" s="1" t="s">
        <v>6</v>
      </c>
      <c r="F646">
        <v>4</v>
      </c>
    </row>
    <row r="647" spans="1:6" x14ac:dyDescent="0.2">
      <c r="A647" s="1">
        <v>3</v>
      </c>
      <c r="B647" s="1">
        <v>0</v>
      </c>
      <c r="C647" s="1" t="s">
        <v>119</v>
      </c>
      <c r="D647" s="1" t="s">
        <v>13</v>
      </c>
      <c r="E647" s="1" t="s">
        <v>6</v>
      </c>
      <c r="F647">
        <v>2</v>
      </c>
    </row>
    <row r="648" spans="1:6" x14ac:dyDescent="0.2">
      <c r="A648" s="1">
        <v>3</v>
      </c>
      <c r="B648" s="1">
        <v>0</v>
      </c>
      <c r="C648" s="1" t="s">
        <v>119</v>
      </c>
      <c r="D648" s="1" t="s">
        <v>5</v>
      </c>
      <c r="E648" s="1" t="s">
        <v>6</v>
      </c>
      <c r="F648">
        <v>3</v>
      </c>
    </row>
    <row r="649" spans="1:6" x14ac:dyDescent="0.2">
      <c r="A649" s="1">
        <v>3</v>
      </c>
      <c r="B649" s="1">
        <v>0</v>
      </c>
      <c r="C649" s="1" t="s">
        <v>120</v>
      </c>
      <c r="D649" s="1" t="s">
        <v>5</v>
      </c>
      <c r="E649" s="1" t="s">
        <v>6</v>
      </c>
      <c r="F649">
        <v>1</v>
      </c>
    </row>
    <row r="650" spans="1:6" x14ac:dyDescent="0.2">
      <c r="A650" s="1">
        <v>3</v>
      </c>
      <c r="B650" s="1">
        <v>0</v>
      </c>
      <c r="C650" s="1" t="s">
        <v>121</v>
      </c>
      <c r="D650" s="1" t="s">
        <v>40</v>
      </c>
      <c r="E650" s="1" t="s">
        <v>6</v>
      </c>
      <c r="F650">
        <v>2</v>
      </c>
    </row>
    <row r="651" spans="1:6" x14ac:dyDescent="0.2">
      <c r="A651" s="1">
        <v>3</v>
      </c>
      <c r="B651" s="1">
        <v>0</v>
      </c>
      <c r="C651" s="1" t="s">
        <v>121</v>
      </c>
      <c r="D651" s="1" t="s">
        <v>41</v>
      </c>
      <c r="E651" s="1" t="s">
        <v>6</v>
      </c>
      <c r="F651">
        <v>2</v>
      </c>
    </row>
    <row r="652" spans="1:6" x14ac:dyDescent="0.2">
      <c r="A652" s="1">
        <v>3</v>
      </c>
      <c r="B652" s="1">
        <v>0</v>
      </c>
      <c r="C652" s="1" t="s">
        <v>121</v>
      </c>
      <c r="D652" s="1" t="s">
        <v>28</v>
      </c>
      <c r="E652" s="1" t="s">
        <v>6</v>
      </c>
      <c r="F652">
        <v>1</v>
      </c>
    </row>
    <row r="653" spans="1:6" x14ac:dyDescent="0.2">
      <c r="A653" s="1">
        <v>3</v>
      </c>
      <c r="B653" s="1">
        <v>0</v>
      </c>
      <c r="C653" s="1" t="s">
        <v>122</v>
      </c>
      <c r="D653" s="1" t="s">
        <v>5</v>
      </c>
      <c r="E653" s="1" t="s">
        <v>6</v>
      </c>
      <c r="F653">
        <v>1</v>
      </c>
    </row>
    <row r="654" spans="1:6" x14ac:dyDescent="0.2">
      <c r="A654" s="1">
        <v>3</v>
      </c>
      <c r="B654" s="1">
        <v>0</v>
      </c>
      <c r="C654" s="1" t="s">
        <v>125</v>
      </c>
      <c r="D654" s="1" t="s">
        <v>5</v>
      </c>
      <c r="E654" s="1" t="s">
        <v>6</v>
      </c>
      <c r="F654">
        <v>1</v>
      </c>
    </row>
    <row r="655" spans="1:6" x14ac:dyDescent="0.2">
      <c r="A655" s="1">
        <v>3</v>
      </c>
      <c r="B655" s="1">
        <v>0</v>
      </c>
      <c r="C655" s="1" t="s">
        <v>126</v>
      </c>
      <c r="D655" s="1" t="s">
        <v>5</v>
      </c>
      <c r="E655" s="1" t="s">
        <v>6</v>
      </c>
      <c r="F655">
        <v>2</v>
      </c>
    </row>
    <row r="656" spans="1:6" x14ac:dyDescent="0.2">
      <c r="A656" s="1">
        <v>3</v>
      </c>
      <c r="B656" s="1">
        <v>0</v>
      </c>
      <c r="C656" s="1" t="s">
        <v>206</v>
      </c>
      <c r="D656" s="1" t="s">
        <v>13</v>
      </c>
      <c r="E656" s="1" t="s">
        <v>6</v>
      </c>
      <c r="F656">
        <v>1</v>
      </c>
    </row>
    <row r="657" spans="1:6" x14ac:dyDescent="0.2">
      <c r="A657" s="1">
        <v>3</v>
      </c>
      <c r="B657" s="1">
        <v>0</v>
      </c>
      <c r="C657" s="1" t="s">
        <v>128</v>
      </c>
      <c r="D657" s="1" t="s">
        <v>5</v>
      </c>
      <c r="E657" s="1" t="s">
        <v>6</v>
      </c>
      <c r="F657">
        <v>1</v>
      </c>
    </row>
    <row r="658" spans="1:6" x14ac:dyDescent="0.2">
      <c r="A658" s="1">
        <v>3</v>
      </c>
      <c r="B658" s="1">
        <v>0</v>
      </c>
      <c r="C658" s="1" t="s">
        <v>128</v>
      </c>
      <c r="D658" s="1" t="s">
        <v>40</v>
      </c>
      <c r="E658" s="1" t="s">
        <v>6</v>
      </c>
      <c r="F658">
        <v>8</v>
      </c>
    </row>
    <row r="659" spans="1:6" x14ac:dyDescent="0.2">
      <c r="A659" s="1">
        <v>3</v>
      </c>
      <c r="B659" s="1">
        <v>0</v>
      </c>
      <c r="C659" s="1" t="s">
        <v>128</v>
      </c>
      <c r="D659" s="1" t="s">
        <v>41</v>
      </c>
      <c r="E659" s="1" t="s">
        <v>6</v>
      </c>
      <c r="F659">
        <v>8</v>
      </c>
    </row>
    <row r="660" spans="1:6" x14ac:dyDescent="0.2">
      <c r="A660" s="1">
        <v>3</v>
      </c>
      <c r="B660" s="1">
        <v>0</v>
      </c>
      <c r="C660" s="1" t="s">
        <v>129</v>
      </c>
      <c r="D660" s="1" t="s">
        <v>5</v>
      </c>
      <c r="E660" s="1" t="s">
        <v>6</v>
      </c>
      <c r="F660">
        <v>4</v>
      </c>
    </row>
    <row r="661" spans="1:6" x14ac:dyDescent="0.2">
      <c r="A661" s="1">
        <v>3</v>
      </c>
      <c r="B661" s="1">
        <v>0</v>
      </c>
      <c r="C661" s="1" t="s">
        <v>130</v>
      </c>
      <c r="D661" s="1" t="s">
        <v>5</v>
      </c>
      <c r="E661" s="1" t="s">
        <v>6</v>
      </c>
      <c r="F661">
        <v>2</v>
      </c>
    </row>
    <row r="662" spans="1:6" x14ac:dyDescent="0.2">
      <c r="A662" s="1">
        <v>3</v>
      </c>
      <c r="B662" s="1">
        <v>0</v>
      </c>
      <c r="C662" s="1" t="s">
        <v>131</v>
      </c>
      <c r="D662" s="1" t="s">
        <v>5</v>
      </c>
      <c r="E662" s="1" t="s">
        <v>6</v>
      </c>
      <c r="F662">
        <v>2</v>
      </c>
    </row>
    <row r="663" spans="1:6" x14ac:dyDescent="0.2">
      <c r="A663" s="1">
        <v>3</v>
      </c>
      <c r="B663" s="1">
        <v>0</v>
      </c>
      <c r="C663" s="1" t="s">
        <v>132</v>
      </c>
      <c r="D663" s="1" t="s">
        <v>5</v>
      </c>
      <c r="E663" s="1" t="s">
        <v>6</v>
      </c>
      <c r="F663">
        <v>3</v>
      </c>
    </row>
    <row r="664" spans="1:6" x14ac:dyDescent="0.2">
      <c r="A664" s="1">
        <v>3</v>
      </c>
      <c r="B664" s="1">
        <v>0</v>
      </c>
      <c r="C664" s="1" t="s">
        <v>133</v>
      </c>
      <c r="D664" s="1" t="s">
        <v>13</v>
      </c>
      <c r="E664" s="1" t="s">
        <v>6</v>
      </c>
      <c r="F664">
        <v>2</v>
      </c>
    </row>
    <row r="665" spans="1:6" x14ac:dyDescent="0.2">
      <c r="A665" s="1">
        <v>3</v>
      </c>
      <c r="B665" s="1">
        <v>0</v>
      </c>
      <c r="C665" s="1" t="s">
        <v>133</v>
      </c>
      <c r="D665" s="1" t="s">
        <v>5</v>
      </c>
      <c r="E665" s="1" t="s">
        <v>6</v>
      </c>
      <c r="F665">
        <v>1</v>
      </c>
    </row>
    <row r="666" spans="1:6" x14ac:dyDescent="0.2">
      <c r="A666" s="1">
        <v>3</v>
      </c>
      <c r="B666" s="1">
        <v>0</v>
      </c>
      <c r="C666" s="1" t="s">
        <v>134</v>
      </c>
      <c r="D666" s="1" t="s">
        <v>5</v>
      </c>
      <c r="E666" s="1" t="s">
        <v>6</v>
      </c>
      <c r="F666">
        <v>1</v>
      </c>
    </row>
    <row r="667" spans="1:6" x14ac:dyDescent="0.2">
      <c r="A667" s="1">
        <v>3</v>
      </c>
      <c r="B667" s="1">
        <v>0</v>
      </c>
      <c r="C667" s="1" t="s">
        <v>135</v>
      </c>
      <c r="D667" s="1" t="s">
        <v>5</v>
      </c>
      <c r="E667" s="1" t="s">
        <v>6</v>
      </c>
      <c r="F667">
        <v>1</v>
      </c>
    </row>
    <row r="668" spans="1:6" x14ac:dyDescent="0.2">
      <c r="A668" s="1">
        <v>3</v>
      </c>
      <c r="B668" s="1">
        <v>0</v>
      </c>
      <c r="C668" s="1" t="s">
        <v>209</v>
      </c>
      <c r="D668" s="1" t="s">
        <v>13</v>
      </c>
      <c r="E668" s="1" t="s">
        <v>6</v>
      </c>
      <c r="F668">
        <v>1</v>
      </c>
    </row>
    <row r="669" spans="1:6" x14ac:dyDescent="0.2">
      <c r="A669" s="1">
        <v>3</v>
      </c>
      <c r="B669" s="1">
        <v>0</v>
      </c>
      <c r="C669" s="1" t="s">
        <v>136</v>
      </c>
      <c r="D669" s="1" t="s">
        <v>5</v>
      </c>
      <c r="E669" s="1" t="s">
        <v>6</v>
      </c>
      <c r="F669">
        <v>6</v>
      </c>
    </row>
    <row r="670" spans="1:6" x14ac:dyDescent="0.2">
      <c r="A670" s="1">
        <v>3</v>
      </c>
      <c r="B670" s="1">
        <v>0</v>
      </c>
      <c r="C670" s="1" t="s">
        <v>137</v>
      </c>
      <c r="D670" s="1" t="s">
        <v>13</v>
      </c>
      <c r="E670" s="1" t="s">
        <v>6</v>
      </c>
      <c r="F670">
        <v>3</v>
      </c>
    </row>
    <row r="671" spans="1:6" x14ac:dyDescent="0.2">
      <c r="A671" s="1">
        <v>3</v>
      </c>
      <c r="B671" s="1">
        <v>0</v>
      </c>
      <c r="C671" s="1" t="s">
        <v>139</v>
      </c>
      <c r="D671" s="1" t="s">
        <v>5</v>
      </c>
      <c r="E671" s="1" t="s">
        <v>6</v>
      </c>
      <c r="F671">
        <v>1</v>
      </c>
    </row>
    <row r="672" spans="1:6" x14ac:dyDescent="0.2">
      <c r="A672" s="1">
        <v>3</v>
      </c>
      <c r="B672" s="1">
        <v>0</v>
      </c>
      <c r="C672" s="1" t="s">
        <v>170</v>
      </c>
      <c r="D672" s="1" t="s">
        <v>28</v>
      </c>
      <c r="E672" s="1" t="s">
        <v>6</v>
      </c>
      <c r="F672">
        <v>5</v>
      </c>
    </row>
    <row r="673" spans="1:6" x14ac:dyDescent="0.2">
      <c r="A673" s="1">
        <v>3</v>
      </c>
      <c r="B673" s="1">
        <v>0</v>
      </c>
      <c r="C673" s="1" t="s">
        <v>170</v>
      </c>
      <c r="D673" s="1" t="s">
        <v>5</v>
      </c>
      <c r="E673" s="1" t="s">
        <v>6</v>
      </c>
      <c r="F673">
        <v>5</v>
      </c>
    </row>
    <row r="674" spans="1:6" x14ac:dyDescent="0.2">
      <c r="A674" s="1">
        <v>3</v>
      </c>
      <c r="B674" s="1">
        <v>0</v>
      </c>
      <c r="C674" s="1" t="s">
        <v>140</v>
      </c>
      <c r="D674" s="1" t="s">
        <v>13</v>
      </c>
      <c r="E674" s="1" t="s">
        <v>6</v>
      </c>
      <c r="F674">
        <v>2</v>
      </c>
    </row>
    <row r="675" spans="1:6" x14ac:dyDescent="0.2">
      <c r="A675" s="1">
        <v>3</v>
      </c>
      <c r="B675" s="1">
        <v>0</v>
      </c>
      <c r="C675" s="1" t="s">
        <v>237</v>
      </c>
      <c r="D675" s="1" t="s">
        <v>5</v>
      </c>
      <c r="E675" s="1" t="s">
        <v>6</v>
      </c>
      <c r="F675">
        <v>2</v>
      </c>
    </row>
    <row r="676" spans="1:6" x14ac:dyDescent="0.2">
      <c r="A676" s="1">
        <v>3</v>
      </c>
      <c r="B676" s="1">
        <v>0</v>
      </c>
      <c r="C676" s="1" t="s">
        <v>237</v>
      </c>
      <c r="D676" s="1" t="s">
        <v>30</v>
      </c>
      <c r="E676" s="1" t="s">
        <v>6</v>
      </c>
      <c r="F676">
        <v>2</v>
      </c>
    </row>
    <row r="677" spans="1:6" x14ac:dyDescent="0.2">
      <c r="A677" s="1">
        <v>3</v>
      </c>
      <c r="B677" s="1">
        <v>0</v>
      </c>
      <c r="C677" s="1" t="s">
        <v>141</v>
      </c>
      <c r="D677" s="1" t="s">
        <v>5</v>
      </c>
      <c r="E677" s="1" t="s">
        <v>6</v>
      </c>
      <c r="F677">
        <v>1</v>
      </c>
    </row>
    <row r="678" spans="1:6" x14ac:dyDescent="0.2">
      <c r="A678" s="1">
        <v>3</v>
      </c>
      <c r="B678" s="1">
        <v>0</v>
      </c>
      <c r="C678" s="1" t="s">
        <v>41</v>
      </c>
      <c r="D678" s="1" t="s">
        <v>13</v>
      </c>
      <c r="E678" s="1" t="s">
        <v>6</v>
      </c>
      <c r="F678">
        <v>1</v>
      </c>
    </row>
    <row r="679" spans="1:6" x14ac:dyDescent="0.2">
      <c r="A679" s="1">
        <v>3</v>
      </c>
      <c r="B679" s="1">
        <v>0</v>
      </c>
      <c r="C679" s="1" t="s">
        <v>143</v>
      </c>
      <c r="D679" s="1" t="s">
        <v>5</v>
      </c>
      <c r="E679" s="1" t="s">
        <v>6</v>
      </c>
      <c r="F679">
        <v>2</v>
      </c>
    </row>
    <row r="680" spans="1:6" x14ac:dyDescent="0.2">
      <c r="A680" s="1">
        <v>3</v>
      </c>
      <c r="B680" s="1">
        <v>0</v>
      </c>
      <c r="C680" s="1" t="s">
        <v>144</v>
      </c>
      <c r="D680" s="1" t="s">
        <v>13</v>
      </c>
      <c r="E680" s="1" t="s">
        <v>6</v>
      </c>
      <c r="F680">
        <v>2</v>
      </c>
    </row>
    <row r="681" spans="1:6" x14ac:dyDescent="0.2">
      <c r="A681" s="1">
        <v>3</v>
      </c>
      <c r="B681" s="1">
        <v>0</v>
      </c>
      <c r="C681" s="1" t="s">
        <v>144</v>
      </c>
      <c r="D681" s="1" t="s">
        <v>5</v>
      </c>
      <c r="E681" s="1" t="s">
        <v>6</v>
      </c>
      <c r="F681">
        <v>1</v>
      </c>
    </row>
    <row r="682" spans="1:6" x14ac:dyDescent="0.2">
      <c r="A682" s="1">
        <v>3</v>
      </c>
      <c r="B682" s="1">
        <v>0</v>
      </c>
      <c r="C682" s="1" t="s">
        <v>146</v>
      </c>
      <c r="D682" s="1" t="s">
        <v>13</v>
      </c>
      <c r="E682" s="1" t="s">
        <v>6</v>
      </c>
      <c r="F682">
        <v>3</v>
      </c>
    </row>
    <row r="683" spans="1:6" x14ac:dyDescent="0.2">
      <c r="A683" s="1">
        <v>3</v>
      </c>
      <c r="B683" s="1">
        <v>0</v>
      </c>
      <c r="C683" s="1" t="s">
        <v>147</v>
      </c>
      <c r="D683" s="1" t="s">
        <v>5</v>
      </c>
      <c r="E683" s="1" t="s">
        <v>6</v>
      </c>
      <c r="F683">
        <v>1</v>
      </c>
    </row>
    <row r="684" spans="1:6" x14ac:dyDescent="0.2">
      <c r="A684" s="1">
        <v>3</v>
      </c>
      <c r="B684" s="1">
        <v>0</v>
      </c>
      <c r="C684" s="1" t="s">
        <v>148</v>
      </c>
      <c r="D684" s="1" t="s">
        <v>13</v>
      </c>
      <c r="E684" s="1" t="s">
        <v>6</v>
      </c>
      <c r="F684">
        <v>4</v>
      </c>
    </row>
    <row r="685" spans="1:6" x14ac:dyDescent="0.2">
      <c r="A685" s="1">
        <v>3</v>
      </c>
      <c r="B685" s="1">
        <v>0</v>
      </c>
      <c r="C685" s="1" t="s">
        <v>149</v>
      </c>
      <c r="D685" s="1" t="s">
        <v>52</v>
      </c>
      <c r="E685" s="1" t="s">
        <v>6</v>
      </c>
      <c r="F685">
        <v>1</v>
      </c>
    </row>
    <row r="686" spans="1:6" x14ac:dyDescent="0.2">
      <c r="A686" s="1">
        <v>3</v>
      </c>
      <c r="B686" s="1">
        <v>0</v>
      </c>
      <c r="C686" s="1" t="s">
        <v>150</v>
      </c>
      <c r="D686" s="1" t="s">
        <v>5</v>
      </c>
      <c r="E686" s="1" t="s">
        <v>6</v>
      </c>
      <c r="F686">
        <v>1</v>
      </c>
    </row>
    <row r="687" spans="1:6" x14ac:dyDescent="0.2">
      <c r="A687" s="1">
        <v>3</v>
      </c>
      <c r="B687" s="1">
        <v>0</v>
      </c>
      <c r="C687" s="1" t="s">
        <v>150</v>
      </c>
      <c r="D687" s="1" t="s">
        <v>42</v>
      </c>
      <c r="E687" s="1" t="s">
        <v>6</v>
      </c>
      <c r="F687">
        <v>1</v>
      </c>
    </row>
    <row r="688" spans="1:6" x14ac:dyDescent="0.2">
      <c r="A688" s="1">
        <v>3</v>
      </c>
      <c r="B688" s="1">
        <v>0</v>
      </c>
      <c r="C688" s="1" t="s">
        <v>152</v>
      </c>
      <c r="D688" s="1" t="s">
        <v>5</v>
      </c>
      <c r="E688" s="1" t="s">
        <v>6</v>
      </c>
      <c r="F688">
        <v>1</v>
      </c>
    </row>
    <row r="689" spans="1:6" x14ac:dyDescent="0.2">
      <c r="A689" s="1">
        <v>3</v>
      </c>
      <c r="B689" s="1">
        <v>0</v>
      </c>
      <c r="C689" s="1" t="s">
        <v>153</v>
      </c>
      <c r="D689" s="1" t="s">
        <v>5</v>
      </c>
      <c r="E689" s="1" t="s">
        <v>6</v>
      </c>
      <c r="F689">
        <v>1</v>
      </c>
    </row>
    <row r="690" spans="1:6" x14ac:dyDescent="0.2">
      <c r="A690" s="1">
        <v>3</v>
      </c>
      <c r="B690" s="1">
        <v>0</v>
      </c>
      <c r="C690" s="1" t="s">
        <v>154</v>
      </c>
      <c r="D690" s="1" t="s">
        <v>5</v>
      </c>
      <c r="E690" s="1" t="s">
        <v>6</v>
      </c>
      <c r="F690">
        <v>1</v>
      </c>
    </row>
    <row r="691" spans="1:6" x14ac:dyDescent="0.2">
      <c r="A691" s="1">
        <v>3</v>
      </c>
      <c r="B691" s="1">
        <v>0</v>
      </c>
      <c r="C691" s="1" t="s">
        <v>216</v>
      </c>
      <c r="D691" s="1" t="s">
        <v>5</v>
      </c>
      <c r="E691" s="1" t="s">
        <v>6</v>
      </c>
      <c r="F691">
        <v>2</v>
      </c>
    </row>
    <row r="692" spans="1:6" x14ac:dyDescent="0.2">
      <c r="A692" s="1">
        <v>3</v>
      </c>
      <c r="B692" s="1">
        <v>0</v>
      </c>
      <c r="C692" s="1" t="s">
        <v>156</v>
      </c>
      <c r="D692" s="1" t="s">
        <v>5</v>
      </c>
      <c r="E692" s="1" t="s">
        <v>6</v>
      </c>
      <c r="F692">
        <v>1</v>
      </c>
    </row>
    <row r="693" spans="1:6" x14ac:dyDescent="0.2">
      <c r="A693" s="1">
        <v>3</v>
      </c>
      <c r="B693" s="1">
        <v>0</v>
      </c>
      <c r="C693" s="1" t="s">
        <v>238</v>
      </c>
      <c r="D693" s="1" t="s">
        <v>42</v>
      </c>
      <c r="E693" s="1" t="s">
        <v>6</v>
      </c>
      <c r="F693">
        <v>1</v>
      </c>
    </row>
    <row r="694" spans="1:6" x14ac:dyDescent="0.2">
      <c r="A694" s="1">
        <v>3</v>
      </c>
      <c r="B694" s="1">
        <v>0</v>
      </c>
      <c r="C694" s="1" t="s">
        <v>157</v>
      </c>
      <c r="D694" s="1" t="s">
        <v>42</v>
      </c>
      <c r="E694" s="1" t="s">
        <v>6</v>
      </c>
      <c r="F694">
        <v>4</v>
      </c>
    </row>
    <row r="695" spans="1:6" x14ac:dyDescent="0.2">
      <c r="A695" s="1">
        <v>3</v>
      </c>
      <c r="B695" s="1">
        <v>0</v>
      </c>
      <c r="C695" s="1" t="s">
        <v>158</v>
      </c>
      <c r="D695" s="1" t="s">
        <v>13</v>
      </c>
      <c r="E695" s="1" t="s">
        <v>6</v>
      </c>
      <c r="F695">
        <v>2</v>
      </c>
    </row>
    <row r="696" spans="1:6" x14ac:dyDescent="0.2">
      <c r="A696" s="1">
        <v>3</v>
      </c>
      <c r="B696" s="1">
        <v>0</v>
      </c>
      <c r="C696" s="1" t="s">
        <v>159</v>
      </c>
      <c r="D696" s="1" t="s">
        <v>5</v>
      </c>
      <c r="E696" s="1" t="s">
        <v>6</v>
      </c>
      <c r="F696">
        <v>1</v>
      </c>
    </row>
    <row r="697" spans="1:6" x14ac:dyDescent="0.2">
      <c r="A697" s="1">
        <v>3</v>
      </c>
      <c r="B697" s="1">
        <v>0</v>
      </c>
      <c r="C697" s="1" t="s">
        <v>160</v>
      </c>
      <c r="D697" s="1" t="s">
        <v>13</v>
      </c>
      <c r="E697" s="1" t="s">
        <v>6</v>
      </c>
      <c r="F697">
        <v>2</v>
      </c>
    </row>
    <row r="698" spans="1:6" x14ac:dyDescent="0.2">
      <c r="A698" s="1">
        <v>3</v>
      </c>
      <c r="B698" s="1">
        <v>0</v>
      </c>
      <c r="C698" s="1" t="s">
        <v>161</v>
      </c>
      <c r="D698" s="1" t="s">
        <v>5</v>
      </c>
      <c r="E698" s="1" t="s">
        <v>6</v>
      </c>
      <c r="F698">
        <v>1</v>
      </c>
    </row>
    <row r="699" spans="1:6" x14ac:dyDescent="0.2">
      <c r="A699" s="1">
        <v>3</v>
      </c>
      <c r="B699" s="1">
        <v>0</v>
      </c>
      <c r="C699" s="1" t="s">
        <v>163</v>
      </c>
      <c r="D699" s="1" t="s">
        <v>5</v>
      </c>
      <c r="E699" s="1" t="s">
        <v>6</v>
      </c>
      <c r="F699">
        <v>1</v>
      </c>
    </row>
    <row r="700" spans="1:6" x14ac:dyDescent="0.2">
      <c r="A700" s="1">
        <v>3</v>
      </c>
      <c r="B700" s="1">
        <v>0</v>
      </c>
      <c r="C700" s="1" t="s">
        <v>164</v>
      </c>
      <c r="D700" s="1" t="s">
        <v>5</v>
      </c>
      <c r="E700" s="1" t="s">
        <v>6</v>
      </c>
      <c r="F700">
        <v>2</v>
      </c>
    </row>
    <row r="701" spans="1:6" x14ac:dyDescent="0.2">
      <c r="A701" s="1">
        <v>3</v>
      </c>
      <c r="B701" s="1">
        <v>0</v>
      </c>
      <c r="C701" s="1" t="s">
        <v>165</v>
      </c>
      <c r="D701" s="1" t="s">
        <v>5</v>
      </c>
      <c r="E701" s="1" t="s">
        <v>6</v>
      </c>
      <c r="F701">
        <v>1</v>
      </c>
    </row>
    <row r="702" spans="1:6" x14ac:dyDescent="0.2">
      <c r="A702" s="1">
        <v>3</v>
      </c>
      <c r="B702" s="1">
        <v>0</v>
      </c>
      <c r="C702" s="1" t="s">
        <v>166</v>
      </c>
      <c r="D702" s="1" t="s">
        <v>5</v>
      </c>
      <c r="E702" s="1" t="s">
        <v>6</v>
      </c>
      <c r="F702">
        <v>3</v>
      </c>
    </row>
    <row r="703" spans="1:6" x14ac:dyDescent="0.2">
      <c r="A703" s="1">
        <v>3</v>
      </c>
      <c r="B703" s="1">
        <v>1</v>
      </c>
      <c r="C703" s="1" t="s">
        <v>9</v>
      </c>
      <c r="D703" s="1" t="s">
        <v>42</v>
      </c>
      <c r="E703" s="1" t="s">
        <v>6</v>
      </c>
      <c r="F703">
        <v>1</v>
      </c>
    </row>
    <row r="704" spans="1:6" x14ac:dyDescent="0.2">
      <c r="A704" s="1">
        <v>3</v>
      </c>
      <c r="B704" s="1">
        <v>1</v>
      </c>
      <c r="C704" s="1" t="s">
        <v>10</v>
      </c>
      <c r="D704" s="1" t="s">
        <v>30</v>
      </c>
      <c r="E704" s="1" t="s">
        <v>6</v>
      </c>
      <c r="F704">
        <v>1</v>
      </c>
    </row>
    <row r="705" spans="1:6" x14ac:dyDescent="0.2">
      <c r="A705" s="1">
        <v>3</v>
      </c>
      <c r="B705" s="1">
        <v>1</v>
      </c>
      <c r="C705" s="1" t="s">
        <v>32</v>
      </c>
      <c r="D705" s="1" t="s">
        <v>30</v>
      </c>
      <c r="E705" s="1" t="s">
        <v>6</v>
      </c>
      <c r="F705">
        <v>1</v>
      </c>
    </row>
    <row r="706" spans="1:6" x14ac:dyDescent="0.2">
      <c r="A706" s="1">
        <v>3</v>
      </c>
      <c r="B706" s="1">
        <v>1</v>
      </c>
      <c r="C706" s="1" t="s">
        <v>189</v>
      </c>
      <c r="D706" s="1" t="s">
        <v>30</v>
      </c>
      <c r="E706" s="1" t="s">
        <v>6</v>
      </c>
      <c r="F706">
        <v>2</v>
      </c>
    </row>
    <row r="707" spans="1:6" x14ac:dyDescent="0.2">
      <c r="A707" s="1">
        <v>3</v>
      </c>
      <c r="B707" s="1">
        <v>1</v>
      </c>
      <c r="C707" s="1" t="s">
        <v>189</v>
      </c>
      <c r="D707" s="1" t="s">
        <v>28</v>
      </c>
      <c r="E707" s="1" t="s">
        <v>6</v>
      </c>
      <c r="F707">
        <v>2</v>
      </c>
    </row>
    <row r="708" spans="1:6" x14ac:dyDescent="0.2">
      <c r="A708" s="1">
        <v>3</v>
      </c>
      <c r="B708" s="1">
        <v>1</v>
      </c>
      <c r="C708" s="1" t="s">
        <v>52</v>
      </c>
      <c r="D708" s="1" t="s">
        <v>42</v>
      </c>
      <c r="E708" s="1" t="s">
        <v>6</v>
      </c>
      <c r="F708">
        <v>7</v>
      </c>
    </row>
    <row r="709" spans="1:6" x14ac:dyDescent="0.2">
      <c r="A709" s="1">
        <v>3</v>
      </c>
      <c r="B709" s="1">
        <v>1</v>
      </c>
      <c r="C709" s="1" t="s">
        <v>67</v>
      </c>
      <c r="D709" s="1" t="s">
        <v>5</v>
      </c>
      <c r="E709" s="1" t="s">
        <v>6</v>
      </c>
      <c r="F709">
        <v>2</v>
      </c>
    </row>
    <row r="710" spans="1:6" x14ac:dyDescent="0.2">
      <c r="A710" s="1">
        <v>3</v>
      </c>
      <c r="B710" s="1">
        <v>1</v>
      </c>
      <c r="C710" s="1" t="s">
        <v>67</v>
      </c>
      <c r="D710" s="1" t="s">
        <v>28</v>
      </c>
      <c r="E710" s="1" t="s">
        <v>6</v>
      </c>
      <c r="F710">
        <v>2</v>
      </c>
    </row>
    <row r="711" spans="1:6" x14ac:dyDescent="0.2">
      <c r="A711" s="1">
        <v>3</v>
      </c>
      <c r="B711" s="1">
        <v>1</v>
      </c>
      <c r="C711" s="1" t="s">
        <v>197</v>
      </c>
      <c r="D711" s="1" t="s">
        <v>30</v>
      </c>
      <c r="E711" s="1" t="s">
        <v>6</v>
      </c>
      <c r="F711">
        <v>1</v>
      </c>
    </row>
    <row r="712" spans="1:6" x14ac:dyDescent="0.2">
      <c r="A712" s="1">
        <v>3</v>
      </c>
      <c r="B712" s="1">
        <v>1</v>
      </c>
      <c r="C712" s="1" t="s">
        <v>197</v>
      </c>
      <c r="D712" s="1" t="s">
        <v>28</v>
      </c>
      <c r="E712" s="1" t="s">
        <v>6</v>
      </c>
      <c r="F712">
        <v>4</v>
      </c>
    </row>
    <row r="713" spans="1:6" x14ac:dyDescent="0.2">
      <c r="A713" s="1">
        <v>3</v>
      </c>
      <c r="B713" s="1">
        <v>1</v>
      </c>
      <c r="C713" s="1" t="s">
        <v>83</v>
      </c>
      <c r="D713" s="1" t="s">
        <v>28</v>
      </c>
      <c r="E713" s="1" t="s">
        <v>6</v>
      </c>
      <c r="F713">
        <v>2</v>
      </c>
    </row>
    <row r="714" spans="1:6" x14ac:dyDescent="0.2">
      <c r="A714" s="1">
        <v>3</v>
      </c>
      <c r="B714" s="1">
        <v>1</v>
      </c>
      <c r="C714" s="1" t="s">
        <v>84</v>
      </c>
      <c r="D714" s="1" t="s">
        <v>30</v>
      </c>
      <c r="E714" s="1" t="s">
        <v>6</v>
      </c>
      <c r="F714">
        <v>2</v>
      </c>
    </row>
    <row r="715" spans="1:6" x14ac:dyDescent="0.2">
      <c r="A715" s="1">
        <v>3</v>
      </c>
      <c r="B715" s="1">
        <v>1</v>
      </c>
      <c r="C715" s="1" t="s">
        <v>93</v>
      </c>
      <c r="D715" s="1" t="s">
        <v>30</v>
      </c>
      <c r="E715" s="1" t="s">
        <v>6</v>
      </c>
      <c r="F715">
        <v>4</v>
      </c>
    </row>
    <row r="716" spans="1:6" x14ac:dyDescent="0.2">
      <c r="A716" s="1">
        <v>3</v>
      </c>
      <c r="B716" s="1">
        <v>1</v>
      </c>
      <c r="C716" s="1" t="s">
        <v>96</v>
      </c>
      <c r="D716" s="1" t="s">
        <v>42</v>
      </c>
      <c r="E716" s="1" t="s">
        <v>6</v>
      </c>
      <c r="F716">
        <v>4</v>
      </c>
    </row>
    <row r="717" spans="1:6" x14ac:dyDescent="0.2">
      <c r="A717" s="1">
        <v>3</v>
      </c>
      <c r="B717" s="1">
        <v>1</v>
      </c>
      <c r="C717" s="1" t="s">
        <v>118</v>
      </c>
      <c r="D717" s="1" t="s">
        <v>28</v>
      </c>
      <c r="E717" s="1" t="s">
        <v>6</v>
      </c>
      <c r="F717">
        <v>1</v>
      </c>
    </row>
    <row r="718" spans="1:6" x14ac:dyDescent="0.2">
      <c r="A718" s="1">
        <v>3</v>
      </c>
      <c r="B718" s="1">
        <v>1</v>
      </c>
      <c r="C718" s="1" t="s">
        <v>169</v>
      </c>
      <c r="D718" s="1" t="s">
        <v>28</v>
      </c>
      <c r="E718" s="1" t="s">
        <v>6</v>
      </c>
      <c r="F718">
        <v>1</v>
      </c>
    </row>
    <row r="719" spans="1:6" x14ac:dyDescent="0.2">
      <c r="A719" s="1">
        <v>3</v>
      </c>
      <c r="B719" s="1">
        <v>1</v>
      </c>
      <c r="C719" s="1" t="s">
        <v>128</v>
      </c>
      <c r="D719" s="1" t="s">
        <v>40</v>
      </c>
      <c r="E719" s="1" t="s">
        <v>6</v>
      </c>
      <c r="F719">
        <v>8</v>
      </c>
    </row>
    <row r="720" spans="1:6" x14ac:dyDescent="0.2">
      <c r="A720" s="1">
        <v>3</v>
      </c>
      <c r="B720" s="1">
        <v>1</v>
      </c>
      <c r="C720" s="1" t="s">
        <v>128</v>
      </c>
      <c r="D720" s="1" t="s">
        <v>41</v>
      </c>
      <c r="E720" s="1" t="s">
        <v>6</v>
      </c>
      <c r="F720">
        <v>8</v>
      </c>
    </row>
    <row r="721" spans="1:6" x14ac:dyDescent="0.2">
      <c r="A721" s="1">
        <v>3</v>
      </c>
      <c r="B721" s="1">
        <v>1</v>
      </c>
      <c r="C721" s="1" t="s">
        <v>132</v>
      </c>
      <c r="D721" s="1" t="s">
        <v>28</v>
      </c>
      <c r="E721" s="1" t="s">
        <v>6</v>
      </c>
      <c r="F721">
        <v>1</v>
      </c>
    </row>
    <row r="722" spans="1:6" x14ac:dyDescent="0.2">
      <c r="A722" s="1">
        <v>3</v>
      </c>
      <c r="B722" s="1">
        <v>1</v>
      </c>
      <c r="C722" s="1" t="s">
        <v>138</v>
      </c>
      <c r="D722" s="1" t="s">
        <v>5</v>
      </c>
      <c r="E722" s="1" t="s">
        <v>6</v>
      </c>
      <c r="F722">
        <v>2</v>
      </c>
    </row>
    <row r="723" spans="1:6" x14ac:dyDescent="0.2">
      <c r="A723" s="1">
        <v>3</v>
      </c>
      <c r="B723" s="1">
        <v>1</v>
      </c>
      <c r="C723" s="1" t="s">
        <v>170</v>
      </c>
      <c r="D723" s="1" t="s">
        <v>5</v>
      </c>
      <c r="E723" s="1" t="s">
        <v>6</v>
      </c>
      <c r="F723">
        <v>3</v>
      </c>
    </row>
    <row r="724" spans="1:6" x14ac:dyDescent="0.2">
      <c r="A724" s="1">
        <v>3</v>
      </c>
      <c r="B724" s="1">
        <v>1</v>
      </c>
      <c r="C724" s="1" t="s">
        <v>238</v>
      </c>
      <c r="D724" s="1" t="s">
        <v>30</v>
      </c>
      <c r="E724" s="1" t="s">
        <v>6</v>
      </c>
      <c r="F724">
        <v>1</v>
      </c>
    </row>
    <row r="725" spans="1:6" x14ac:dyDescent="0.2">
      <c r="A725" s="1">
        <v>3</v>
      </c>
      <c r="B725" s="1">
        <v>2</v>
      </c>
      <c r="C725" s="1" t="s">
        <v>189</v>
      </c>
      <c r="D725" s="1" t="s">
        <v>28</v>
      </c>
      <c r="E725" s="1" t="s">
        <v>6</v>
      </c>
      <c r="F725">
        <v>2</v>
      </c>
    </row>
    <row r="726" spans="1:6" x14ac:dyDescent="0.2">
      <c r="A726" s="1">
        <v>3</v>
      </c>
      <c r="B726" s="1">
        <v>2</v>
      </c>
      <c r="C726" s="1" t="s">
        <v>197</v>
      </c>
      <c r="D726" s="1" t="s">
        <v>30</v>
      </c>
      <c r="E726" s="1" t="s">
        <v>6</v>
      </c>
      <c r="F726">
        <v>1</v>
      </c>
    </row>
    <row r="727" spans="1:6" x14ac:dyDescent="0.2">
      <c r="A727" s="1">
        <v>3</v>
      </c>
      <c r="B727" s="1">
        <v>2</v>
      </c>
      <c r="C727" s="1" t="s">
        <v>118</v>
      </c>
      <c r="D727" s="1" t="s">
        <v>30</v>
      </c>
      <c r="E727" s="1" t="s">
        <v>6</v>
      </c>
      <c r="F727">
        <v>1</v>
      </c>
    </row>
    <row r="728" spans="1:6" x14ac:dyDescent="0.2">
      <c r="A728" s="1">
        <v>3</v>
      </c>
      <c r="B728" s="1">
        <v>2</v>
      </c>
      <c r="C728" s="1" t="s">
        <v>238</v>
      </c>
      <c r="D728" s="1" t="s">
        <v>30</v>
      </c>
      <c r="E728" s="1" t="s">
        <v>6</v>
      </c>
      <c r="F728">
        <v>1</v>
      </c>
    </row>
    <row r="729" spans="1:6" x14ac:dyDescent="0.2">
      <c r="A729" s="1">
        <v>3</v>
      </c>
      <c r="B729" s="1">
        <v>3</v>
      </c>
      <c r="C729" s="1" t="s">
        <v>189</v>
      </c>
      <c r="D729" s="1" t="s">
        <v>5</v>
      </c>
      <c r="E729" s="1" t="s">
        <v>6</v>
      </c>
      <c r="F729">
        <v>2</v>
      </c>
    </row>
    <row r="730" spans="1:6" x14ac:dyDescent="0.2">
      <c r="A730" s="1">
        <v>3</v>
      </c>
      <c r="B730" s="1">
        <v>3</v>
      </c>
      <c r="C730" s="1" t="s">
        <v>118</v>
      </c>
      <c r="D730" s="1" t="s">
        <v>28</v>
      </c>
      <c r="E730" s="1" t="s">
        <v>6</v>
      </c>
      <c r="F730">
        <v>1</v>
      </c>
    </row>
    <row r="731" spans="1:6" x14ac:dyDescent="0.2">
      <c r="A731" s="1">
        <v>3</v>
      </c>
      <c r="B731" s="1">
        <v>3</v>
      </c>
      <c r="C731" s="1" t="s">
        <v>238</v>
      </c>
      <c r="D731" s="1" t="s">
        <v>13</v>
      </c>
      <c r="E731" s="1" t="s">
        <v>6</v>
      </c>
      <c r="F731">
        <v>1</v>
      </c>
    </row>
    <row r="732" spans="1:6" x14ac:dyDescent="0.2">
      <c r="A732" s="1">
        <v>3</v>
      </c>
      <c r="B732" s="1">
        <v>3</v>
      </c>
      <c r="C732" s="1" t="s">
        <v>238</v>
      </c>
      <c r="D732" s="1" t="s">
        <v>30</v>
      </c>
      <c r="E732" s="1" t="s">
        <v>6</v>
      </c>
      <c r="F732">
        <v>1</v>
      </c>
    </row>
    <row r="733" spans="1:6" x14ac:dyDescent="0.2">
      <c r="A733" s="1">
        <v>3</v>
      </c>
      <c r="B733" s="1">
        <v>4</v>
      </c>
      <c r="C733" s="1" t="s">
        <v>118</v>
      </c>
      <c r="D733" s="1" t="s">
        <v>28</v>
      </c>
      <c r="E733" s="1" t="s">
        <v>6</v>
      </c>
      <c r="F733">
        <v>1</v>
      </c>
    </row>
    <row r="734" spans="1:6" x14ac:dyDescent="0.2">
      <c r="A734" s="1">
        <v>4</v>
      </c>
      <c r="B734" s="1">
        <v>0</v>
      </c>
      <c r="C734" s="1" t="s">
        <v>4</v>
      </c>
      <c r="D734" s="1" t="s">
        <v>5</v>
      </c>
      <c r="E734" s="1" t="s">
        <v>6</v>
      </c>
      <c r="F734">
        <v>3</v>
      </c>
    </row>
    <row r="735" spans="1:6" x14ac:dyDescent="0.2">
      <c r="A735" s="1">
        <v>4</v>
      </c>
      <c r="B735" s="1">
        <v>0</v>
      </c>
      <c r="C735" s="1" t="s">
        <v>7</v>
      </c>
      <c r="D735" s="1" t="s">
        <v>5</v>
      </c>
      <c r="E735" s="1" t="s">
        <v>6</v>
      </c>
      <c r="F735">
        <v>1</v>
      </c>
    </row>
    <row r="736" spans="1:6" x14ac:dyDescent="0.2">
      <c r="A736" s="1">
        <v>4</v>
      </c>
      <c r="B736" s="1">
        <v>0</v>
      </c>
      <c r="C736" s="1" t="s">
        <v>8</v>
      </c>
      <c r="D736" s="1" t="s">
        <v>5</v>
      </c>
      <c r="E736" s="1" t="s">
        <v>6</v>
      </c>
      <c r="F736">
        <v>1</v>
      </c>
    </row>
    <row r="737" spans="1:6" x14ac:dyDescent="0.2">
      <c r="A737" s="1">
        <v>4</v>
      </c>
      <c r="B737" s="1">
        <v>0</v>
      </c>
      <c r="C737" s="1" t="s">
        <v>245</v>
      </c>
      <c r="D737" s="1" t="s">
        <v>5</v>
      </c>
      <c r="E737" s="1" t="s">
        <v>6</v>
      </c>
      <c r="F737">
        <v>2</v>
      </c>
    </row>
    <row r="738" spans="1:6" x14ac:dyDescent="0.2">
      <c r="A738" s="1">
        <v>4</v>
      </c>
      <c r="B738" s="1">
        <v>0</v>
      </c>
      <c r="C738" s="1" t="s">
        <v>10</v>
      </c>
      <c r="D738" s="1" t="s">
        <v>5</v>
      </c>
      <c r="E738" s="1" t="s">
        <v>6</v>
      </c>
      <c r="F738">
        <v>3</v>
      </c>
    </row>
    <row r="739" spans="1:6" x14ac:dyDescent="0.2">
      <c r="A739" s="1">
        <v>4</v>
      </c>
      <c r="B739" s="1">
        <v>0</v>
      </c>
      <c r="C739" s="1" t="s">
        <v>12</v>
      </c>
      <c r="D739" s="1" t="s">
        <v>13</v>
      </c>
      <c r="E739" s="1" t="s">
        <v>6</v>
      </c>
      <c r="F739">
        <v>2</v>
      </c>
    </row>
    <row r="740" spans="1:6" x14ac:dyDescent="0.2">
      <c r="A740" s="1">
        <v>4</v>
      </c>
      <c r="B740" s="1">
        <v>0</v>
      </c>
      <c r="C740" s="1" t="s">
        <v>12</v>
      </c>
      <c r="D740" s="1" t="s">
        <v>5</v>
      </c>
      <c r="E740" s="1" t="s">
        <v>6</v>
      </c>
      <c r="F740">
        <v>1</v>
      </c>
    </row>
    <row r="741" spans="1:6" x14ac:dyDescent="0.2">
      <c r="A741" s="1">
        <v>4</v>
      </c>
      <c r="B741" s="1">
        <v>0</v>
      </c>
      <c r="C741" s="1" t="s">
        <v>15</v>
      </c>
      <c r="D741" s="1" t="s">
        <v>5</v>
      </c>
      <c r="E741" s="1" t="s">
        <v>6</v>
      </c>
      <c r="F741">
        <v>1</v>
      </c>
    </row>
    <row r="742" spans="1:6" x14ac:dyDescent="0.2">
      <c r="A742" s="1">
        <v>4</v>
      </c>
      <c r="B742" s="1">
        <v>0</v>
      </c>
      <c r="C742" s="1" t="s">
        <v>16</v>
      </c>
      <c r="D742" s="1" t="s">
        <v>5</v>
      </c>
      <c r="E742" s="1" t="s">
        <v>6</v>
      </c>
      <c r="F742">
        <v>1</v>
      </c>
    </row>
    <row r="743" spans="1:6" x14ac:dyDescent="0.2">
      <c r="A743" s="1">
        <v>4</v>
      </c>
      <c r="B743" s="1">
        <v>0</v>
      </c>
      <c r="C743" s="1" t="s">
        <v>17</v>
      </c>
      <c r="D743" s="1" t="s">
        <v>5</v>
      </c>
      <c r="E743" s="1" t="s">
        <v>6</v>
      </c>
      <c r="F743">
        <v>3</v>
      </c>
    </row>
    <row r="744" spans="1:6" x14ac:dyDescent="0.2">
      <c r="A744" s="1">
        <v>4</v>
      </c>
      <c r="B744" s="1">
        <v>0</v>
      </c>
      <c r="C744" s="1" t="s">
        <v>18</v>
      </c>
      <c r="D744" s="1" t="s">
        <v>5</v>
      </c>
      <c r="E744" s="1" t="s">
        <v>6</v>
      </c>
      <c r="F744">
        <v>1</v>
      </c>
    </row>
    <row r="745" spans="1:6" x14ac:dyDescent="0.2">
      <c r="A745" s="1">
        <v>4</v>
      </c>
      <c r="B745" s="1">
        <v>0</v>
      </c>
      <c r="C745" s="1" t="s">
        <v>19</v>
      </c>
      <c r="D745" s="1" t="s">
        <v>5</v>
      </c>
      <c r="E745" s="1" t="s">
        <v>6</v>
      </c>
      <c r="F745">
        <v>1</v>
      </c>
    </row>
    <row r="746" spans="1:6" x14ac:dyDescent="0.2">
      <c r="A746" s="1">
        <v>4</v>
      </c>
      <c r="B746" s="1">
        <v>0</v>
      </c>
      <c r="C746" s="1" t="s">
        <v>20</v>
      </c>
      <c r="D746" s="1" t="s">
        <v>5</v>
      </c>
      <c r="E746" s="1" t="s">
        <v>6</v>
      </c>
      <c r="F746">
        <v>3</v>
      </c>
    </row>
    <row r="747" spans="1:6" x14ac:dyDescent="0.2">
      <c r="A747" s="1">
        <v>4</v>
      </c>
      <c r="B747" s="1">
        <v>0</v>
      </c>
      <c r="C747" s="1" t="s">
        <v>21</v>
      </c>
      <c r="D747" s="1" t="s">
        <v>5</v>
      </c>
      <c r="E747" s="1" t="s">
        <v>6</v>
      </c>
      <c r="F747">
        <v>1</v>
      </c>
    </row>
    <row r="748" spans="1:6" x14ac:dyDescent="0.2">
      <c r="A748" s="1">
        <v>4</v>
      </c>
      <c r="B748" s="1">
        <v>0</v>
      </c>
      <c r="C748" s="1" t="s">
        <v>22</v>
      </c>
      <c r="D748" s="1" t="s">
        <v>5</v>
      </c>
      <c r="E748" s="1" t="s">
        <v>6</v>
      </c>
      <c r="F748">
        <v>2</v>
      </c>
    </row>
    <row r="749" spans="1:6" x14ac:dyDescent="0.2">
      <c r="A749" s="1">
        <v>4</v>
      </c>
      <c r="B749" s="1">
        <v>0</v>
      </c>
      <c r="C749" s="1" t="s">
        <v>23</v>
      </c>
      <c r="D749" s="1" t="s">
        <v>5</v>
      </c>
      <c r="E749" s="1" t="s">
        <v>6</v>
      </c>
      <c r="F749">
        <v>3</v>
      </c>
    </row>
    <row r="750" spans="1:6" x14ac:dyDescent="0.2">
      <c r="A750" s="1">
        <v>4</v>
      </c>
      <c r="B750" s="1">
        <v>0</v>
      </c>
      <c r="C750" s="1" t="s">
        <v>23</v>
      </c>
      <c r="D750" s="1" t="s">
        <v>28</v>
      </c>
      <c r="E750" s="1" t="s">
        <v>6</v>
      </c>
      <c r="F750">
        <v>1</v>
      </c>
    </row>
    <row r="751" spans="1:6" x14ac:dyDescent="0.2">
      <c r="A751" s="1">
        <v>4</v>
      </c>
      <c r="B751" s="1">
        <v>0</v>
      </c>
      <c r="C751" s="1" t="s">
        <v>24</v>
      </c>
      <c r="D751" s="1" t="s">
        <v>5</v>
      </c>
      <c r="E751" s="1" t="s">
        <v>6</v>
      </c>
      <c r="F751">
        <v>1</v>
      </c>
    </row>
    <row r="752" spans="1:6" x14ac:dyDescent="0.2">
      <c r="A752" s="1">
        <v>4</v>
      </c>
      <c r="B752" s="1">
        <v>0</v>
      </c>
      <c r="C752" s="1" t="s">
        <v>25</v>
      </c>
      <c r="D752" s="1" t="s">
        <v>5</v>
      </c>
      <c r="E752" s="1" t="s">
        <v>6</v>
      </c>
      <c r="F752">
        <v>2</v>
      </c>
    </row>
    <row r="753" spans="1:6" x14ac:dyDescent="0.2">
      <c r="A753" s="1">
        <v>4</v>
      </c>
      <c r="B753" s="1">
        <v>0</v>
      </c>
      <c r="C753" s="1" t="s">
        <v>246</v>
      </c>
      <c r="D753" s="1" t="s">
        <v>13</v>
      </c>
      <c r="E753" s="1" t="s">
        <v>6</v>
      </c>
      <c r="F753">
        <v>4</v>
      </c>
    </row>
    <row r="754" spans="1:6" x14ac:dyDescent="0.2">
      <c r="A754" s="1">
        <v>4</v>
      </c>
      <c r="B754" s="1">
        <v>0</v>
      </c>
      <c r="C754" s="1" t="s">
        <v>27</v>
      </c>
      <c r="D754" s="1" t="s">
        <v>28</v>
      </c>
      <c r="E754" s="1" t="s">
        <v>6</v>
      </c>
      <c r="F754">
        <v>2</v>
      </c>
    </row>
    <row r="755" spans="1:6" x14ac:dyDescent="0.2">
      <c r="A755" s="1">
        <v>4</v>
      </c>
      <c r="B755" s="1">
        <v>0</v>
      </c>
      <c r="C755" s="1" t="s">
        <v>184</v>
      </c>
      <c r="D755" s="1" t="s">
        <v>5</v>
      </c>
      <c r="E755" s="1" t="s">
        <v>6</v>
      </c>
      <c r="F755">
        <v>1</v>
      </c>
    </row>
    <row r="756" spans="1:6" x14ac:dyDescent="0.2">
      <c r="A756" s="1">
        <v>4</v>
      </c>
      <c r="B756" s="1">
        <v>0</v>
      </c>
      <c r="C756" s="1" t="s">
        <v>29</v>
      </c>
      <c r="D756" s="1" t="s">
        <v>5</v>
      </c>
      <c r="E756" s="1" t="s">
        <v>6</v>
      </c>
      <c r="F756">
        <v>1</v>
      </c>
    </row>
    <row r="757" spans="1:6" x14ac:dyDescent="0.2">
      <c r="A757" s="1">
        <v>4</v>
      </c>
      <c r="B757" s="1">
        <v>0</v>
      </c>
      <c r="C757" s="1" t="s">
        <v>31</v>
      </c>
      <c r="D757" s="1" t="s">
        <v>28</v>
      </c>
      <c r="E757" s="1" t="s">
        <v>6</v>
      </c>
      <c r="F757">
        <v>3</v>
      </c>
    </row>
    <row r="758" spans="1:6" x14ac:dyDescent="0.2">
      <c r="A758" s="1">
        <v>4</v>
      </c>
      <c r="B758" s="1">
        <v>0</v>
      </c>
      <c r="C758" s="1" t="s">
        <v>185</v>
      </c>
      <c r="D758" s="1" t="s">
        <v>13</v>
      </c>
      <c r="E758" s="1" t="s">
        <v>6</v>
      </c>
      <c r="F758">
        <v>1</v>
      </c>
    </row>
    <row r="759" spans="1:6" x14ac:dyDescent="0.2">
      <c r="A759" s="1">
        <v>4</v>
      </c>
      <c r="B759" s="1">
        <v>0</v>
      </c>
      <c r="C759" s="1" t="s">
        <v>32</v>
      </c>
      <c r="D759" s="1" t="s">
        <v>5</v>
      </c>
      <c r="E759" s="1" t="s">
        <v>6</v>
      </c>
      <c r="F759">
        <v>2</v>
      </c>
    </row>
    <row r="760" spans="1:6" x14ac:dyDescent="0.2">
      <c r="A760" s="1">
        <v>4</v>
      </c>
      <c r="B760" s="1">
        <v>0</v>
      </c>
      <c r="C760" s="1" t="s">
        <v>186</v>
      </c>
      <c r="D760" s="1" t="s">
        <v>5</v>
      </c>
      <c r="E760" s="1" t="s">
        <v>6</v>
      </c>
      <c r="F760">
        <v>2</v>
      </c>
    </row>
    <row r="761" spans="1:6" x14ac:dyDescent="0.2">
      <c r="A761" s="1">
        <v>4</v>
      </c>
      <c r="B761" s="1">
        <v>0</v>
      </c>
      <c r="C761" s="1" t="s">
        <v>186</v>
      </c>
      <c r="D761" s="1" t="s">
        <v>30</v>
      </c>
      <c r="E761" s="1" t="s">
        <v>6</v>
      </c>
      <c r="F761">
        <v>4</v>
      </c>
    </row>
    <row r="762" spans="1:6" x14ac:dyDescent="0.2">
      <c r="A762" s="1">
        <v>4</v>
      </c>
      <c r="B762" s="1">
        <v>0</v>
      </c>
      <c r="C762" s="1" t="s">
        <v>33</v>
      </c>
      <c r="D762" s="1" t="s">
        <v>5</v>
      </c>
      <c r="E762" s="1" t="s">
        <v>6</v>
      </c>
      <c r="F762">
        <v>2</v>
      </c>
    </row>
    <row r="763" spans="1:6" x14ac:dyDescent="0.2">
      <c r="A763" s="1">
        <v>4</v>
      </c>
      <c r="B763" s="1">
        <v>0</v>
      </c>
      <c r="C763" s="1" t="s">
        <v>34</v>
      </c>
      <c r="D763" s="1" t="s">
        <v>28</v>
      </c>
      <c r="E763" s="1" t="s">
        <v>6</v>
      </c>
      <c r="F763">
        <v>2</v>
      </c>
    </row>
    <row r="764" spans="1:6" x14ac:dyDescent="0.2">
      <c r="A764" s="1">
        <v>4</v>
      </c>
      <c r="B764" s="1">
        <v>0</v>
      </c>
      <c r="C764" s="1" t="s">
        <v>35</v>
      </c>
      <c r="D764" s="1" t="s">
        <v>5</v>
      </c>
      <c r="E764" s="1" t="s">
        <v>6</v>
      </c>
      <c r="F764">
        <v>1</v>
      </c>
    </row>
    <row r="765" spans="1:6" x14ac:dyDescent="0.2">
      <c r="A765" s="1">
        <v>4</v>
      </c>
      <c r="B765" s="1">
        <v>0</v>
      </c>
      <c r="C765" s="1" t="s">
        <v>36</v>
      </c>
      <c r="D765" s="1" t="s">
        <v>5</v>
      </c>
      <c r="E765" s="1" t="s">
        <v>6</v>
      </c>
      <c r="F765">
        <v>2</v>
      </c>
    </row>
    <row r="766" spans="1:6" x14ac:dyDescent="0.2">
      <c r="A766" s="1">
        <v>4</v>
      </c>
      <c r="B766" s="1">
        <v>0</v>
      </c>
      <c r="C766" s="1" t="s">
        <v>38</v>
      </c>
      <c r="D766" s="1" t="s">
        <v>5</v>
      </c>
      <c r="E766" s="1" t="s">
        <v>6</v>
      </c>
      <c r="F766">
        <v>1</v>
      </c>
    </row>
    <row r="767" spans="1:6" x14ac:dyDescent="0.2">
      <c r="A767" s="1">
        <v>4</v>
      </c>
      <c r="B767" s="1">
        <v>0</v>
      </c>
      <c r="C767" s="1" t="s">
        <v>39</v>
      </c>
      <c r="D767" s="1" t="s">
        <v>5</v>
      </c>
      <c r="E767" s="1" t="s">
        <v>6</v>
      </c>
      <c r="F767">
        <v>1</v>
      </c>
    </row>
    <row r="768" spans="1:6" x14ac:dyDescent="0.2">
      <c r="A768" s="1">
        <v>4</v>
      </c>
      <c r="B768" s="1">
        <v>0</v>
      </c>
      <c r="C768" s="1" t="s">
        <v>247</v>
      </c>
      <c r="D768" s="1" t="s">
        <v>13</v>
      </c>
      <c r="E768" s="1" t="s">
        <v>6</v>
      </c>
      <c r="F768">
        <v>2</v>
      </c>
    </row>
    <row r="769" spans="1:6" x14ac:dyDescent="0.2">
      <c r="A769" s="1">
        <v>4</v>
      </c>
      <c r="B769" s="1">
        <v>0</v>
      </c>
      <c r="C769" s="1" t="s">
        <v>226</v>
      </c>
      <c r="D769" s="1" t="s">
        <v>5</v>
      </c>
      <c r="E769" s="1" t="s">
        <v>6</v>
      </c>
      <c r="F769">
        <v>1</v>
      </c>
    </row>
    <row r="770" spans="1:6" x14ac:dyDescent="0.2">
      <c r="A770" s="1">
        <v>4</v>
      </c>
      <c r="B770" s="1">
        <v>0</v>
      </c>
      <c r="C770" s="1" t="s">
        <v>189</v>
      </c>
      <c r="D770" s="1" t="s">
        <v>5</v>
      </c>
      <c r="E770" s="1" t="s">
        <v>6</v>
      </c>
      <c r="F770">
        <v>4</v>
      </c>
    </row>
    <row r="771" spans="1:6" x14ac:dyDescent="0.2">
      <c r="A771" s="1">
        <v>4</v>
      </c>
      <c r="B771" s="1">
        <v>0</v>
      </c>
      <c r="C771" s="1" t="s">
        <v>189</v>
      </c>
      <c r="D771" s="1" t="s">
        <v>28</v>
      </c>
      <c r="E771" s="1" t="s">
        <v>6</v>
      </c>
      <c r="F771">
        <v>2</v>
      </c>
    </row>
    <row r="772" spans="1:6" x14ac:dyDescent="0.2">
      <c r="A772" s="1">
        <v>4</v>
      </c>
      <c r="B772" s="1">
        <v>0</v>
      </c>
      <c r="C772" s="1" t="s">
        <v>43</v>
      </c>
      <c r="D772" s="1" t="s">
        <v>5</v>
      </c>
      <c r="E772" s="1" t="s">
        <v>6</v>
      </c>
      <c r="F772">
        <v>1</v>
      </c>
    </row>
    <row r="773" spans="1:6" x14ac:dyDescent="0.2">
      <c r="A773" s="1">
        <v>4</v>
      </c>
      <c r="B773" s="1">
        <v>0</v>
      </c>
      <c r="C773" s="1" t="s">
        <v>44</v>
      </c>
      <c r="D773" s="1" t="s">
        <v>5</v>
      </c>
      <c r="E773" s="1" t="s">
        <v>6</v>
      </c>
      <c r="F773">
        <v>1</v>
      </c>
    </row>
    <row r="774" spans="1:6" x14ac:dyDescent="0.2">
      <c r="A774" s="1">
        <v>4</v>
      </c>
      <c r="B774" s="1">
        <v>0</v>
      </c>
      <c r="C774" s="1" t="s">
        <v>45</v>
      </c>
      <c r="D774" s="1" t="s">
        <v>5</v>
      </c>
      <c r="E774" s="1" t="s">
        <v>6</v>
      </c>
      <c r="F774">
        <v>1</v>
      </c>
    </row>
    <row r="775" spans="1:6" x14ac:dyDescent="0.2">
      <c r="A775" s="1">
        <v>4</v>
      </c>
      <c r="B775" s="1">
        <v>0</v>
      </c>
      <c r="C775" s="1" t="s">
        <v>46</v>
      </c>
      <c r="D775" s="1" t="s">
        <v>5</v>
      </c>
      <c r="E775" s="1" t="s">
        <v>6</v>
      </c>
      <c r="F775">
        <v>1</v>
      </c>
    </row>
    <row r="776" spans="1:6" x14ac:dyDescent="0.2">
      <c r="A776" s="1">
        <v>4</v>
      </c>
      <c r="B776" s="1">
        <v>0</v>
      </c>
      <c r="C776" s="1" t="s">
        <v>190</v>
      </c>
      <c r="D776" s="1" t="s">
        <v>5</v>
      </c>
      <c r="E776" s="1" t="s">
        <v>6</v>
      </c>
      <c r="F776">
        <v>1</v>
      </c>
    </row>
    <row r="777" spans="1:6" x14ac:dyDescent="0.2">
      <c r="A777" s="1">
        <v>4</v>
      </c>
      <c r="B777" s="1">
        <v>0</v>
      </c>
      <c r="C777" s="1" t="s">
        <v>190</v>
      </c>
      <c r="D777" s="1" t="s">
        <v>28</v>
      </c>
      <c r="E777" s="1" t="s">
        <v>6</v>
      </c>
      <c r="F777">
        <v>1</v>
      </c>
    </row>
    <row r="778" spans="1:6" x14ac:dyDescent="0.2">
      <c r="A778" s="1">
        <v>4</v>
      </c>
      <c r="B778" s="1">
        <v>0</v>
      </c>
      <c r="C778" s="1" t="s">
        <v>47</v>
      </c>
      <c r="D778" s="1" t="s">
        <v>13</v>
      </c>
      <c r="E778" s="1" t="s">
        <v>6</v>
      </c>
      <c r="F778">
        <v>2</v>
      </c>
    </row>
    <row r="779" spans="1:6" x14ac:dyDescent="0.2">
      <c r="A779" s="1">
        <v>4</v>
      </c>
      <c r="B779" s="1">
        <v>0</v>
      </c>
      <c r="C779" s="1" t="s">
        <v>48</v>
      </c>
      <c r="D779" s="1" t="s">
        <v>5</v>
      </c>
      <c r="E779" s="1" t="s">
        <v>6</v>
      </c>
      <c r="F779">
        <v>1</v>
      </c>
    </row>
    <row r="780" spans="1:6" x14ac:dyDescent="0.2">
      <c r="A780" s="1">
        <v>4</v>
      </c>
      <c r="B780" s="1">
        <v>0</v>
      </c>
      <c r="C780" s="1" t="s">
        <v>48</v>
      </c>
      <c r="D780" s="1" t="s">
        <v>28</v>
      </c>
      <c r="E780" s="1" t="s">
        <v>6</v>
      </c>
      <c r="F780">
        <v>1</v>
      </c>
    </row>
    <row r="781" spans="1:6" x14ac:dyDescent="0.2">
      <c r="A781" s="1">
        <v>4</v>
      </c>
      <c r="B781" s="1">
        <v>0</v>
      </c>
      <c r="C781" s="1" t="s">
        <v>227</v>
      </c>
      <c r="D781" s="1" t="s">
        <v>13</v>
      </c>
      <c r="E781" s="1" t="s">
        <v>6</v>
      </c>
      <c r="F781">
        <v>2</v>
      </c>
    </row>
    <row r="782" spans="1:6" x14ac:dyDescent="0.2">
      <c r="A782" s="1">
        <v>4</v>
      </c>
      <c r="B782" s="1">
        <v>0</v>
      </c>
      <c r="C782" s="1" t="s">
        <v>49</v>
      </c>
      <c r="D782" s="1" t="s">
        <v>13</v>
      </c>
      <c r="E782" s="1" t="s">
        <v>6</v>
      </c>
      <c r="F782">
        <v>3</v>
      </c>
    </row>
    <row r="783" spans="1:6" x14ac:dyDescent="0.2">
      <c r="A783" s="1">
        <v>4</v>
      </c>
      <c r="B783" s="1">
        <v>0</v>
      </c>
      <c r="C783" s="1" t="s">
        <v>49</v>
      </c>
      <c r="D783" s="1" t="s">
        <v>5</v>
      </c>
      <c r="E783" s="1" t="s">
        <v>6</v>
      </c>
      <c r="F783">
        <v>1</v>
      </c>
    </row>
    <row r="784" spans="1:6" x14ac:dyDescent="0.2">
      <c r="A784" s="1">
        <v>4</v>
      </c>
      <c r="B784" s="1">
        <v>0</v>
      </c>
      <c r="C784" s="1" t="s">
        <v>191</v>
      </c>
      <c r="D784" s="1" t="s">
        <v>13</v>
      </c>
      <c r="E784" s="1" t="s">
        <v>6</v>
      </c>
      <c r="F784">
        <v>4</v>
      </c>
    </row>
    <row r="785" spans="1:6" x14ac:dyDescent="0.2">
      <c r="A785" s="1">
        <v>4</v>
      </c>
      <c r="B785" s="1">
        <v>0</v>
      </c>
      <c r="C785" s="1" t="s">
        <v>191</v>
      </c>
      <c r="D785" s="1" t="s">
        <v>5</v>
      </c>
      <c r="E785" s="1" t="s">
        <v>6</v>
      </c>
      <c r="F785">
        <v>1</v>
      </c>
    </row>
    <row r="786" spans="1:6" x14ac:dyDescent="0.2">
      <c r="A786" s="1">
        <v>4</v>
      </c>
      <c r="B786" s="1">
        <v>0</v>
      </c>
      <c r="C786" s="1" t="s">
        <v>248</v>
      </c>
      <c r="D786" s="1" t="s">
        <v>13</v>
      </c>
      <c r="E786" s="1" t="s">
        <v>6</v>
      </c>
      <c r="F786">
        <v>4</v>
      </c>
    </row>
    <row r="787" spans="1:6" x14ac:dyDescent="0.2">
      <c r="A787" s="1">
        <v>4</v>
      </c>
      <c r="B787" s="1">
        <v>0</v>
      </c>
      <c r="C787" s="1" t="s">
        <v>50</v>
      </c>
      <c r="D787" s="1" t="s">
        <v>13</v>
      </c>
      <c r="E787" s="1" t="s">
        <v>6</v>
      </c>
      <c r="F787">
        <v>2</v>
      </c>
    </row>
    <row r="788" spans="1:6" x14ac:dyDescent="0.2">
      <c r="A788" s="1">
        <v>4</v>
      </c>
      <c r="B788" s="1">
        <v>0</v>
      </c>
      <c r="C788" s="1" t="s">
        <v>51</v>
      </c>
      <c r="D788" s="1" t="s">
        <v>5</v>
      </c>
      <c r="E788" s="1" t="s">
        <v>6</v>
      </c>
      <c r="F788">
        <v>1</v>
      </c>
    </row>
    <row r="789" spans="1:6" x14ac:dyDescent="0.2">
      <c r="A789" s="1">
        <v>4</v>
      </c>
      <c r="B789" s="1">
        <v>0</v>
      </c>
      <c r="C789" s="1" t="s">
        <v>52</v>
      </c>
      <c r="D789" s="1" t="s">
        <v>13</v>
      </c>
      <c r="E789" s="1" t="s">
        <v>6</v>
      </c>
      <c r="F789">
        <v>2</v>
      </c>
    </row>
    <row r="790" spans="1:6" x14ac:dyDescent="0.2">
      <c r="A790" s="1">
        <v>4</v>
      </c>
      <c r="B790" s="1">
        <v>0</v>
      </c>
      <c r="C790" s="1" t="s">
        <v>52</v>
      </c>
      <c r="D790" s="1" t="s">
        <v>5</v>
      </c>
      <c r="E790" s="1" t="s">
        <v>6</v>
      </c>
      <c r="F790">
        <v>1</v>
      </c>
    </row>
    <row r="791" spans="1:6" x14ac:dyDescent="0.2">
      <c r="A791" s="1">
        <v>4</v>
      </c>
      <c r="B791" s="1">
        <v>0</v>
      </c>
      <c r="C791" s="1" t="s">
        <v>53</v>
      </c>
      <c r="D791" s="1" t="s">
        <v>28</v>
      </c>
      <c r="E791" s="1" t="s">
        <v>6</v>
      </c>
      <c r="F791">
        <v>3</v>
      </c>
    </row>
    <row r="792" spans="1:6" x14ac:dyDescent="0.2">
      <c r="A792" s="1">
        <v>4</v>
      </c>
      <c r="B792" s="1">
        <v>0</v>
      </c>
      <c r="C792" s="1" t="s">
        <v>54</v>
      </c>
      <c r="D792" s="1" t="s">
        <v>13</v>
      </c>
      <c r="E792" s="1" t="s">
        <v>6</v>
      </c>
      <c r="F792">
        <v>1</v>
      </c>
    </row>
    <row r="793" spans="1:6" x14ac:dyDescent="0.2">
      <c r="A793" s="1">
        <v>4</v>
      </c>
      <c r="B793" s="1">
        <v>0</v>
      </c>
      <c r="C793" s="1" t="s">
        <v>228</v>
      </c>
      <c r="D793" s="1" t="s">
        <v>5</v>
      </c>
      <c r="E793" s="1" t="s">
        <v>6</v>
      </c>
      <c r="F793">
        <v>1</v>
      </c>
    </row>
    <row r="794" spans="1:6" x14ac:dyDescent="0.2">
      <c r="A794" s="1">
        <v>4</v>
      </c>
      <c r="B794" s="1">
        <v>0</v>
      </c>
      <c r="C794" s="1" t="s">
        <v>56</v>
      </c>
      <c r="D794" s="1" t="s">
        <v>13</v>
      </c>
      <c r="E794" s="1" t="s">
        <v>6</v>
      </c>
      <c r="F794">
        <v>2</v>
      </c>
    </row>
    <row r="795" spans="1:6" x14ac:dyDescent="0.2">
      <c r="A795" s="1">
        <v>4</v>
      </c>
      <c r="B795" s="1">
        <v>0</v>
      </c>
      <c r="C795" s="1" t="s">
        <v>196</v>
      </c>
      <c r="D795" s="1" t="s">
        <v>5</v>
      </c>
      <c r="E795" s="1" t="s">
        <v>6</v>
      </c>
      <c r="F795">
        <v>1</v>
      </c>
    </row>
    <row r="796" spans="1:6" x14ac:dyDescent="0.2">
      <c r="A796" s="1">
        <v>4</v>
      </c>
      <c r="B796" s="1">
        <v>0</v>
      </c>
      <c r="C796" s="1" t="s">
        <v>57</v>
      </c>
      <c r="D796" s="1" t="s">
        <v>5</v>
      </c>
      <c r="E796" s="1" t="s">
        <v>6</v>
      </c>
      <c r="F796">
        <v>1</v>
      </c>
    </row>
    <row r="797" spans="1:6" x14ac:dyDescent="0.2">
      <c r="A797" s="1">
        <v>4</v>
      </c>
      <c r="B797" s="1">
        <v>0</v>
      </c>
      <c r="C797" s="1" t="s">
        <v>58</v>
      </c>
      <c r="D797" s="1" t="s">
        <v>5</v>
      </c>
      <c r="E797" s="1" t="s">
        <v>6</v>
      </c>
      <c r="F797">
        <v>1</v>
      </c>
    </row>
    <row r="798" spans="1:6" x14ac:dyDescent="0.2">
      <c r="A798" s="1">
        <v>4</v>
      </c>
      <c r="B798" s="1">
        <v>0</v>
      </c>
      <c r="C798" s="1" t="s">
        <v>59</v>
      </c>
      <c r="D798" s="1" t="s">
        <v>28</v>
      </c>
      <c r="E798" s="1" t="s">
        <v>6</v>
      </c>
      <c r="F798">
        <v>2</v>
      </c>
    </row>
    <row r="799" spans="1:6" x14ac:dyDescent="0.2">
      <c r="A799" s="1">
        <v>4</v>
      </c>
      <c r="B799" s="1">
        <v>0</v>
      </c>
      <c r="C799" s="1" t="s">
        <v>28</v>
      </c>
      <c r="D799" s="1" t="s">
        <v>5</v>
      </c>
      <c r="E799" s="1" t="s">
        <v>6</v>
      </c>
      <c r="F799">
        <v>1</v>
      </c>
    </row>
    <row r="800" spans="1:6" x14ac:dyDescent="0.2">
      <c r="A800" s="1">
        <v>4</v>
      </c>
      <c r="B800" s="1">
        <v>0</v>
      </c>
      <c r="C800" s="1" t="s">
        <v>60</v>
      </c>
      <c r="D800" s="1" t="s">
        <v>13</v>
      </c>
      <c r="E800" s="1" t="s">
        <v>6</v>
      </c>
      <c r="F800">
        <v>1</v>
      </c>
    </row>
    <row r="801" spans="1:6" x14ac:dyDescent="0.2">
      <c r="A801" s="1">
        <v>4</v>
      </c>
      <c r="B801" s="1">
        <v>0</v>
      </c>
      <c r="C801" s="1" t="s">
        <v>61</v>
      </c>
      <c r="D801" s="1" t="s">
        <v>5</v>
      </c>
      <c r="E801" s="1" t="s">
        <v>6</v>
      </c>
      <c r="F801">
        <v>2</v>
      </c>
    </row>
    <row r="802" spans="1:6" x14ac:dyDescent="0.2">
      <c r="A802" s="1">
        <v>4</v>
      </c>
      <c r="B802" s="1">
        <v>0</v>
      </c>
      <c r="C802" s="1" t="s">
        <v>62</v>
      </c>
      <c r="D802" s="1" t="s">
        <v>5</v>
      </c>
      <c r="E802" s="1" t="s">
        <v>6</v>
      </c>
      <c r="F802">
        <v>1</v>
      </c>
    </row>
    <row r="803" spans="1:6" x14ac:dyDescent="0.2">
      <c r="A803" s="1">
        <v>4</v>
      </c>
      <c r="B803" s="1">
        <v>0</v>
      </c>
      <c r="C803" s="1" t="s">
        <v>66</v>
      </c>
      <c r="D803" s="1" t="s">
        <v>5</v>
      </c>
      <c r="E803" s="1" t="s">
        <v>6</v>
      </c>
      <c r="F803">
        <v>1</v>
      </c>
    </row>
    <row r="804" spans="1:6" x14ac:dyDescent="0.2">
      <c r="A804" s="1">
        <v>4</v>
      </c>
      <c r="B804" s="1">
        <v>0</v>
      </c>
      <c r="C804" s="1" t="s">
        <v>67</v>
      </c>
      <c r="D804" s="1" t="s">
        <v>5</v>
      </c>
      <c r="E804" s="1" t="s">
        <v>6</v>
      </c>
      <c r="F804">
        <v>3</v>
      </c>
    </row>
    <row r="805" spans="1:6" x14ac:dyDescent="0.2">
      <c r="A805" s="1">
        <v>4</v>
      </c>
      <c r="B805" s="1">
        <v>0</v>
      </c>
      <c r="C805" s="1" t="s">
        <v>67</v>
      </c>
      <c r="D805" s="1" t="s">
        <v>28</v>
      </c>
      <c r="E805" s="1" t="s">
        <v>6</v>
      </c>
      <c r="F805">
        <v>3</v>
      </c>
    </row>
    <row r="806" spans="1:6" x14ac:dyDescent="0.2">
      <c r="A806" s="1">
        <v>4</v>
      </c>
      <c r="B806" s="1">
        <v>0</v>
      </c>
      <c r="C806" s="1" t="s">
        <v>68</v>
      </c>
      <c r="D806" s="1" t="s">
        <v>5</v>
      </c>
      <c r="E806" s="1" t="s">
        <v>6</v>
      </c>
      <c r="F806">
        <v>1</v>
      </c>
    </row>
    <row r="807" spans="1:6" x14ac:dyDescent="0.2">
      <c r="A807" s="1">
        <v>4</v>
      </c>
      <c r="B807" s="1">
        <v>0</v>
      </c>
      <c r="C807" s="1" t="s">
        <v>68</v>
      </c>
      <c r="D807" s="1" t="s">
        <v>30</v>
      </c>
      <c r="E807" s="1" t="s">
        <v>6</v>
      </c>
      <c r="F807">
        <v>1</v>
      </c>
    </row>
    <row r="808" spans="1:6" x14ac:dyDescent="0.2">
      <c r="A808" s="1">
        <v>4</v>
      </c>
      <c r="B808" s="1">
        <v>0</v>
      </c>
      <c r="C808" s="1" t="s">
        <v>69</v>
      </c>
      <c r="D808" s="1" t="s">
        <v>5</v>
      </c>
      <c r="E808" s="1" t="s">
        <v>6</v>
      </c>
      <c r="F808">
        <v>1</v>
      </c>
    </row>
    <row r="809" spans="1:6" x14ac:dyDescent="0.2">
      <c r="A809" s="1">
        <v>4</v>
      </c>
      <c r="B809" s="1">
        <v>0</v>
      </c>
      <c r="C809" s="1" t="s">
        <v>70</v>
      </c>
      <c r="D809" s="1" t="s">
        <v>13</v>
      </c>
      <c r="E809" s="1" t="s">
        <v>6</v>
      </c>
      <c r="F809">
        <v>5</v>
      </c>
    </row>
    <row r="810" spans="1:6" x14ac:dyDescent="0.2">
      <c r="A810" s="1">
        <v>4</v>
      </c>
      <c r="B810" s="1">
        <v>0</v>
      </c>
      <c r="C810" s="1" t="s">
        <v>70</v>
      </c>
      <c r="D810" s="1" t="s">
        <v>5</v>
      </c>
      <c r="E810" s="1" t="s">
        <v>6</v>
      </c>
      <c r="F810">
        <v>4</v>
      </c>
    </row>
    <row r="811" spans="1:6" x14ac:dyDescent="0.2">
      <c r="A811" s="1">
        <v>4</v>
      </c>
      <c r="B811" s="1">
        <v>0</v>
      </c>
      <c r="C811" s="1" t="s">
        <v>197</v>
      </c>
      <c r="D811" s="1" t="s">
        <v>5</v>
      </c>
      <c r="E811" s="1" t="s">
        <v>6</v>
      </c>
      <c r="F811">
        <v>3</v>
      </c>
    </row>
    <row r="812" spans="1:6" x14ac:dyDescent="0.2">
      <c r="A812" s="1">
        <v>4</v>
      </c>
      <c r="B812" s="1">
        <v>0</v>
      </c>
      <c r="C812" s="1" t="s">
        <v>72</v>
      </c>
      <c r="D812" s="1" t="s">
        <v>5</v>
      </c>
      <c r="E812" s="1" t="s">
        <v>6</v>
      </c>
      <c r="F812">
        <v>2</v>
      </c>
    </row>
    <row r="813" spans="1:6" x14ac:dyDescent="0.2">
      <c r="A813" s="1">
        <v>4</v>
      </c>
      <c r="B813" s="1">
        <v>0</v>
      </c>
      <c r="C813" s="1" t="s">
        <v>72</v>
      </c>
      <c r="D813" s="1" t="s">
        <v>30</v>
      </c>
      <c r="E813" s="1" t="s">
        <v>6</v>
      </c>
      <c r="F813">
        <v>4</v>
      </c>
    </row>
    <row r="814" spans="1:6" x14ac:dyDescent="0.2">
      <c r="A814" s="1">
        <v>4</v>
      </c>
      <c r="B814" s="1">
        <v>0</v>
      </c>
      <c r="C814" s="1" t="s">
        <v>249</v>
      </c>
      <c r="D814" s="1" t="s">
        <v>5</v>
      </c>
      <c r="E814" s="1" t="s">
        <v>6</v>
      </c>
      <c r="F814">
        <v>1</v>
      </c>
    </row>
    <row r="815" spans="1:6" x14ac:dyDescent="0.2">
      <c r="A815" s="1">
        <v>4</v>
      </c>
      <c r="B815" s="1">
        <v>0</v>
      </c>
      <c r="C815" s="1" t="s">
        <v>249</v>
      </c>
      <c r="D815" s="1" t="s">
        <v>28</v>
      </c>
      <c r="E815" s="1" t="s">
        <v>6</v>
      </c>
      <c r="F815">
        <v>1</v>
      </c>
    </row>
    <row r="816" spans="1:6" x14ac:dyDescent="0.2">
      <c r="A816" s="1">
        <v>4</v>
      </c>
      <c r="B816" s="1">
        <v>0</v>
      </c>
      <c r="C816" s="1" t="s">
        <v>73</v>
      </c>
      <c r="D816" s="1" t="s">
        <v>5</v>
      </c>
      <c r="E816" s="1" t="s">
        <v>6</v>
      </c>
      <c r="F816">
        <v>1</v>
      </c>
    </row>
    <row r="817" spans="1:6" x14ac:dyDescent="0.2">
      <c r="A817" s="1">
        <v>4</v>
      </c>
      <c r="B817" s="1">
        <v>0</v>
      </c>
      <c r="C817" s="1" t="s">
        <v>74</v>
      </c>
      <c r="D817" s="1" t="s">
        <v>5</v>
      </c>
      <c r="E817" s="1" t="s">
        <v>6</v>
      </c>
      <c r="F817">
        <v>1</v>
      </c>
    </row>
    <row r="818" spans="1:6" x14ac:dyDescent="0.2">
      <c r="A818" s="1">
        <v>4</v>
      </c>
      <c r="B818" s="1">
        <v>0</v>
      </c>
      <c r="C818" s="1" t="s">
        <v>75</v>
      </c>
      <c r="D818" s="1" t="s">
        <v>13</v>
      </c>
      <c r="E818" s="1" t="s">
        <v>6</v>
      </c>
      <c r="F818">
        <v>2</v>
      </c>
    </row>
    <row r="819" spans="1:6" x14ac:dyDescent="0.2">
      <c r="A819" s="1">
        <v>4</v>
      </c>
      <c r="B819" s="1">
        <v>0</v>
      </c>
      <c r="C819" s="1" t="s">
        <v>75</v>
      </c>
      <c r="D819" s="1" t="s">
        <v>5</v>
      </c>
      <c r="E819" s="1" t="s">
        <v>6</v>
      </c>
      <c r="F819">
        <v>1</v>
      </c>
    </row>
    <row r="820" spans="1:6" x14ac:dyDescent="0.2">
      <c r="A820" s="1">
        <v>4</v>
      </c>
      <c r="B820" s="1">
        <v>0</v>
      </c>
      <c r="C820" s="1" t="s">
        <v>76</v>
      </c>
      <c r="D820" s="1" t="s">
        <v>5</v>
      </c>
      <c r="E820" s="1" t="s">
        <v>6</v>
      </c>
      <c r="F820">
        <v>2</v>
      </c>
    </row>
    <row r="821" spans="1:6" x14ac:dyDescent="0.2">
      <c r="A821" s="1">
        <v>4</v>
      </c>
      <c r="B821" s="1">
        <v>0</v>
      </c>
      <c r="C821" s="1" t="s">
        <v>76</v>
      </c>
      <c r="D821" s="1" t="s">
        <v>28</v>
      </c>
      <c r="E821" s="1" t="s">
        <v>6</v>
      </c>
      <c r="F821">
        <v>1</v>
      </c>
    </row>
    <row r="822" spans="1:6" x14ac:dyDescent="0.2">
      <c r="A822" s="1">
        <v>4</v>
      </c>
      <c r="B822" s="1">
        <v>0</v>
      </c>
      <c r="C822" s="1" t="s">
        <v>77</v>
      </c>
      <c r="D822" s="1" t="s">
        <v>5</v>
      </c>
      <c r="E822" s="1" t="s">
        <v>6</v>
      </c>
      <c r="F822">
        <v>1</v>
      </c>
    </row>
    <row r="823" spans="1:6" x14ac:dyDescent="0.2">
      <c r="A823" s="1">
        <v>4</v>
      </c>
      <c r="B823" s="1">
        <v>0</v>
      </c>
      <c r="C823" s="1" t="s">
        <v>78</v>
      </c>
      <c r="D823" s="1" t="s">
        <v>5</v>
      </c>
      <c r="E823" s="1" t="s">
        <v>6</v>
      </c>
      <c r="F823">
        <v>1</v>
      </c>
    </row>
    <row r="824" spans="1:6" x14ac:dyDescent="0.2">
      <c r="A824" s="1">
        <v>4</v>
      </c>
      <c r="B824" s="1">
        <v>0</v>
      </c>
      <c r="C824" s="1" t="s">
        <v>79</v>
      </c>
      <c r="D824" s="1" t="s">
        <v>5</v>
      </c>
      <c r="E824" s="1" t="s">
        <v>6</v>
      </c>
      <c r="F824">
        <v>1</v>
      </c>
    </row>
    <row r="825" spans="1:6" x14ac:dyDescent="0.2">
      <c r="A825" s="1">
        <v>4</v>
      </c>
      <c r="B825" s="1">
        <v>0</v>
      </c>
      <c r="C825" s="1" t="s">
        <v>250</v>
      </c>
      <c r="D825" s="1" t="s">
        <v>5</v>
      </c>
      <c r="E825" s="1" t="s">
        <v>6</v>
      </c>
      <c r="F825">
        <v>3</v>
      </c>
    </row>
    <row r="826" spans="1:6" x14ac:dyDescent="0.2">
      <c r="A826" s="1">
        <v>4</v>
      </c>
      <c r="B826" s="1">
        <v>0</v>
      </c>
      <c r="C826" s="1" t="s">
        <v>82</v>
      </c>
      <c r="D826" s="1" t="s">
        <v>5</v>
      </c>
      <c r="E826" s="1" t="s">
        <v>6</v>
      </c>
      <c r="F826">
        <v>4</v>
      </c>
    </row>
    <row r="827" spans="1:6" x14ac:dyDescent="0.2">
      <c r="A827" s="1">
        <v>4</v>
      </c>
      <c r="B827" s="1">
        <v>0</v>
      </c>
      <c r="C827" s="1" t="s">
        <v>83</v>
      </c>
      <c r="D827" s="1" t="s">
        <v>5</v>
      </c>
      <c r="E827" s="1" t="s">
        <v>6</v>
      </c>
      <c r="F827">
        <v>3</v>
      </c>
    </row>
    <row r="828" spans="1:6" x14ac:dyDescent="0.2">
      <c r="A828" s="1">
        <v>4</v>
      </c>
      <c r="B828" s="1">
        <v>0</v>
      </c>
      <c r="C828" s="1" t="s">
        <v>83</v>
      </c>
      <c r="D828" s="1" t="s">
        <v>28</v>
      </c>
      <c r="E828" s="1" t="s">
        <v>6</v>
      </c>
      <c r="F828">
        <v>1</v>
      </c>
    </row>
    <row r="829" spans="1:6" x14ac:dyDescent="0.2">
      <c r="A829" s="1">
        <v>4</v>
      </c>
      <c r="B829" s="1">
        <v>0</v>
      </c>
      <c r="C829" s="1" t="s">
        <v>84</v>
      </c>
      <c r="D829" s="1" t="s">
        <v>5</v>
      </c>
      <c r="E829" s="1" t="s">
        <v>6</v>
      </c>
      <c r="F829">
        <v>2</v>
      </c>
    </row>
    <row r="830" spans="1:6" x14ac:dyDescent="0.2">
      <c r="A830" s="1">
        <v>4</v>
      </c>
      <c r="B830" s="1">
        <v>0</v>
      </c>
      <c r="C830" s="1" t="s">
        <v>84</v>
      </c>
      <c r="D830" s="1" t="s">
        <v>28</v>
      </c>
      <c r="E830" s="1" t="s">
        <v>6</v>
      </c>
      <c r="F830">
        <v>1</v>
      </c>
    </row>
    <row r="831" spans="1:6" x14ac:dyDescent="0.2">
      <c r="A831" s="1">
        <v>4</v>
      </c>
      <c r="B831" s="1">
        <v>0</v>
      </c>
      <c r="C831" s="1" t="s">
        <v>85</v>
      </c>
      <c r="D831" s="1" t="s">
        <v>5</v>
      </c>
      <c r="E831" s="1" t="s">
        <v>6</v>
      </c>
      <c r="F831">
        <v>1</v>
      </c>
    </row>
    <row r="832" spans="1:6" x14ac:dyDescent="0.2">
      <c r="A832" s="1">
        <v>4</v>
      </c>
      <c r="B832" s="1">
        <v>0</v>
      </c>
      <c r="C832" s="1" t="s">
        <v>87</v>
      </c>
      <c r="D832" s="1" t="s">
        <v>5</v>
      </c>
      <c r="E832" s="1" t="s">
        <v>6</v>
      </c>
      <c r="F832">
        <v>1</v>
      </c>
    </row>
    <row r="833" spans="1:6" x14ac:dyDescent="0.2">
      <c r="A833" s="1">
        <v>4</v>
      </c>
      <c r="B833" s="1">
        <v>0</v>
      </c>
      <c r="C833" s="1" t="s">
        <v>88</v>
      </c>
      <c r="D833" s="1" t="s">
        <v>28</v>
      </c>
      <c r="E833" s="1" t="s">
        <v>6</v>
      </c>
      <c r="F833">
        <v>2</v>
      </c>
    </row>
    <row r="834" spans="1:6" x14ac:dyDescent="0.2">
      <c r="A834" s="1">
        <v>4</v>
      </c>
      <c r="B834" s="1">
        <v>0</v>
      </c>
      <c r="C834" s="1" t="s">
        <v>89</v>
      </c>
      <c r="D834" s="1" t="s">
        <v>5</v>
      </c>
      <c r="E834" s="1" t="s">
        <v>6</v>
      </c>
      <c r="F834">
        <v>1</v>
      </c>
    </row>
    <row r="835" spans="1:6" x14ac:dyDescent="0.2">
      <c r="A835" s="1">
        <v>4</v>
      </c>
      <c r="B835" s="1">
        <v>0</v>
      </c>
      <c r="C835" s="1" t="s">
        <v>90</v>
      </c>
      <c r="D835" s="1" t="s">
        <v>5</v>
      </c>
      <c r="E835" s="1" t="s">
        <v>6</v>
      </c>
      <c r="F835">
        <v>3</v>
      </c>
    </row>
    <row r="836" spans="1:6" x14ac:dyDescent="0.2">
      <c r="A836" s="1">
        <v>4</v>
      </c>
      <c r="B836" s="1">
        <v>0</v>
      </c>
      <c r="C836" s="1" t="s">
        <v>90</v>
      </c>
      <c r="D836" s="1" t="s">
        <v>30</v>
      </c>
      <c r="E836" s="1" t="s">
        <v>6</v>
      </c>
      <c r="F836">
        <v>4</v>
      </c>
    </row>
    <row r="837" spans="1:6" x14ac:dyDescent="0.2">
      <c r="A837" s="1">
        <v>4</v>
      </c>
      <c r="B837" s="1">
        <v>0</v>
      </c>
      <c r="C837" s="1" t="s">
        <v>202</v>
      </c>
      <c r="D837" s="1" t="s">
        <v>30</v>
      </c>
      <c r="E837" s="1" t="s">
        <v>6</v>
      </c>
      <c r="F837">
        <v>1</v>
      </c>
    </row>
    <row r="838" spans="1:6" x14ac:dyDescent="0.2">
      <c r="A838" s="1">
        <v>4</v>
      </c>
      <c r="B838" s="1">
        <v>0</v>
      </c>
      <c r="C838" s="1" t="s">
        <v>93</v>
      </c>
      <c r="D838" s="1" t="s">
        <v>13</v>
      </c>
      <c r="E838" s="1" t="s">
        <v>6</v>
      </c>
      <c r="F838">
        <v>2</v>
      </c>
    </row>
    <row r="839" spans="1:6" x14ac:dyDescent="0.2">
      <c r="A839" s="1">
        <v>4</v>
      </c>
      <c r="B839" s="1">
        <v>0</v>
      </c>
      <c r="C839" s="1" t="s">
        <v>93</v>
      </c>
      <c r="D839" s="1" t="s">
        <v>30</v>
      </c>
      <c r="E839" s="1" t="s">
        <v>6</v>
      </c>
      <c r="F839">
        <v>4</v>
      </c>
    </row>
    <row r="840" spans="1:6" x14ac:dyDescent="0.2">
      <c r="A840" s="1">
        <v>4</v>
      </c>
      <c r="B840" s="1">
        <v>0</v>
      </c>
      <c r="C840" s="1" t="s">
        <v>94</v>
      </c>
      <c r="D840" s="1" t="s">
        <v>13</v>
      </c>
      <c r="E840" s="1" t="s">
        <v>6</v>
      </c>
      <c r="F840">
        <v>1</v>
      </c>
    </row>
    <row r="841" spans="1:6" x14ac:dyDescent="0.2">
      <c r="A841" s="1">
        <v>4</v>
      </c>
      <c r="B841" s="1">
        <v>0</v>
      </c>
      <c r="C841" s="1" t="s">
        <v>96</v>
      </c>
      <c r="D841" s="1" t="s">
        <v>5</v>
      </c>
      <c r="E841" s="1" t="s">
        <v>6</v>
      </c>
      <c r="F841">
        <v>1</v>
      </c>
    </row>
    <row r="842" spans="1:6" x14ac:dyDescent="0.2">
      <c r="A842" s="1">
        <v>4</v>
      </c>
      <c r="B842" s="1">
        <v>0</v>
      </c>
      <c r="C842" s="1" t="s">
        <v>96</v>
      </c>
      <c r="D842" s="1" t="s">
        <v>30</v>
      </c>
      <c r="E842" s="1" t="s">
        <v>6</v>
      </c>
      <c r="F842">
        <v>1</v>
      </c>
    </row>
    <row r="843" spans="1:6" x14ac:dyDescent="0.2">
      <c r="A843" s="1">
        <v>4</v>
      </c>
      <c r="B843" s="1">
        <v>0</v>
      </c>
      <c r="C843" s="1" t="s">
        <v>97</v>
      </c>
      <c r="D843" s="1" t="s">
        <v>13</v>
      </c>
      <c r="E843" s="1" t="s">
        <v>6</v>
      </c>
      <c r="F843">
        <v>4</v>
      </c>
    </row>
    <row r="844" spans="1:6" x14ac:dyDescent="0.2">
      <c r="A844" s="1">
        <v>4</v>
      </c>
      <c r="B844" s="1">
        <v>0</v>
      </c>
      <c r="C844" s="1" t="s">
        <v>98</v>
      </c>
      <c r="D844" s="1" t="s">
        <v>5</v>
      </c>
      <c r="E844" s="1" t="s">
        <v>6</v>
      </c>
      <c r="F844">
        <v>1</v>
      </c>
    </row>
    <row r="845" spans="1:6" x14ac:dyDescent="0.2">
      <c r="A845" s="1">
        <v>4</v>
      </c>
      <c r="B845" s="1">
        <v>0</v>
      </c>
      <c r="C845" s="1" t="s">
        <v>99</v>
      </c>
      <c r="D845" s="1" t="s">
        <v>13</v>
      </c>
      <c r="E845" s="1" t="s">
        <v>6</v>
      </c>
      <c r="F845">
        <v>2</v>
      </c>
    </row>
    <row r="846" spans="1:6" x14ac:dyDescent="0.2">
      <c r="A846" s="1">
        <v>4</v>
      </c>
      <c r="B846" s="1">
        <v>0</v>
      </c>
      <c r="C846" s="1" t="s">
        <v>100</v>
      </c>
      <c r="D846" s="1" t="s">
        <v>5</v>
      </c>
      <c r="E846" s="1" t="s">
        <v>6</v>
      </c>
      <c r="F846">
        <v>2</v>
      </c>
    </row>
    <row r="847" spans="1:6" x14ac:dyDescent="0.2">
      <c r="A847" s="1">
        <v>4</v>
      </c>
      <c r="B847" s="1">
        <v>0</v>
      </c>
      <c r="C847" s="1" t="s">
        <v>101</v>
      </c>
      <c r="D847" s="1" t="s">
        <v>5</v>
      </c>
      <c r="E847" s="1" t="s">
        <v>6</v>
      </c>
      <c r="F847">
        <v>3</v>
      </c>
    </row>
    <row r="848" spans="1:6" x14ac:dyDescent="0.2">
      <c r="A848" s="1">
        <v>4</v>
      </c>
      <c r="B848" s="1">
        <v>0</v>
      </c>
      <c r="C848" s="1" t="s">
        <v>102</v>
      </c>
      <c r="D848" s="1" t="s">
        <v>5</v>
      </c>
      <c r="E848" s="1" t="s">
        <v>6</v>
      </c>
      <c r="F848">
        <v>1</v>
      </c>
    </row>
    <row r="849" spans="1:6" x14ac:dyDescent="0.2">
      <c r="A849" s="1">
        <v>4</v>
      </c>
      <c r="B849" s="1">
        <v>0</v>
      </c>
      <c r="C849" s="1" t="s">
        <v>234</v>
      </c>
      <c r="D849" s="1" t="s">
        <v>5</v>
      </c>
      <c r="E849" s="1" t="s">
        <v>6</v>
      </c>
      <c r="F849">
        <v>1</v>
      </c>
    </row>
    <row r="850" spans="1:6" x14ac:dyDescent="0.2">
      <c r="A850" s="1">
        <v>4</v>
      </c>
      <c r="B850" s="1">
        <v>0</v>
      </c>
      <c r="C850" s="1" t="s">
        <v>103</v>
      </c>
      <c r="D850" s="1" t="s">
        <v>5</v>
      </c>
      <c r="E850" s="1" t="s">
        <v>6</v>
      </c>
      <c r="F850">
        <v>4</v>
      </c>
    </row>
    <row r="851" spans="1:6" x14ac:dyDescent="0.2">
      <c r="A851" s="1">
        <v>4</v>
      </c>
      <c r="B851" s="1">
        <v>0</v>
      </c>
      <c r="C851" s="1" t="s">
        <v>104</v>
      </c>
      <c r="D851" s="1" t="s">
        <v>5</v>
      </c>
      <c r="E851" s="1" t="s">
        <v>6</v>
      </c>
      <c r="F851">
        <v>2</v>
      </c>
    </row>
    <row r="852" spans="1:6" x14ac:dyDescent="0.2">
      <c r="A852" s="1">
        <v>4</v>
      </c>
      <c r="B852" s="1">
        <v>0</v>
      </c>
      <c r="C852" s="1" t="s">
        <v>106</v>
      </c>
      <c r="D852" s="1" t="s">
        <v>5</v>
      </c>
      <c r="E852" s="1" t="s">
        <v>6</v>
      </c>
      <c r="F852">
        <v>1</v>
      </c>
    </row>
    <row r="853" spans="1:6" x14ac:dyDescent="0.2">
      <c r="A853" s="1">
        <v>4</v>
      </c>
      <c r="B853" s="1">
        <v>0</v>
      </c>
      <c r="C853" s="1" t="s">
        <v>107</v>
      </c>
      <c r="D853" s="1" t="s">
        <v>42</v>
      </c>
      <c r="E853" s="1" t="s">
        <v>6</v>
      </c>
      <c r="F853">
        <v>4</v>
      </c>
    </row>
    <row r="854" spans="1:6" x14ac:dyDescent="0.2">
      <c r="A854" s="1">
        <v>4</v>
      </c>
      <c r="B854" s="1">
        <v>0</v>
      </c>
      <c r="C854" s="1" t="s">
        <v>108</v>
      </c>
      <c r="D854" s="1" t="s">
        <v>5</v>
      </c>
      <c r="E854" s="1" t="s">
        <v>6</v>
      </c>
      <c r="F854">
        <v>1</v>
      </c>
    </row>
    <row r="855" spans="1:6" x14ac:dyDescent="0.2">
      <c r="A855" s="1">
        <v>4</v>
      </c>
      <c r="B855" s="1">
        <v>0</v>
      </c>
      <c r="C855" s="1" t="s">
        <v>109</v>
      </c>
      <c r="D855" s="1" t="s">
        <v>13</v>
      </c>
      <c r="E855" s="1" t="s">
        <v>6</v>
      </c>
      <c r="F855">
        <v>1</v>
      </c>
    </row>
    <row r="856" spans="1:6" x14ac:dyDescent="0.2">
      <c r="A856" s="1">
        <v>4</v>
      </c>
      <c r="B856" s="1">
        <v>0</v>
      </c>
      <c r="C856" s="1" t="s">
        <v>251</v>
      </c>
      <c r="D856" s="1" t="s">
        <v>5</v>
      </c>
      <c r="E856" s="1" t="s">
        <v>6</v>
      </c>
      <c r="F856">
        <v>2</v>
      </c>
    </row>
    <row r="857" spans="1:6" x14ac:dyDescent="0.2">
      <c r="A857" s="1">
        <v>4</v>
      </c>
      <c r="B857" s="1">
        <v>0</v>
      </c>
      <c r="C857" s="1" t="s">
        <v>110</v>
      </c>
      <c r="D857" s="1" t="s">
        <v>5</v>
      </c>
      <c r="E857" s="1" t="s">
        <v>6</v>
      </c>
      <c r="F857">
        <v>1</v>
      </c>
    </row>
    <row r="858" spans="1:6" x14ac:dyDescent="0.2">
      <c r="A858" s="1">
        <v>4</v>
      </c>
      <c r="B858" s="1">
        <v>0</v>
      </c>
      <c r="C858" s="1" t="s">
        <v>112</v>
      </c>
      <c r="D858" s="1" t="s">
        <v>5</v>
      </c>
      <c r="E858" s="1" t="s">
        <v>6</v>
      </c>
      <c r="F858">
        <v>1</v>
      </c>
    </row>
    <row r="859" spans="1:6" x14ac:dyDescent="0.2">
      <c r="A859" s="1">
        <v>4</v>
      </c>
      <c r="B859" s="1">
        <v>0</v>
      </c>
      <c r="C859" s="1" t="s">
        <v>116</v>
      </c>
      <c r="D859" s="1" t="s">
        <v>5</v>
      </c>
      <c r="E859" s="1" t="s">
        <v>6</v>
      </c>
      <c r="F859">
        <v>4</v>
      </c>
    </row>
    <row r="860" spans="1:6" x14ac:dyDescent="0.2">
      <c r="A860" s="1">
        <v>4</v>
      </c>
      <c r="B860" s="1">
        <v>0</v>
      </c>
      <c r="C860" s="1" t="s">
        <v>117</v>
      </c>
      <c r="D860" s="1" t="s">
        <v>28</v>
      </c>
      <c r="E860" s="1" t="s">
        <v>6</v>
      </c>
      <c r="F860">
        <v>2</v>
      </c>
    </row>
    <row r="861" spans="1:6" x14ac:dyDescent="0.2">
      <c r="A861" s="1">
        <v>4</v>
      </c>
      <c r="B861" s="1">
        <v>0</v>
      </c>
      <c r="C861" s="1" t="s">
        <v>118</v>
      </c>
      <c r="D861" s="1" t="s">
        <v>5</v>
      </c>
      <c r="E861" s="1" t="s">
        <v>6</v>
      </c>
      <c r="F861">
        <v>4</v>
      </c>
    </row>
    <row r="862" spans="1:6" x14ac:dyDescent="0.2">
      <c r="A862" s="1">
        <v>4</v>
      </c>
      <c r="B862" s="1">
        <v>0</v>
      </c>
      <c r="C862" s="1" t="s">
        <v>119</v>
      </c>
      <c r="D862" s="1" t="s">
        <v>13</v>
      </c>
      <c r="E862" s="1" t="s">
        <v>6</v>
      </c>
      <c r="F862">
        <v>2</v>
      </c>
    </row>
    <row r="863" spans="1:6" x14ac:dyDescent="0.2">
      <c r="A863" s="1">
        <v>4</v>
      </c>
      <c r="B863" s="1">
        <v>0</v>
      </c>
      <c r="C863" s="1" t="s">
        <v>119</v>
      </c>
      <c r="D863" s="1" t="s">
        <v>5</v>
      </c>
      <c r="E863" s="1" t="s">
        <v>6</v>
      </c>
      <c r="F863">
        <v>1</v>
      </c>
    </row>
    <row r="864" spans="1:6" x14ac:dyDescent="0.2">
      <c r="A864" s="1">
        <v>4</v>
      </c>
      <c r="B864" s="1">
        <v>0</v>
      </c>
      <c r="C864" s="1" t="s">
        <v>120</v>
      </c>
      <c r="D864" s="1" t="s">
        <v>5</v>
      </c>
      <c r="E864" s="1" t="s">
        <v>6</v>
      </c>
      <c r="F864">
        <v>1</v>
      </c>
    </row>
    <row r="865" spans="1:6" x14ac:dyDescent="0.2">
      <c r="A865" s="1">
        <v>4</v>
      </c>
      <c r="B865" s="1">
        <v>0</v>
      </c>
      <c r="C865" s="1" t="s">
        <v>121</v>
      </c>
      <c r="D865" s="1" t="s">
        <v>40</v>
      </c>
      <c r="E865" s="1" t="s">
        <v>6</v>
      </c>
      <c r="F865">
        <v>2</v>
      </c>
    </row>
    <row r="866" spans="1:6" x14ac:dyDescent="0.2">
      <c r="A866" s="1">
        <v>4</v>
      </c>
      <c r="B866" s="1">
        <v>0</v>
      </c>
      <c r="C866" s="1" t="s">
        <v>121</v>
      </c>
      <c r="D866" s="1" t="s">
        <v>41</v>
      </c>
      <c r="E866" s="1" t="s">
        <v>6</v>
      </c>
      <c r="F866">
        <v>2</v>
      </c>
    </row>
    <row r="867" spans="1:6" x14ac:dyDescent="0.2">
      <c r="A867" s="1">
        <v>4</v>
      </c>
      <c r="B867" s="1">
        <v>0</v>
      </c>
      <c r="C867" s="1" t="s">
        <v>121</v>
      </c>
      <c r="D867" s="1" t="s">
        <v>28</v>
      </c>
      <c r="E867" s="1" t="s">
        <v>6</v>
      </c>
      <c r="F867">
        <v>1</v>
      </c>
    </row>
    <row r="868" spans="1:6" x14ac:dyDescent="0.2">
      <c r="A868" s="1">
        <v>4</v>
      </c>
      <c r="B868" s="1">
        <v>0</v>
      </c>
      <c r="C868" s="1" t="s">
        <v>125</v>
      </c>
      <c r="D868" s="1" t="s">
        <v>42</v>
      </c>
      <c r="E868" s="1" t="s">
        <v>6</v>
      </c>
      <c r="F868">
        <v>6</v>
      </c>
    </row>
    <row r="869" spans="1:6" x14ac:dyDescent="0.2">
      <c r="A869" s="1">
        <v>4</v>
      </c>
      <c r="B869" s="1">
        <v>0</v>
      </c>
      <c r="C869" s="1" t="s">
        <v>126</v>
      </c>
      <c r="D869" s="1" t="s">
        <v>5</v>
      </c>
      <c r="E869" s="1" t="s">
        <v>6</v>
      </c>
      <c r="F869">
        <v>1</v>
      </c>
    </row>
    <row r="870" spans="1:6" x14ac:dyDescent="0.2">
      <c r="A870" s="1">
        <v>4</v>
      </c>
      <c r="B870" s="1">
        <v>0</v>
      </c>
      <c r="C870" s="1" t="s">
        <v>128</v>
      </c>
      <c r="D870" s="1" t="s">
        <v>5</v>
      </c>
      <c r="E870" s="1" t="s">
        <v>6</v>
      </c>
      <c r="F870">
        <v>1</v>
      </c>
    </row>
    <row r="871" spans="1:6" x14ac:dyDescent="0.2">
      <c r="A871" s="1">
        <v>4</v>
      </c>
      <c r="B871" s="1">
        <v>0</v>
      </c>
      <c r="C871" s="1" t="s">
        <v>128</v>
      </c>
      <c r="D871" s="1" t="s">
        <v>40</v>
      </c>
      <c r="E871" s="1" t="s">
        <v>6</v>
      </c>
      <c r="F871">
        <v>4</v>
      </c>
    </row>
    <row r="872" spans="1:6" x14ac:dyDescent="0.2">
      <c r="A872" s="1">
        <v>4</v>
      </c>
      <c r="B872" s="1">
        <v>0</v>
      </c>
      <c r="C872" s="1" t="s">
        <v>128</v>
      </c>
      <c r="D872" s="1" t="s">
        <v>41</v>
      </c>
      <c r="E872" s="1" t="s">
        <v>6</v>
      </c>
      <c r="F872">
        <v>4</v>
      </c>
    </row>
    <row r="873" spans="1:6" x14ac:dyDescent="0.2">
      <c r="A873" s="1">
        <v>4</v>
      </c>
      <c r="B873" s="1">
        <v>0</v>
      </c>
      <c r="C873" s="1" t="s">
        <v>128</v>
      </c>
      <c r="D873" s="1" t="s">
        <v>30</v>
      </c>
      <c r="E873" s="1" t="s">
        <v>6</v>
      </c>
      <c r="F873">
        <v>3</v>
      </c>
    </row>
    <row r="874" spans="1:6" x14ac:dyDescent="0.2">
      <c r="A874" s="1">
        <v>4</v>
      </c>
      <c r="B874" s="1">
        <v>0</v>
      </c>
      <c r="C874" s="1" t="s">
        <v>128</v>
      </c>
      <c r="D874" s="1" t="s">
        <v>42</v>
      </c>
      <c r="E874" s="1" t="s">
        <v>6</v>
      </c>
      <c r="F874">
        <v>1</v>
      </c>
    </row>
    <row r="875" spans="1:6" x14ac:dyDescent="0.2">
      <c r="A875" s="1">
        <v>4</v>
      </c>
      <c r="B875" s="1">
        <v>0</v>
      </c>
      <c r="C875" s="1" t="s">
        <v>129</v>
      </c>
      <c r="D875" s="1" t="s">
        <v>5</v>
      </c>
      <c r="E875" s="1" t="s">
        <v>6</v>
      </c>
      <c r="F875">
        <v>4</v>
      </c>
    </row>
    <row r="876" spans="1:6" x14ac:dyDescent="0.2">
      <c r="A876" s="1">
        <v>4</v>
      </c>
      <c r="B876" s="1">
        <v>0</v>
      </c>
      <c r="C876" s="1" t="s">
        <v>130</v>
      </c>
      <c r="D876" s="1" t="s">
        <v>5</v>
      </c>
      <c r="E876" s="1" t="s">
        <v>6</v>
      </c>
      <c r="F876">
        <v>1</v>
      </c>
    </row>
    <row r="877" spans="1:6" x14ac:dyDescent="0.2">
      <c r="A877" s="1">
        <v>4</v>
      </c>
      <c r="B877" s="1">
        <v>0</v>
      </c>
      <c r="C877" s="1" t="s">
        <v>131</v>
      </c>
      <c r="D877" s="1" t="s">
        <v>5</v>
      </c>
      <c r="E877" s="1" t="s">
        <v>6</v>
      </c>
      <c r="F877">
        <v>2</v>
      </c>
    </row>
    <row r="878" spans="1:6" x14ac:dyDescent="0.2">
      <c r="A878" s="1">
        <v>4</v>
      </c>
      <c r="B878" s="1">
        <v>0</v>
      </c>
      <c r="C878" s="1" t="s">
        <v>132</v>
      </c>
      <c r="D878" s="1" t="s">
        <v>5</v>
      </c>
      <c r="E878" s="1" t="s">
        <v>6</v>
      </c>
      <c r="F878">
        <v>1</v>
      </c>
    </row>
    <row r="879" spans="1:6" x14ac:dyDescent="0.2">
      <c r="A879" s="1">
        <v>4</v>
      </c>
      <c r="B879" s="1">
        <v>0</v>
      </c>
      <c r="C879" s="1" t="s">
        <v>207</v>
      </c>
      <c r="D879" s="1" t="s">
        <v>5</v>
      </c>
      <c r="E879" s="1" t="s">
        <v>6</v>
      </c>
      <c r="F879">
        <v>2</v>
      </c>
    </row>
    <row r="880" spans="1:6" x14ac:dyDescent="0.2">
      <c r="A880" s="1">
        <v>4</v>
      </c>
      <c r="B880" s="1">
        <v>0</v>
      </c>
      <c r="C880" s="1" t="s">
        <v>134</v>
      </c>
      <c r="D880" s="1" t="s">
        <v>5</v>
      </c>
      <c r="E880" s="1" t="s">
        <v>6</v>
      </c>
      <c r="F880">
        <v>1</v>
      </c>
    </row>
    <row r="881" spans="1:6" x14ac:dyDescent="0.2">
      <c r="A881" s="1">
        <v>4</v>
      </c>
      <c r="B881" s="1">
        <v>0</v>
      </c>
      <c r="C881" s="1" t="s">
        <v>208</v>
      </c>
      <c r="D881" s="1" t="s">
        <v>13</v>
      </c>
      <c r="E881" s="1" t="s">
        <v>6</v>
      </c>
      <c r="F881">
        <v>4</v>
      </c>
    </row>
    <row r="882" spans="1:6" x14ac:dyDescent="0.2">
      <c r="A882" s="1">
        <v>4</v>
      </c>
      <c r="B882" s="1">
        <v>0</v>
      </c>
      <c r="C882" s="1" t="s">
        <v>209</v>
      </c>
      <c r="D882" s="1" t="s">
        <v>13</v>
      </c>
      <c r="E882" s="1" t="s">
        <v>6</v>
      </c>
      <c r="F882">
        <v>1</v>
      </c>
    </row>
    <row r="883" spans="1:6" x14ac:dyDescent="0.2">
      <c r="A883" s="1">
        <v>4</v>
      </c>
      <c r="B883" s="1">
        <v>0</v>
      </c>
      <c r="C883" s="1" t="s">
        <v>252</v>
      </c>
      <c r="D883" s="1" t="s">
        <v>5</v>
      </c>
      <c r="E883" s="1" t="s">
        <v>6</v>
      </c>
      <c r="F883">
        <v>2</v>
      </c>
    </row>
    <row r="884" spans="1:6" x14ac:dyDescent="0.2">
      <c r="A884" s="1">
        <v>4</v>
      </c>
      <c r="B884" s="1">
        <v>0</v>
      </c>
      <c r="C884" s="1" t="s">
        <v>136</v>
      </c>
      <c r="D884" s="1" t="s">
        <v>5</v>
      </c>
      <c r="E884" s="1" t="s">
        <v>6</v>
      </c>
      <c r="F884">
        <v>6</v>
      </c>
    </row>
    <row r="885" spans="1:6" x14ac:dyDescent="0.2">
      <c r="A885" s="1">
        <v>4</v>
      </c>
      <c r="B885" s="1">
        <v>0</v>
      </c>
      <c r="C885" s="1" t="s">
        <v>137</v>
      </c>
      <c r="D885" s="1" t="s">
        <v>13</v>
      </c>
      <c r="E885" s="1" t="s">
        <v>6</v>
      </c>
      <c r="F885">
        <v>3</v>
      </c>
    </row>
    <row r="886" spans="1:6" x14ac:dyDescent="0.2">
      <c r="A886" s="1">
        <v>4</v>
      </c>
      <c r="B886" s="1">
        <v>0</v>
      </c>
      <c r="C886" s="1" t="s">
        <v>138</v>
      </c>
      <c r="D886" s="1" t="s">
        <v>5</v>
      </c>
      <c r="E886" s="1" t="s">
        <v>6</v>
      </c>
      <c r="F886">
        <v>2</v>
      </c>
    </row>
    <row r="887" spans="1:6" x14ac:dyDescent="0.2">
      <c r="A887" s="1">
        <v>4</v>
      </c>
      <c r="B887" s="1">
        <v>0</v>
      </c>
      <c r="C887" s="1" t="s">
        <v>139</v>
      </c>
      <c r="D887" s="1" t="s">
        <v>5</v>
      </c>
      <c r="E887" s="1" t="s">
        <v>6</v>
      </c>
      <c r="F887">
        <v>1</v>
      </c>
    </row>
    <row r="888" spans="1:6" x14ac:dyDescent="0.2">
      <c r="A888" s="1">
        <v>4</v>
      </c>
      <c r="B888" s="1">
        <v>0</v>
      </c>
      <c r="C888" s="1" t="s">
        <v>170</v>
      </c>
      <c r="D888" s="1" t="s">
        <v>5</v>
      </c>
      <c r="E888" s="1" t="s">
        <v>6</v>
      </c>
      <c r="F888">
        <v>5</v>
      </c>
    </row>
    <row r="889" spans="1:6" x14ac:dyDescent="0.2">
      <c r="A889" s="1">
        <v>4</v>
      </c>
      <c r="B889" s="1">
        <v>0</v>
      </c>
      <c r="C889" s="1" t="s">
        <v>142</v>
      </c>
      <c r="D889" s="1" t="s">
        <v>5</v>
      </c>
      <c r="E889" s="1" t="s">
        <v>6</v>
      </c>
      <c r="F889">
        <v>3</v>
      </c>
    </row>
    <row r="890" spans="1:6" x14ac:dyDescent="0.2">
      <c r="A890" s="1">
        <v>4</v>
      </c>
      <c r="B890" s="1">
        <v>0</v>
      </c>
      <c r="C890" s="1" t="s">
        <v>143</v>
      </c>
      <c r="D890" s="1" t="s">
        <v>5</v>
      </c>
      <c r="E890" s="1" t="s">
        <v>6</v>
      </c>
      <c r="F890">
        <v>2</v>
      </c>
    </row>
    <row r="891" spans="1:6" x14ac:dyDescent="0.2">
      <c r="A891" s="1">
        <v>4</v>
      </c>
      <c r="B891" s="1">
        <v>0</v>
      </c>
      <c r="C891" s="1" t="s">
        <v>144</v>
      </c>
      <c r="D891" s="1" t="s">
        <v>13</v>
      </c>
      <c r="E891" s="1" t="s">
        <v>6</v>
      </c>
      <c r="F891">
        <v>4</v>
      </c>
    </row>
    <row r="892" spans="1:6" x14ac:dyDescent="0.2">
      <c r="A892" s="1">
        <v>4</v>
      </c>
      <c r="B892" s="1">
        <v>0</v>
      </c>
      <c r="C892" s="1" t="s">
        <v>144</v>
      </c>
      <c r="D892" s="1" t="s">
        <v>5</v>
      </c>
      <c r="E892" s="1" t="s">
        <v>6</v>
      </c>
      <c r="F892">
        <v>3</v>
      </c>
    </row>
    <row r="893" spans="1:6" x14ac:dyDescent="0.2">
      <c r="A893" s="1">
        <v>4</v>
      </c>
      <c r="B893" s="1">
        <v>0</v>
      </c>
      <c r="C893" s="1" t="s">
        <v>146</v>
      </c>
      <c r="D893" s="1" t="s">
        <v>13</v>
      </c>
      <c r="E893" s="1" t="s">
        <v>6</v>
      </c>
      <c r="F893">
        <v>2</v>
      </c>
    </row>
    <row r="894" spans="1:6" x14ac:dyDescent="0.2">
      <c r="A894" s="1">
        <v>4</v>
      </c>
      <c r="B894" s="1">
        <v>0</v>
      </c>
      <c r="C894" s="1" t="s">
        <v>147</v>
      </c>
      <c r="D894" s="1" t="s">
        <v>42</v>
      </c>
      <c r="E894" s="1" t="s">
        <v>6</v>
      </c>
      <c r="F894">
        <v>5</v>
      </c>
    </row>
    <row r="895" spans="1:6" x14ac:dyDescent="0.2">
      <c r="A895" s="1">
        <v>4</v>
      </c>
      <c r="B895" s="1">
        <v>0</v>
      </c>
      <c r="C895" s="1" t="s">
        <v>148</v>
      </c>
      <c r="D895" s="1" t="s">
        <v>13</v>
      </c>
      <c r="E895" s="1" t="s">
        <v>6</v>
      </c>
      <c r="F895">
        <v>6</v>
      </c>
    </row>
    <row r="896" spans="1:6" x14ac:dyDescent="0.2">
      <c r="A896" s="1">
        <v>4</v>
      </c>
      <c r="B896" s="1">
        <v>0</v>
      </c>
      <c r="C896" s="1" t="s">
        <v>149</v>
      </c>
      <c r="D896" s="1" t="s">
        <v>52</v>
      </c>
      <c r="E896" s="1" t="s">
        <v>6</v>
      </c>
      <c r="F896">
        <v>1</v>
      </c>
    </row>
    <row r="897" spans="1:6" x14ac:dyDescent="0.2">
      <c r="A897" s="1">
        <v>4</v>
      </c>
      <c r="B897" s="1">
        <v>0</v>
      </c>
      <c r="C897" s="1" t="s">
        <v>214</v>
      </c>
      <c r="D897" s="1" t="s">
        <v>5</v>
      </c>
      <c r="E897" s="1" t="s">
        <v>6</v>
      </c>
      <c r="F897">
        <v>3</v>
      </c>
    </row>
    <row r="898" spans="1:6" x14ac:dyDescent="0.2">
      <c r="A898" s="1">
        <v>4</v>
      </c>
      <c r="B898" s="1">
        <v>0</v>
      </c>
      <c r="C898" s="1" t="s">
        <v>150</v>
      </c>
      <c r="D898" s="1" t="s">
        <v>5</v>
      </c>
      <c r="E898" s="1" t="s">
        <v>6</v>
      </c>
      <c r="F898">
        <v>1</v>
      </c>
    </row>
    <row r="899" spans="1:6" x14ac:dyDescent="0.2">
      <c r="A899" s="1">
        <v>4</v>
      </c>
      <c r="B899" s="1">
        <v>0</v>
      </c>
      <c r="C899" s="1" t="s">
        <v>253</v>
      </c>
      <c r="D899" s="1" t="s">
        <v>132</v>
      </c>
      <c r="E899" s="1" t="s">
        <v>6</v>
      </c>
      <c r="F899">
        <v>1</v>
      </c>
    </row>
    <row r="900" spans="1:6" x14ac:dyDescent="0.2">
      <c r="A900" s="1">
        <v>4</v>
      </c>
      <c r="B900" s="1">
        <v>0</v>
      </c>
      <c r="C900" s="1" t="s">
        <v>152</v>
      </c>
      <c r="D900" s="1" t="s">
        <v>5</v>
      </c>
      <c r="E900" s="1" t="s">
        <v>6</v>
      </c>
      <c r="F900">
        <v>1</v>
      </c>
    </row>
    <row r="901" spans="1:6" x14ac:dyDescent="0.2">
      <c r="A901" s="1">
        <v>4</v>
      </c>
      <c r="B901" s="1">
        <v>0</v>
      </c>
      <c r="C901" s="1" t="s">
        <v>153</v>
      </c>
      <c r="D901" s="1" t="s">
        <v>5</v>
      </c>
      <c r="E901" s="1" t="s">
        <v>6</v>
      </c>
      <c r="F901">
        <v>1</v>
      </c>
    </row>
    <row r="902" spans="1:6" x14ac:dyDescent="0.2">
      <c r="A902" s="1">
        <v>4</v>
      </c>
      <c r="B902" s="1">
        <v>0</v>
      </c>
      <c r="C902" s="1" t="s">
        <v>154</v>
      </c>
      <c r="D902" s="1" t="s">
        <v>5</v>
      </c>
      <c r="E902" s="1" t="s">
        <v>6</v>
      </c>
      <c r="F902">
        <v>1</v>
      </c>
    </row>
    <row r="903" spans="1:6" x14ac:dyDescent="0.2">
      <c r="A903" s="1">
        <v>4</v>
      </c>
      <c r="B903" s="1">
        <v>0</v>
      </c>
      <c r="C903" s="1" t="s">
        <v>216</v>
      </c>
      <c r="D903" s="1" t="s">
        <v>5</v>
      </c>
      <c r="E903" s="1" t="s">
        <v>6</v>
      </c>
      <c r="F903">
        <v>3</v>
      </c>
    </row>
    <row r="904" spans="1:6" x14ac:dyDescent="0.2">
      <c r="A904" s="1">
        <v>4</v>
      </c>
      <c r="B904" s="1">
        <v>0</v>
      </c>
      <c r="C904" s="1" t="s">
        <v>238</v>
      </c>
      <c r="D904" s="1" t="s">
        <v>42</v>
      </c>
      <c r="E904" s="1" t="s">
        <v>6</v>
      </c>
      <c r="F904">
        <v>1</v>
      </c>
    </row>
    <row r="905" spans="1:6" x14ac:dyDescent="0.2">
      <c r="A905" s="1">
        <v>4</v>
      </c>
      <c r="B905" s="1">
        <v>0</v>
      </c>
      <c r="C905" s="1" t="s">
        <v>217</v>
      </c>
      <c r="D905" s="1" t="s">
        <v>5</v>
      </c>
      <c r="E905" s="1" t="s">
        <v>6</v>
      </c>
      <c r="F905">
        <v>2</v>
      </c>
    </row>
    <row r="906" spans="1:6" x14ac:dyDescent="0.2">
      <c r="A906" s="1">
        <v>4</v>
      </c>
      <c r="B906" s="1">
        <v>0</v>
      </c>
      <c r="C906" s="1" t="s">
        <v>218</v>
      </c>
      <c r="D906" s="1" t="s">
        <v>5</v>
      </c>
      <c r="E906" s="1" t="s">
        <v>6</v>
      </c>
      <c r="F906">
        <v>6</v>
      </c>
    </row>
    <row r="907" spans="1:6" x14ac:dyDescent="0.2">
      <c r="A907" s="1">
        <v>4</v>
      </c>
      <c r="B907" s="1">
        <v>0</v>
      </c>
      <c r="C907" s="1" t="s">
        <v>218</v>
      </c>
      <c r="D907" s="1" t="s">
        <v>28</v>
      </c>
      <c r="E907" s="1" t="s">
        <v>6</v>
      </c>
      <c r="F907">
        <v>3</v>
      </c>
    </row>
    <row r="908" spans="1:6" x14ac:dyDescent="0.2">
      <c r="A908" s="1">
        <v>4</v>
      </c>
      <c r="B908" s="1">
        <v>0</v>
      </c>
      <c r="C908" s="1" t="s">
        <v>157</v>
      </c>
      <c r="D908" s="1" t="s">
        <v>42</v>
      </c>
      <c r="E908" s="1" t="s">
        <v>6</v>
      </c>
      <c r="F908">
        <v>4</v>
      </c>
    </row>
    <row r="909" spans="1:6" x14ac:dyDescent="0.2">
      <c r="A909" s="1">
        <v>4</v>
      </c>
      <c r="B909" s="1">
        <v>0</v>
      </c>
      <c r="C909" s="1" t="s">
        <v>158</v>
      </c>
      <c r="D909" s="1" t="s">
        <v>13</v>
      </c>
      <c r="E909" s="1" t="s">
        <v>6</v>
      </c>
      <c r="F909">
        <v>2</v>
      </c>
    </row>
    <row r="910" spans="1:6" x14ac:dyDescent="0.2">
      <c r="A910" s="1">
        <v>4</v>
      </c>
      <c r="B910" s="1">
        <v>0</v>
      </c>
      <c r="C910" s="1" t="s">
        <v>160</v>
      </c>
      <c r="D910" s="1" t="s">
        <v>5</v>
      </c>
      <c r="E910" s="1" t="s">
        <v>6</v>
      </c>
      <c r="F910">
        <v>14</v>
      </c>
    </row>
    <row r="911" spans="1:6" x14ac:dyDescent="0.2">
      <c r="A911" s="1">
        <v>4</v>
      </c>
      <c r="B911" s="1">
        <v>0</v>
      </c>
      <c r="C911" s="1" t="s">
        <v>161</v>
      </c>
      <c r="D911" s="1" t="s">
        <v>5</v>
      </c>
      <c r="E911" s="1" t="s">
        <v>6</v>
      </c>
      <c r="F911">
        <v>1</v>
      </c>
    </row>
    <row r="912" spans="1:6" x14ac:dyDescent="0.2">
      <c r="A912" s="1">
        <v>4</v>
      </c>
      <c r="B912" s="1">
        <v>0</v>
      </c>
      <c r="C912" s="1" t="s">
        <v>162</v>
      </c>
      <c r="D912" s="1" t="s">
        <v>42</v>
      </c>
      <c r="E912" s="1" t="s">
        <v>6</v>
      </c>
      <c r="F912">
        <v>5</v>
      </c>
    </row>
    <row r="913" spans="1:6" x14ac:dyDescent="0.2">
      <c r="A913" s="1">
        <v>4</v>
      </c>
      <c r="B913" s="1">
        <v>0</v>
      </c>
      <c r="C913" s="1" t="s">
        <v>163</v>
      </c>
      <c r="D913" s="1" t="s">
        <v>5</v>
      </c>
      <c r="E913" s="1" t="s">
        <v>6</v>
      </c>
      <c r="F913">
        <v>1</v>
      </c>
    </row>
    <row r="914" spans="1:6" x14ac:dyDescent="0.2">
      <c r="A914" s="1">
        <v>4</v>
      </c>
      <c r="B914" s="1">
        <v>0</v>
      </c>
      <c r="C914" s="1" t="s">
        <v>164</v>
      </c>
      <c r="D914" s="1" t="s">
        <v>5</v>
      </c>
      <c r="E914" s="1" t="s">
        <v>6</v>
      </c>
      <c r="F914">
        <v>3</v>
      </c>
    </row>
    <row r="915" spans="1:6" x14ac:dyDescent="0.2">
      <c r="A915" s="1">
        <v>4</v>
      </c>
      <c r="B915" s="1">
        <v>0</v>
      </c>
      <c r="C915" s="1" t="s">
        <v>165</v>
      </c>
      <c r="D915" s="1" t="s">
        <v>5</v>
      </c>
      <c r="E915" s="1" t="s">
        <v>6</v>
      </c>
      <c r="F915">
        <v>1</v>
      </c>
    </row>
    <row r="916" spans="1:6" x14ac:dyDescent="0.2">
      <c r="A916" s="1">
        <v>4</v>
      </c>
      <c r="B916" s="1">
        <v>0</v>
      </c>
      <c r="C916" s="1" t="s">
        <v>166</v>
      </c>
      <c r="D916" s="1" t="s">
        <v>5</v>
      </c>
      <c r="E916" s="1" t="s">
        <v>6</v>
      </c>
      <c r="F916">
        <v>2</v>
      </c>
    </row>
    <row r="917" spans="1:6" x14ac:dyDescent="0.2">
      <c r="A917" s="1">
        <v>4</v>
      </c>
      <c r="B917" s="1">
        <v>1</v>
      </c>
      <c r="C917" s="1" t="s">
        <v>20</v>
      </c>
      <c r="D917" s="1" t="s">
        <v>30</v>
      </c>
      <c r="E917" s="1" t="s">
        <v>6</v>
      </c>
      <c r="F917">
        <v>2</v>
      </c>
    </row>
    <row r="918" spans="1:6" x14ac:dyDescent="0.2">
      <c r="A918" s="1">
        <v>4</v>
      </c>
      <c r="B918" s="1">
        <v>1</v>
      </c>
      <c r="C918" s="1" t="s">
        <v>20</v>
      </c>
      <c r="D918" s="1" t="s">
        <v>42</v>
      </c>
      <c r="E918" s="1" t="s">
        <v>6</v>
      </c>
      <c r="F918">
        <v>4</v>
      </c>
    </row>
    <row r="919" spans="1:6" x14ac:dyDescent="0.2">
      <c r="A919" s="1">
        <v>4</v>
      </c>
      <c r="B919" s="1">
        <v>1</v>
      </c>
      <c r="C919" s="1" t="s">
        <v>23</v>
      </c>
      <c r="D919" s="1" t="s">
        <v>30</v>
      </c>
      <c r="E919" s="1" t="s">
        <v>6</v>
      </c>
      <c r="F919">
        <v>1</v>
      </c>
    </row>
    <row r="920" spans="1:6" x14ac:dyDescent="0.2">
      <c r="A920" s="1">
        <v>4</v>
      </c>
      <c r="B920" s="1">
        <v>1</v>
      </c>
      <c r="C920" s="1" t="s">
        <v>31</v>
      </c>
      <c r="D920" s="1" t="s">
        <v>30</v>
      </c>
      <c r="E920" s="1" t="s">
        <v>6</v>
      </c>
      <c r="F920">
        <v>1</v>
      </c>
    </row>
    <row r="921" spans="1:6" x14ac:dyDescent="0.2">
      <c r="A921" s="1">
        <v>4</v>
      </c>
      <c r="B921" s="1">
        <v>1</v>
      </c>
      <c r="C921" s="1" t="s">
        <v>31</v>
      </c>
      <c r="D921" s="1" t="s">
        <v>42</v>
      </c>
      <c r="E921" s="1" t="s">
        <v>6</v>
      </c>
      <c r="F921">
        <v>1</v>
      </c>
    </row>
    <row r="922" spans="1:6" x14ac:dyDescent="0.2">
      <c r="A922" s="1">
        <v>4</v>
      </c>
      <c r="B922" s="1">
        <v>1</v>
      </c>
      <c r="C922" s="1" t="s">
        <v>186</v>
      </c>
      <c r="D922" s="1" t="s">
        <v>30</v>
      </c>
      <c r="E922" s="1" t="s">
        <v>6</v>
      </c>
      <c r="F922">
        <v>2</v>
      </c>
    </row>
    <row r="923" spans="1:6" x14ac:dyDescent="0.2">
      <c r="A923" s="1">
        <v>4</v>
      </c>
      <c r="B923" s="1">
        <v>1</v>
      </c>
      <c r="C923" s="1" t="s">
        <v>36</v>
      </c>
      <c r="D923" s="1" t="s">
        <v>42</v>
      </c>
      <c r="E923" s="1" t="s">
        <v>6</v>
      </c>
      <c r="F923">
        <v>4</v>
      </c>
    </row>
    <row r="924" spans="1:6" x14ac:dyDescent="0.2">
      <c r="A924" s="1">
        <v>4</v>
      </c>
      <c r="B924" s="1">
        <v>1</v>
      </c>
      <c r="C924" s="1" t="s">
        <v>39</v>
      </c>
      <c r="D924" s="1" t="s">
        <v>30</v>
      </c>
      <c r="E924" s="1" t="s">
        <v>6</v>
      </c>
      <c r="F924">
        <v>1</v>
      </c>
    </row>
    <row r="925" spans="1:6" x14ac:dyDescent="0.2">
      <c r="A925" s="1">
        <v>4</v>
      </c>
      <c r="B925" s="1">
        <v>1</v>
      </c>
      <c r="C925" s="1" t="s">
        <v>189</v>
      </c>
      <c r="D925" s="1" t="s">
        <v>28</v>
      </c>
      <c r="E925" s="1" t="s">
        <v>6</v>
      </c>
      <c r="F925">
        <v>2</v>
      </c>
    </row>
    <row r="926" spans="1:6" x14ac:dyDescent="0.2">
      <c r="A926" s="1">
        <v>4</v>
      </c>
      <c r="B926" s="1">
        <v>1</v>
      </c>
      <c r="C926" s="1" t="s">
        <v>52</v>
      </c>
      <c r="D926" s="1" t="s">
        <v>42</v>
      </c>
      <c r="E926" s="1" t="s">
        <v>6</v>
      </c>
      <c r="F926">
        <v>7</v>
      </c>
    </row>
    <row r="927" spans="1:6" x14ac:dyDescent="0.2">
      <c r="A927" s="1">
        <v>4</v>
      </c>
      <c r="B927" s="1">
        <v>1</v>
      </c>
      <c r="C927" s="1" t="s">
        <v>59</v>
      </c>
      <c r="D927" s="1" t="s">
        <v>28</v>
      </c>
      <c r="E927" s="1" t="s">
        <v>6</v>
      </c>
      <c r="F927">
        <v>2</v>
      </c>
    </row>
    <row r="928" spans="1:6" x14ac:dyDescent="0.2">
      <c r="A928" s="1">
        <v>4</v>
      </c>
      <c r="B928" s="1">
        <v>1</v>
      </c>
      <c r="C928" s="1" t="s">
        <v>67</v>
      </c>
      <c r="D928" s="1" t="s">
        <v>28</v>
      </c>
      <c r="E928" s="1" t="s">
        <v>6</v>
      </c>
      <c r="F928">
        <v>3</v>
      </c>
    </row>
    <row r="929" spans="1:6" x14ac:dyDescent="0.2">
      <c r="A929" s="1">
        <v>4</v>
      </c>
      <c r="B929" s="1">
        <v>1</v>
      </c>
      <c r="C929" s="1" t="s">
        <v>68</v>
      </c>
      <c r="D929" s="1" t="s">
        <v>30</v>
      </c>
      <c r="E929" s="1" t="s">
        <v>6</v>
      </c>
      <c r="F929">
        <v>1</v>
      </c>
    </row>
    <row r="930" spans="1:6" x14ac:dyDescent="0.2">
      <c r="A930" s="1">
        <v>4</v>
      </c>
      <c r="B930" s="1">
        <v>1</v>
      </c>
      <c r="C930" s="1" t="s">
        <v>77</v>
      </c>
      <c r="D930" s="1" t="s">
        <v>30</v>
      </c>
      <c r="E930" s="1" t="s">
        <v>6</v>
      </c>
      <c r="F930">
        <v>1</v>
      </c>
    </row>
    <row r="931" spans="1:6" x14ac:dyDescent="0.2">
      <c r="A931" s="1">
        <v>4</v>
      </c>
      <c r="B931" s="1">
        <v>1</v>
      </c>
      <c r="C931" s="1" t="s">
        <v>83</v>
      </c>
      <c r="D931" s="1" t="s">
        <v>28</v>
      </c>
      <c r="E931" s="1" t="s">
        <v>6</v>
      </c>
      <c r="F931">
        <v>2</v>
      </c>
    </row>
    <row r="932" spans="1:6" x14ac:dyDescent="0.2">
      <c r="A932" s="1">
        <v>4</v>
      </c>
      <c r="B932" s="1">
        <v>1</v>
      </c>
      <c r="C932" s="1" t="s">
        <v>84</v>
      </c>
      <c r="D932" s="1" t="s">
        <v>30</v>
      </c>
      <c r="E932" s="1" t="s">
        <v>6</v>
      </c>
      <c r="F932">
        <v>2</v>
      </c>
    </row>
    <row r="933" spans="1:6" x14ac:dyDescent="0.2">
      <c r="A933" s="1">
        <v>4</v>
      </c>
      <c r="B933" s="1">
        <v>1</v>
      </c>
      <c r="C933" s="1" t="s">
        <v>93</v>
      </c>
      <c r="D933" s="1" t="s">
        <v>30</v>
      </c>
      <c r="E933" s="1" t="s">
        <v>6</v>
      </c>
      <c r="F933">
        <v>2</v>
      </c>
    </row>
    <row r="934" spans="1:6" x14ac:dyDescent="0.2">
      <c r="A934" s="1">
        <v>4</v>
      </c>
      <c r="B934" s="1">
        <v>1</v>
      </c>
      <c r="C934" s="1" t="s">
        <v>96</v>
      </c>
      <c r="D934" s="1" t="s">
        <v>42</v>
      </c>
      <c r="E934" s="1" t="s">
        <v>6</v>
      </c>
      <c r="F934">
        <v>4</v>
      </c>
    </row>
    <row r="935" spans="1:6" x14ac:dyDescent="0.2">
      <c r="A935" s="1">
        <v>4</v>
      </c>
      <c r="B935" s="1">
        <v>1</v>
      </c>
      <c r="C935" s="1" t="s">
        <v>110</v>
      </c>
      <c r="D935" s="1" t="s">
        <v>42</v>
      </c>
      <c r="E935" s="1" t="s">
        <v>6</v>
      </c>
      <c r="F935">
        <v>6</v>
      </c>
    </row>
    <row r="936" spans="1:6" x14ac:dyDescent="0.2">
      <c r="A936" s="1">
        <v>4</v>
      </c>
      <c r="B936" s="1">
        <v>1</v>
      </c>
      <c r="C936" s="1" t="s">
        <v>116</v>
      </c>
      <c r="D936" s="1" t="s">
        <v>42</v>
      </c>
      <c r="E936" s="1" t="s">
        <v>6</v>
      </c>
      <c r="F936">
        <v>1</v>
      </c>
    </row>
    <row r="937" spans="1:6" x14ac:dyDescent="0.2">
      <c r="A937" s="1">
        <v>4</v>
      </c>
      <c r="B937" s="1">
        <v>1</v>
      </c>
      <c r="C937" s="1" t="s">
        <v>116</v>
      </c>
      <c r="D937" s="1" t="s">
        <v>28</v>
      </c>
      <c r="E937" s="1" t="s">
        <v>6</v>
      </c>
      <c r="F937">
        <v>1</v>
      </c>
    </row>
    <row r="938" spans="1:6" x14ac:dyDescent="0.2">
      <c r="A938" s="1">
        <v>4</v>
      </c>
      <c r="B938" s="1">
        <v>1</v>
      </c>
      <c r="C938" s="1" t="s">
        <v>118</v>
      </c>
      <c r="D938" s="1" t="s">
        <v>28</v>
      </c>
      <c r="E938" s="1" t="s">
        <v>6</v>
      </c>
      <c r="F938">
        <v>1</v>
      </c>
    </row>
    <row r="939" spans="1:6" x14ac:dyDescent="0.2">
      <c r="A939" s="1">
        <v>4</v>
      </c>
      <c r="B939" s="1">
        <v>1</v>
      </c>
      <c r="C939" s="1" t="s">
        <v>169</v>
      </c>
      <c r="D939" s="1" t="s">
        <v>42</v>
      </c>
      <c r="E939" s="1" t="s">
        <v>6</v>
      </c>
      <c r="F939">
        <v>1</v>
      </c>
    </row>
    <row r="940" spans="1:6" x14ac:dyDescent="0.2">
      <c r="A940" s="1">
        <v>4</v>
      </c>
      <c r="B940" s="1">
        <v>1</v>
      </c>
      <c r="C940" s="1" t="s">
        <v>128</v>
      </c>
      <c r="D940" s="1" t="s">
        <v>40</v>
      </c>
      <c r="E940" s="1" t="s">
        <v>6</v>
      </c>
      <c r="F940">
        <v>8</v>
      </c>
    </row>
    <row r="941" spans="1:6" x14ac:dyDescent="0.2">
      <c r="A941" s="1">
        <v>4</v>
      </c>
      <c r="B941" s="1">
        <v>1</v>
      </c>
      <c r="C941" s="1" t="s">
        <v>128</v>
      </c>
      <c r="D941" s="1" t="s">
        <v>41</v>
      </c>
      <c r="E941" s="1" t="s">
        <v>6</v>
      </c>
      <c r="F941">
        <v>8</v>
      </c>
    </row>
    <row r="942" spans="1:6" x14ac:dyDescent="0.2">
      <c r="A942" s="1">
        <v>4</v>
      </c>
      <c r="B942" s="1">
        <v>1</v>
      </c>
      <c r="C942" s="1" t="s">
        <v>128</v>
      </c>
      <c r="D942" s="1" t="s">
        <v>30</v>
      </c>
      <c r="E942" s="1" t="s">
        <v>6</v>
      </c>
      <c r="F942">
        <v>1</v>
      </c>
    </row>
    <row r="943" spans="1:6" x14ac:dyDescent="0.2">
      <c r="A943" s="1">
        <v>4</v>
      </c>
      <c r="B943" s="1">
        <v>1</v>
      </c>
      <c r="C943" s="1" t="s">
        <v>150</v>
      </c>
      <c r="D943" s="1" t="s">
        <v>42</v>
      </c>
      <c r="E943" s="1" t="s">
        <v>6</v>
      </c>
      <c r="F943">
        <v>1</v>
      </c>
    </row>
    <row r="944" spans="1:6" x14ac:dyDescent="0.2">
      <c r="A944" s="1">
        <v>4</v>
      </c>
      <c r="B944" s="1">
        <v>1</v>
      </c>
      <c r="C944" s="1" t="s">
        <v>253</v>
      </c>
      <c r="D944" s="1" t="s">
        <v>132</v>
      </c>
      <c r="E944" s="1" t="s">
        <v>6</v>
      </c>
      <c r="F944">
        <v>1</v>
      </c>
    </row>
    <row r="945" spans="1:6" x14ac:dyDescent="0.2">
      <c r="A945" s="1">
        <v>4</v>
      </c>
      <c r="B945" s="1">
        <v>1</v>
      </c>
      <c r="C945" s="1" t="s">
        <v>164</v>
      </c>
      <c r="D945" s="1" t="s">
        <v>132</v>
      </c>
      <c r="E945" s="1" t="s">
        <v>6</v>
      </c>
      <c r="F945">
        <v>1</v>
      </c>
    </row>
    <row r="946" spans="1:6" x14ac:dyDescent="0.2">
      <c r="A946" s="1">
        <v>4</v>
      </c>
      <c r="B946" s="1">
        <v>2</v>
      </c>
      <c r="C946" s="1" t="s">
        <v>31</v>
      </c>
      <c r="D946" s="1" t="s">
        <v>30</v>
      </c>
      <c r="E946" s="1" t="s">
        <v>6</v>
      </c>
      <c r="F946">
        <v>1</v>
      </c>
    </row>
    <row r="947" spans="1:6" x14ac:dyDescent="0.2">
      <c r="A947" s="1">
        <v>4</v>
      </c>
      <c r="B947" s="1">
        <v>2</v>
      </c>
      <c r="C947" s="1" t="s">
        <v>39</v>
      </c>
      <c r="D947" s="1" t="s">
        <v>30</v>
      </c>
      <c r="E947" s="1" t="s">
        <v>6</v>
      </c>
      <c r="F947">
        <v>2</v>
      </c>
    </row>
    <row r="948" spans="1:6" x14ac:dyDescent="0.2">
      <c r="A948" s="1">
        <v>4</v>
      </c>
      <c r="B948" s="1">
        <v>2</v>
      </c>
      <c r="C948" s="1" t="s">
        <v>77</v>
      </c>
      <c r="D948" s="1" t="s">
        <v>30</v>
      </c>
      <c r="E948" s="1" t="s">
        <v>6</v>
      </c>
      <c r="F948">
        <v>1</v>
      </c>
    </row>
    <row r="949" spans="1:6" x14ac:dyDescent="0.2">
      <c r="A949" s="1">
        <v>4</v>
      </c>
      <c r="B949" s="1">
        <v>2</v>
      </c>
      <c r="C949" s="1" t="s">
        <v>83</v>
      </c>
      <c r="D949" s="1" t="s">
        <v>28</v>
      </c>
      <c r="E949" s="1" t="s">
        <v>6</v>
      </c>
      <c r="F949">
        <v>2</v>
      </c>
    </row>
    <row r="950" spans="1:6" x14ac:dyDescent="0.2">
      <c r="A950" s="1">
        <v>4</v>
      </c>
      <c r="B950" s="1">
        <v>2</v>
      </c>
      <c r="C950" s="1" t="s">
        <v>110</v>
      </c>
      <c r="D950" s="1" t="s">
        <v>42</v>
      </c>
      <c r="E950" s="1" t="s">
        <v>6</v>
      </c>
      <c r="F950">
        <v>3</v>
      </c>
    </row>
    <row r="951" spans="1:6" x14ac:dyDescent="0.2">
      <c r="A951" s="1">
        <v>4</v>
      </c>
      <c r="B951" s="1">
        <v>2</v>
      </c>
      <c r="C951" s="1" t="s">
        <v>118</v>
      </c>
      <c r="D951" s="1" t="s">
        <v>28</v>
      </c>
      <c r="E951" s="1" t="s">
        <v>6</v>
      </c>
      <c r="F951">
        <v>1</v>
      </c>
    </row>
    <row r="952" spans="1:6" x14ac:dyDescent="0.2">
      <c r="A952" s="1">
        <v>4</v>
      </c>
      <c r="B952" s="1">
        <v>2</v>
      </c>
      <c r="C952" s="1" t="s">
        <v>128</v>
      </c>
      <c r="D952" s="1" t="s">
        <v>40</v>
      </c>
      <c r="E952" s="1" t="s">
        <v>6</v>
      </c>
      <c r="F952">
        <v>4</v>
      </c>
    </row>
    <row r="953" spans="1:6" x14ac:dyDescent="0.2">
      <c r="A953" s="1">
        <v>4</v>
      </c>
      <c r="B953" s="1">
        <v>2</v>
      </c>
      <c r="C953" s="1" t="s">
        <v>128</v>
      </c>
      <c r="D953" s="1" t="s">
        <v>41</v>
      </c>
      <c r="E953" s="1" t="s">
        <v>6</v>
      </c>
      <c r="F953">
        <v>4</v>
      </c>
    </row>
    <row r="954" spans="1:6" x14ac:dyDescent="0.2">
      <c r="A954" s="1">
        <v>4</v>
      </c>
      <c r="B954" s="1">
        <v>2</v>
      </c>
      <c r="C954" s="1" t="s">
        <v>253</v>
      </c>
      <c r="D954" s="1" t="s">
        <v>132</v>
      </c>
      <c r="E954" s="1" t="s">
        <v>6</v>
      </c>
      <c r="F954">
        <v>1</v>
      </c>
    </row>
    <row r="955" spans="1:6" x14ac:dyDescent="0.2">
      <c r="A955" s="1">
        <v>4</v>
      </c>
      <c r="B955" s="1">
        <v>3</v>
      </c>
      <c r="C955" s="1" t="s">
        <v>31</v>
      </c>
      <c r="D955" s="1" t="s">
        <v>30</v>
      </c>
      <c r="E955" s="1" t="s">
        <v>6</v>
      </c>
      <c r="F955">
        <v>1</v>
      </c>
    </row>
    <row r="956" spans="1:6" x14ac:dyDescent="0.2">
      <c r="A956" s="1">
        <v>4</v>
      </c>
      <c r="B956" s="1">
        <v>3</v>
      </c>
      <c r="C956" s="1" t="s">
        <v>39</v>
      </c>
      <c r="D956" s="1" t="s">
        <v>42</v>
      </c>
      <c r="E956" s="1" t="s">
        <v>6</v>
      </c>
      <c r="F956">
        <v>1</v>
      </c>
    </row>
    <row r="957" spans="1:6" x14ac:dyDescent="0.2">
      <c r="A957" s="1">
        <v>4</v>
      </c>
      <c r="B957" s="1">
        <v>3</v>
      </c>
      <c r="C957" s="1" t="s">
        <v>39</v>
      </c>
      <c r="D957" s="1" t="s">
        <v>30</v>
      </c>
      <c r="E957" s="1" t="s">
        <v>6</v>
      </c>
      <c r="F957">
        <v>1</v>
      </c>
    </row>
    <row r="958" spans="1:6" x14ac:dyDescent="0.2">
      <c r="A958" s="1">
        <v>4</v>
      </c>
      <c r="B958" s="1">
        <v>3</v>
      </c>
      <c r="C958" s="1" t="s">
        <v>110</v>
      </c>
      <c r="D958" s="1" t="s">
        <v>5</v>
      </c>
      <c r="E958" s="1" t="s">
        <v>6</v>
      </c>
      <c r="F958">
        <v>1</v>
      </c>
    </row>
    <row r="959" spans="1:6" x14ac:dyDescent="0.2">
      <c r="A959" s="1">
        <v>4</v>
      </c>
      <c r="B959" s="1">
        <v>3</v>
      </c>
      <c r="C959" s="1" t="s">
        <v>118</v>
      </c>
      <c r="D959" s="1" t="s">
        <v>28</v>
      </c>
      <c r="E959" s="1" t="s">
        <v>6</v>
      </c>
      <c r="F959">
        <v>1</v>
      </c>
    </row>
    <row r="960" spans="1:6" x14ac:dyDescent="0.2">
      <c r="A960" s="1">
        <v>4</v>
      </c>
      <c r="B960" s="1">
        <v>3</v>
      </c>
      <c r="C960" s="1" t="s">
        <v>128</v>
      </c>
      <c r="D960" s="1" t="s">
        <v>40</v>
      </c>
      <c r="E960" s="1" t="s">
        <v>6</v>
      </c>
      <c r="F960">
        <v>4</v>
      </c>
    </row>
    <row r="961" spans="1:6" x14ac:dyDescent="0.2">
      <c r="A961" s="1">
        <v>4</v>
      </c>
      <c r="B961" s="1">
        <v>3</v>
      </c>
      <c r="C961" s="1" t="s">
        <v>128</v>
      </c>
      <c r="D961" s="1" t="s">
        <v>41</v>
      </c>
      <c r="E961" s="1" t="s">
        <v>6</v>
      </c>
      <c r="F961">
        <v>4</v>
      </c>
    </row>
    <row r="962" spans="1:6" x14ac:dyDescent="0.2">
      <c r="A962" s="1">
        <v>4</v>
      </c>
      <c r="B962" s="1">
        <v>4</v>
      </c>
      <c r="C962" s="1" t="s">
        <v>118</v>
      </c>
      <c r="D962" s="1" t="s">
        <v>28</v>
      </c>
      <c r="E962" s="1" t="s">
        <v>6</v>
      </c>
      <c r="F962">
        <v>1</v>
      </c>
    </row>
    <row r="963" spans="1:6" x14ac:dyDescent="0.2">
      <c r="A963" s="1">
        <v>4</v>
      </c>
      <c r="B963" s="1">
        <v>4</v>
      </c>
      <c r="C963" s="1" t="s">
        <v>128</v>
      </c>
      <c r="D963" s="1" t="s">
        <v>40</v>
      </c>
      <c r="E963" s="1" t="s">
        <v>6</v>
      </c>
      <c r="F963">
        <v>4</v>
      </c>
    </row>
    <row r="964" spans="1:6" x14ac:dyDescent="0.2">
      <c r="A964" s="1">
        <v>4</v>
      </c>
      <c r="B964" s="1">
        <v>4</v>
      </c>
      <c r="C964" s="1" t="s">
        <v>128</v>
      </c>
      <c r="D964" s="1" t="s">
        <v>41</v>
      </c>
      <c r="E964" s="1" t="s">
        <v>6</v>
      </c>
      <c r="F964">
        <v>4</v>
      </c>
    </row>
    <row r="965" spans="1:6" x14ac:dyDescent="0.2">
      <c r="A965" s="1">
        <v>4</v>
      </c>
      <c r="B965" s="1">
        <v>5</v>
      </c>
      <c r="C965" s="1" t="s">
        <v>118</v>
      </c>
      <c r="D965" s="1" t="s">
        <v>28</v>
      </c>
      <c r="E965" s="1" t="s">
        <v>6</v>
      </c>
      <c r="F965">
        <v>1</v>
      </c>
    </row>
    <row r="966" spans="1:6" x14ac:dyDescent="0.2">
      <c r="A966" s="1">
        <v>4</v>
      </c>
      <c r="B966" s="1">
        <v>5</v>
      </c>
      <c r="C966" s="1" t="s">
        <v>128</v>
      </c>
      <c r="D966" s="1" t="s">
        <v>40</v>
      </c>
      <c r="E966" s="1" t="s">
        <v>6</v>
      </c>
      <c r="F966">
        <v>2</v>
      </c>
    </row>
    <row r="967" spans="1:6" x14ac:dyDescent="0.2">
      <c r="A967" s="1">
        <v>4</v>
      </c>
      <c r="B967" s="1">
        <v>5</v>
      </c>
      <c r="C967" s="1" t="s">
        <v>128</v>
      </c>
      <c r="D967" s="1" t="s">
        <v>41</v>
      </c>
      <c r="E967" s="1" t="s">
        <v>6</v>
      </c>
      <c r="F967">
        <v>2</v>
      </c>
    </row>
  </sheetData>
  <mergeCells count="6">
    <mergeCell ref="N375:R375"/>
    <mergeCell ref="N33:R33"/>
    <mergeCell ref="N74:R74"/>
    <mergeCell ref="N1:S1"/>
    <mergeCell ref="N115:R115"/>
    <mergeCell ref="N148:S148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O386:R386" calculatedColumn="1"/>
  </ignoredErrors>
  <drawing r:id="rId4"/>
  <tableParts count="7"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174B-ED75-4A4E-89B9-E9F391B279A6}">
  <dimension ref="A3:A812"/>
  <sheetViews>
    <sheetView workbookViewId="0">
      <selection activeCell="B808" sqref="B808"/>
    </sheetView>
  </sheetViews>
  <sheetFormatPr baseColWidth="10" defaultRowHeight="16" x14ac:dyDescent="0.2"/>
  <cols>
    <col min="1" max="1" width="17.33203125" bestFit="1" customWidth="1"/>
    <col min="2" max="2" width="19" bestFit="1" customWidth="1"/>
    <col min="3" max="5" width="2.1640625" bestFit="1" customWidth="1"/>
    <col min="6" max="6" width="10" bestFit="1" customWidth="1"/>
    <col min="7" max="7" width="3.83203125" bestFit="1" customWidth="1"/>
    <col min="8" max="10" width="3.1640625" bestFit="1" customWidth="1"/>
    <col min="11" max="11" width="6.5" bestFit="1" customWidth="1"/>
    <col min="12" max="12" width="3.83203125" bestFit="1" customWidth="1"/>
    <col min="13" max="15" width="2.1640625" bestFit="1" customWidth="1"/>
    <col min="16" max="16" width="6.5" bestFit="1" customWidth="1"/>
    <col min="17" max="17" width="3.83203125" bestFit="1" customWidth="1"/>
    <col min="18" max="20" width="2.1640625" bestFit="1" customWidth="1"/>
    <col min="21" max="21" width="6.5" bestFit="1" customWidth="1"/>
    <col min="22" max="22" width="3.83203125" bestFit="1" customWidth="1"/>
    <col min="23" max="24" width="2.1640625" bestFit="1" customWidth="1"/>
    <col min="25" max="25" width="6.5" bestFit="1" customWidth="1"/>
    <col min="26" max="26" width="3.83203125" bestFit="1" customWidth="1"/>
    <col min="27" max="27" width="2.1640625" bestFit="1" customWidth="1"/>
    <col min="28" max="28" width="6.5" bestFit="1" customWidth="1"/>
    <col min="29" max="29" width="3.83203125" bestFit="1" customWidth="1"/>
    <col min="30" max="30" width="6.5" bestFit="1" customWidth="1"/>
    <col min="31" max="31" width="10" bestFit="1" customWidth="1"/>
  </cols>
  <sheetData>
    <row r="3" spans="1:1" x14ac:dyDescent="0.2">
      <c r="A3" s="16" t="s">
        <v>177</v>
      </c>
    </row>
    <row r="4" spans="1:1" x14ac:dyDescent="0.2">
      <c r="A4" s="29">
        <v>0</v>
      </c>
    </row>
    <row r="5" spans="1:1" x14ac:dyDescent="0.2">
      <c r="A5" s="35">
        <v>1</v>
      </c>
    </row>
    <row r="6" spans="1:1" x14ac:dyDescent="0.2">
      <c r="A6" s="36" t="s">
        <v>95</v>
      </c>
    </row>
    <row r="7" spans="1:1" x14ac:dyDescent="0.2">
      <c r="A7" s="36" t="s">
        <v>145</v>
      </c>
    </row>
    <row r="8" spans="1:1" x14ac:dyDescent="0.2">
      <c r="A8" s="36" t="s">
        <v>46</v>
      </c>
    </row>
    <row r="9" spans="1:1" x14ac:dyDescent="0.2">
      <c r="A9" s="36" t="s">
        <v>14</v>
      </c>
    </row>
    <row r="10" spans="1:1" x14ac:dyDescent="0.2">
      <c r="A10" s="36" t="s">
        <v>69</v>
      </c>
    </row>
    <row r="11" spans="1:1" x14ac:dyDescent="0.2">
      <c r="A11" s="36" t="s">
        <v>139</v>
      </c>
    </row>
    <row r="12" spans="1:1" x14ac:dyDescent="0.2">
      <c r="A12" s="36" t="s">
        <v>47</v>
      </c>
    </row>
    <row r="13" spans="1:1" x14ac:dyDescent="0.2">
      <c r="A13" s="36" t="s">
        <v>41</v>
      </c>
    </row>
    <row r="14" spans="1:1" x14ac:dyDescent="0.2">
      <c r="A14" s="36" t="s">
        <v>66</v>
      </c>
    </row>
    <row r="15" spans="1:1" x14ac:dyDescent="0.2">
      <c r="A15" s="36" t="s">
        <v>53</v>
      </c>
    </row>
    <row r="16" spans="1:1" x14ac:dyDescent="0.2">
      <c r="A16" s="36" t="s">
        <v>48</v>
      </c>
    </row>
    <row r="17" spans="1:1" x14ac:dyDescent="0.2">
      <c r="A17" s="36" t="s">
        <v>29</v>
      </c>
    </row>
    <row r="18" spans="1:1" x14ac:dyDescent="0.2">
      <c r="A18" s="36" t="s">
        <v>127</v>
      </c>
    </row>
    <row r="19" spans="1:1" x14ac:dyDescent="0.2">
      <c r="A19" s="36" t="s">
        <v>126</v>
      </c>
    </row>
    <row r="20" spans="1:1" x14ac:dyDescent="0.2">
      <c r="A20" s="36" t="s">
        <v>108</v>
      </c>
    </row>
    <row r="21" spans="1:1" x14ac:dyDescent="0.2">
      <c r="A21" s="36" t="s">
        <v>61</v>
      </c>
    </row>
    <row r="22" spans="1:1" x14ac:dyDescent="0.2">
      <c r="A22" s="36" t="s">
        <v>72</v>
      </c>
    </row>
    <row r="23" spans="1:1" x14ac:dyDescent="0.2">
      <c r="A23" s="36" t="s">
        <v>166</v>
      </c>
    </row>
    <row r="24" spans="1:1" x14ac:dyDescent="0.2">
      <c r="A24" s="36" t="s">
        <v>100</v>
      </c>
    </row>
    <row r="25" spans="1:1" x14ac:dyDescent="0.2">
      <c r="A25" s="36" t="s">
        <v>109</v>
      </c>
    </row>
    <row r="26" spans="1:1" x14ac:dyDescent="0.2">
      <c r="A26" s="36" t="s">
        <v>131</v>
      </c>
    </row>
    <row r="27" spans="1:1" x14ac:dyDescent="0.2">
      <c r="A27" s="36" t="s">
        <v>155</v>
      </c>
    </row>
    <row r="28" spans="1:1" x14ac:dyDescent="0.2">
      <c r="A28" s="36" t="s">
        <v>74</v>
      </c>
    </row>
    <row r="29" spans="1:1" x14ac:dyDescent="0.2">
      <c r="A29" s="36" t="s">
        <v>121</v>
      </c>
    </row>
    <row r="30" spans="1:1" x14ac:dyDescent="0.2">
      <c r="A30" s="36" t="s">
        <v>153</v>
      </c>
    </row>
    <row r="31" spans="1:1" x14ac:dyDescent="0.2">
      <c r="A31" s="36" t="s">
        <v>22</v>
      </c>
    </row>
    <row r="32" spans="1:1" x14ac:dyDescent="0.2">
      <c r="A32" s="36" t="s">
        <v>141</v>
      </c>
    </row>
    <row r="33" spans="1:1" x14ac:dyDescent="0.2">
      <c r="A33" s="36" t="s">
        <v>89</v>
      </c>
    </row>
    <row r="34" spans="1:1" x14ac:dyDescent="0.2">
      <c r="A34" s="36" t="s">
        <v>59</v>
      </c>
    </row>
    <row r="35" spans="1:1" x14ac:dyDescent="0.2">
      <c r="A35" s="36" t="s">
        <v>45</v>
      </c>
    </row>
    <row r="36" spans="1:1" x14ac:dyDescent="0.2">
      <c r="A36" s="36" t="s">
        <v>107</v>
      </c>
    </row>
    <row r="37" spans="1:1" x14ac:dyDescent="0.2">
      <c r="A37" s="36" t="s">
        <v>123</v>
      </c>
    </row>
    <row r="38" spans="1:1" x14ac:dyDescent="0.2">
      <c r="A38" s="36" t="s">
        <v>44</v>
      </c>
    </row>
    <row r="39" spans="1:1" x14ac:dyDescent="0.2">
      <c r="A39" s="36" t="s">
        <v>135</v>
      </c>
    </row>
    <row r="40" spans="1:1" x14ac:dyDescent="0.2">
      <c r="A40" s="36" t="s">
        <v>165</v>
      </c>
    </row>
    <row r="41" spans="1:1" x14ac:dyDescent="0.2">
      <c r="A41" s="36" t="s">
        <v>103</v>
      </c>
    </row>
    <row r="42" spans="1:1" x14ac:dyDescent="0.2">
      <c r="A42" s="36" t="s">
        <v>8</v>
      </c>
    </row>
    <row r="43" spans="1:1" x14ac:dyDescent="0.2">
      <c r="A43" s="36" t="s">
        <v>120</v>
      </c>
    </row>
    <row r="44" spans="1:1" x14ac:dyDescent="0.2">
      <c r="A44" s="36" t="s">
        <v>23</v>
      </c>
    </row>
    <row r="45" spans="1:1" x14ac:dyDescent="0.2">
      <c r="A45" s="36" t="s">
        <v>79</v>
      </c>
    </row>
    <row r="46" spans="1:1" x14ac:dyDescent="0.2">
      <c r="A46" s="36" t="s">
        <v>86</v>
      </c>
    </row>
    <row r="47" spans="1:1" x14ac:dyDescent="0.2">
      <c r="A47" s="36" t="s">
        <v>147</v>
      </c>
    </row>
    <row r="48" spans="1:1" x14ac:dyDescent="0.2">
      <c r="A48" s="36" t="s">
        <v>113</v>
      </c>
    </row>
    <row r="49" spans="1:1" x14ac:dyDescent="0.2">
      <c r="A49" s="36" t="s">
        <v>64</v>
      </c>
    </row>
    <row r="50" spans="1:1" x14ac:dyDescent="0.2">
      <c r="A50" s="36" t="s">
        <v>152</v>
      </c>
    </row>
    <row r="51" spans="1:1" x14ac:dyDescent="0.2">
      <c r="A51" s="36" t="s">
        <v>114</v>
      </c>
    </row>
    <row r="52" spans="1:1" x14ac:dyDescent="0.2">
      <c r="A52" s="36" t="s">
        <v>164</v>
      </c>
    </row>
    <row r="53" spans="1:1" x14ac:dyDescent="0.2">
      <c r="A53" s="36" t="s">
        <v>88</v>
      </c>
    </row>
    <row r="54" spans="1:1" x14ac:dyDescent="0.2">
      <c r="A54" s="36" t="s">
        <v>33</v>
      </c>
    </row>
    <row r="55" spans="1:1" x14ac:dyDescent="0.2">
      <c r="A55" s="36" t="s">
        <v>85</v>
      </c>
    </row>
    <row r="56" spans="1:1" x14ac:dyDescent="0.2">
      <c r="A56" s="36" t="s">
        <v>143</v>
      </c>
    </row>
    <row r="57" spans="1:1" x14ac:dyDescent="0.2">
      <c r="A57" s="36" t="s">
        <v>150</v>
      </c>
    </row>
    <row r="58" spans="1:1" x14ac:dyDescent="0.2">
      <c r="A58" s="36" t="s">
        <v>92</v>
      </c>
    </row>
    <row r="59" spans="1:1" x14ac:dyDescent="0.2">
      <c r="A59" s="36" t="s">
        <v>21</v>
      </c>
    </row>
    <row r="60" spans="1:1" x14ac:dyDescent="0.2">
      <c r="A60" s="36" t="s">
        <v>19</v>
      </c>
    </row>
    <row r="61" spans="1:1" x14ac:dyDescent="0.2">
      <c r="A61" s="36" t="s">
        <v>26</v>
      </c>
    </row>
    <row r="62" spans="1:1" x14ac:dyDescent="0.2">
      <c r="A62" s="36" t="s">
        <v>77</v>
      </c>
    </row>
    <row r="63" spans="1:1" x14ac:dyDescent="0.2">
      <c r="A63" s="36" t="s">
        <v>151</v>
      </c>
    </row>
    <row r="64" spans="1:1" x14ac:dyDescent="0.2">
      <c r="A64" s="36" t="s">
        <v>38</v>
      </c>
    </row>
    <row r="65" spans="1:1" x14ac:dyDescent="0.2">
      <c r="A65" s="36" t="s">
        <v>158</v>
      </c>
    </row>
    <row r="66" spans="1:1" x14ac:dyDescent="0.2">
      <c r="A66" s="36" t="s">
        <v>58</v>
      </c>
    </row>
    <row r="67" spans="1:1" x14ac:dyDescent="0.2">
      <c r="A67" s="36" t="s">
        <v>10</v>
      </c>
    </row>
    <row r="68" spans="1:1" x14ac:dyDescent="0.2">
      <c r="A68" s="36" t="s">
        <v>128</v>
      </c>
    </row>
    <row r="69" spans="1:1" x14ac:dyDescent="0.2">
      <c r="A69" s="36" t="s">
        <v>28</v>
      </c>
    </row>
    <row r="70" spans="1:1" x14ac:dyDescent="0.2">
      <c r="A70" s="36" t="s">
        <v>75</v>
      </c>
    </row>
    <row r="71" spans="1:1" x14ac:dyDescent="0.2">
      <c r="A71" s="36" t="s">
        <v>122</v>
      </c>
    </row>
    <row r="72" spans="1:1" x14ac:dyDescent="0.2">
      <c r="A72" s="36" t="s">
        <v>90</v>
      </c>
    </row>
    <row r="73" spans="1:1" x14ac:dyDescent="0.2">
      <c r="A73" s="36" t="s">
        <v>55</v>
      </c>
    </row>
    <row r="74" spans="1:1" x14ac:dyDescent="0.2">
      <c r="A74" s="36" t="s">
        <v>67</v>
      </c>
    </row>
    <row r="75" spans="1:1" x14ac:dyDescent="0.2">
      <c r="A75" s="36" t="s">
        <v>117</v>
      </c>
    </row>
    <row r="76" spans="1:1" x14ac:dyDescent="0.2">
      <c r="A76" s="36" t="s">
        <v>137</v>
      </c>
    </row>
    <row r="77" spans="1:1" x14ac:dyDescent="0.2">
      <c r="A77" s="36" t="s">
        <v>80</v>
      </c>
    </row>
    <row r="78" spans="1:1" x14ac:dyDescent="0.2">
      <c r="A78" s="36" t="s">
        <v>148</v>
      </c>
    </row>
    <row r="79" spans="1:1" x14ac:dyDescent="0.2">
      <c r="A79" s="36" t="s">
        <v>56</v>
      </c>
    </row>
    <row r="80" spans="1:1" x14ac:dyDescent="0.2">
      <c r="A80" s="36" t="s">
        <v>4</v>
      </c>
    </row>
    <row r="81" spans="1:1" x14ac:dyDescent="0.2">
      <c r="A81" s="36" t="s">
        <v>84</v>
      </c>
    </row>
    <row r="82" spans="1:1" x14ac:dyDescent="0.2">
      <c r="A82" s="36" t="s">
        <v>129</v>
      </c>
    </row>
    <row r="83" spans="1:1" x14ac:dyDescent="0.2">
      <c r="A83" s="36" t="s">
        <v>115</v>
      </c>
    </row>
    <row r="84" spans="1:1" x14ac:dyDescent="0.2">
      <c r="A84" s="36" t="s">
        <v>49</v>
      </c>
    </row>
    <row r="85" spans="1:1" x14ac:dyDescent="0.2">
      <c r="A85" s="36" t="s">
        <v>130</v>
      </c>
    </row>
    <row r="86" spans="1:1" x14ac:dyDescent="0.2">
      <c r="A86" s="36" t="s">
        <v>146</v>
      </c>
    </row>
    <row r="87" spans="1:1" x14ac:dyDescent="0.2">
      <c r="A87" s="36" t="s">
        <v>106</v>
      </c>
    </row>
    <row r="88" spans="1:1" x14ac:dyDescent="0.2">
      <c r="A88" s="36" t="s">
        <v>118</v>
      </c>
    </row>
    <row r="89" spans="1:1" x14ac:dyDescent="0.2">
      <c r="A89" s="36" t="s">
        <v>140</v>
      </c>
    </row>
    <row r="90" spans="1:1" x14ac:dyDescent="0.2">
      <c r="A90" s="36" t="s">
        <v>52</v>
      </c>
    </row>
    <row r="91" spans="1:1" x14ac:dyDescent="0.2">
      <c r="A91" s="36" t="s">
        <v>65</v>
      </c>
    </row>
    <row r="92" spans="1:1" x14ac:dyDescent="0.2">
      <c r="A92" s="36" t="s">
        <v>18</v>
      </c>
    </row>
    <row r="93" spans="1:1" x14ac:dyDescent="0.2">
      <c r="A93" s="36" t="s">
        <v>39</v>
      </c>
    </row>
    <row r="94" spans="1:1" x14ac:dyDescent="0.2">
      <c r="A94" s="36" t="s">
        <v>51</v>
      </c>
    </row>
    <row r="95" spans="1:1" x14ac:dyDescent="0.2">
      <c r="A95" s="36" t="s">
        <v>20</v>
      </c>
    </row>
    <row r="96" spans="1:1" x14ac:dyDescent="0.2">
      <c r="A96" s="36" t="s">
        <v>98</v>
      </c>
    </row>
    <row r="97" spans="1:1" x14ac:dyDescent="0.2">
      <c r="A97" s="36" t="s">
        <v>9</v>
      </c>
    </row>
    <row r="98" spans="1:1" x14ac:dyDescent="0.2">
      <c r="A98" s="36" t="s">
        <v>71</v>
      </c>
    </row>
    <row r="99" spans="1:1" x14ac:dyDescent="0.2">
      <c r="A99" s="36" t="s">
        <v>133</v>
      </c>
    </row>
    <row r="100" spans="1:1" x14ac:dyDescent="0.2">
      <c r="A100" s="36" t="s">
        <v>111</v>
      </c>
    </row>
    <row r="101" spans="1:1" x14ac:dyDescent="0.2">
      <c r="A101" s="36" t="s">
        <v>54</v>
      </c>
    </row>
    <row r="102" spans="1:1" x14ac:dyDescent="0.2">
      <c r="A102" s="36" t="s">
        <v>102</v>
      </c>
    </row>
    <row r="103" spans="1:1" x14ac:dyDescent="0.2">
      <c r="A103" s="36" t="s">
        <v>167</v>
      </c>
    </row>
    <row r="104" spans="1:1" x14ac:dyDescent="0.2">
      <c r="A104" s="36" t="s">
        <v>138</v>
      </c>
    </row>
    <row r="105" spans="1:1" x14ac:dyDescent="0.2">
      <c r="A105" s="36" t="s">
        <v>12</v>
      </c>
    </row>
    <row r="106" spans="1:1" x14ac:dyDescent="0.2">
      <c r="A106" s="36" t="s">
        <v>25</v>
      </c>
    </row>
    <row r="107" spans="1:1" x14ac:dyDescent="0.2">
      <c r="A107" s="36" t="s">
        <v>7</v>
      </c>
    </row>
    <row r="108" spans="1:1" x14ac:dyDescent="0.2">
      <c r="A108" s="36" t="s">
        <v>37</v>
      </c>
    </row>
    <row r="109" spans="1:1" x14ac:dyDescent="0.2">
      <c r="A109" s="36" t="s">
        <v>154</v>
      </c>
    </row>
    <row r="110" spans="1:1" x14ac:dyDescent="0.2">
      <c r="A110" s="36" t="s">
        <v>17</v>
      </c>
    </row>
    <row r="111" spans="1:1" x14ac:dyDescent="0.2">
      <c r="A111" s="36" t="s">
        <v>161</v>
      </c>
    </row>
    <row r="112" spans="1:1" x14ac:dyDescent="0.2">
      <c r="A112" s="36" t="s">
        <v>96</v>
      </c>
    </row>
    <row r="113" spans="1:1" x14ac:dyDescent="0.2">
      <c r="A113" s="36" t="s">
        <v>159</v>
      </c>
    </row>
    <row r="114" spans="1:1" x14ac:dyDescent="0.2">
      <c r="A114" s="36" t="s">
        <v>144</v>
      </c>
    </row>
    <row r="115" spans="1:1" x14ac:dyDescent="0.2">
      <c r="A115" s="36" t="s">
        <v>91</v>
      </c>
    </row>
    <row r="116" spans="1:1" x14ac:dyDescent="0.2">
      <c r="A116" s="36" t="s">
        <v>163</v>
      </c>
    </row>
    <row r="117" spans="1:1" x14ac:dyDescent="0.2">
      <c r="A117" s="36" t="s">
        <v>125</v>
      </c>
    </row>
    <row r="118" spans="1:1" x14ac:dyDescent="0.2">
      <c r="A118" s="36" t="s">
        <v>31</v>
      </c>
    </row>
    <row r="119" spans="1:1" x14ac:dyDescent="0.2">
      <c r="A119" s="36" t="s">
        <v>162</v>
      </c>
    </row>
    <row r="120" spans="1:1" x14ac:dyDescent="0.2">
      <c r="A120" s="36" t="s">
        <v>60</v>
      </c>
    </row>
    <row r="121" spans="1:1" x14ac:dyDescent="0.2">
      <c r="A121" s="36" t="s">
        <v>78</v>
      </c>
    </row>
    <row r="122" spans="1:1" x14ac:dyDescent="0.2">
      <c r="A122" s="36" t="s">
        <v>105</v>
      </c>
    </row>
    <row r="123" spans="1:1" x14ac:dyDescent="0.2">
      <c r="A123" s="36" t="s">
        <v>73</v>
      </c>
    </row>
    <row r="124" spans="1:1" x14ac:dyDescent="0.2">
      <c r="A124" s="36" t="s">
        <v>16</v>
      </c>
    </row>
    <row r="125" spans="1:1" x14ac:dyDescent="0.2">
      <c r="A125" s="36" t="s">
        <v>57</v>
      </c>
    </row>
    <row r="126" spans="1:1" x14ac:dyDescent="0.2">
      <c r="A126" s="36" t="s">
        <v>11</v>
      </c>
    </row>
    <row r="127" spans="1:1" x14ac:dyDescent="0.2">
      <c r="A127" s="36" t="s">
        <v>15</v>
      </c>
    </row>
    <row r="128" spans="1:1" x14ac:dyDescent="0.2">
      <c r="A128" s="36" t="s">
        <v>94</v>
      </c>
    </row>
    <row r="129" spans="1:1" x14ac:dyDescent="0.2">
      <c r="A129" s="36" t="s">
        <v>112</v>
      </c>
    </row>
    <row r="130" spans="1:1" x14ac:dyDescent="0.2">
      <c r="A130" s="36" t="s">
        <v>93</v>
      </c>
    </row>
    <row r="131" spans="1:1" x14ac:dyDescent="0.2">
      <c r="A131" s="36" t="s">
        <v>142</v>
      </c>
    </row>
    <row r="132" spans="1:1" x14ac:dyDescent="0.2">
      <c r="A132" s="36" t="s">
        <v>110</v>
      </c>
    </row>
    <row r="133" spans="1:1" x14ac:dyDescent="0.2">
      <c r="A133" s="36" t="s">
        <v>62</v>
      </c>
    </row>
    <row r="134" spans="1:1" x14ac:dyDescent="0.2">
      <c r="A134" s="36" t="s">
        <v>83</v>
      </c>
    </row>
    <row r="135" spans="1:1" x14ac:dyDescent="0.2">
      <c r="A135" s="36" t="s">
        <v>27</v>
      </c>
    </row>
    <row r="136" spans="1:1" x14ac:dyDescent="0.2">
      <c r="A136" s="36" t="s">
        <v>97</v>
      </c>
    </row>
    <row r="137" spans="1:1" x14ac:dyDescent="0.2">
      <c r="A137" s="36" t="s">
        <v>43</v>
      </c>
    </row>
    <row r="138" spans="1:1" x14ac:dyDescent="0.2">
      <c r="A138" s="36" t="s">
        <v>70</v>
      </c>
    </row>
    <row r="139" spans="1:1" x14ac:dyDescent="0.2">
      <c r="A139" s="36" t="s">
        <v>149</v>
      </c>
    </row>
    <row r="140" spans="1:1" x14ac:dyDescent="0.2">
      <c r="A140" s="36" t="s">
        <v>104</v>
      </c>
    </row>
    <row r="141" spans="1:1" x14ac:dyDescent="0.2">
      <c r="A141" s="36" t="s">
        <v>132</v>
      </c>
    </row>
    <row r="142" spans="1:1" x14ac:dyDescent="0.2">
      <c r="A142" s="36" t="s">
        <v>156</v>
      </c>
    </row>
    <row r="143" spans="1:1" x14ac:dyDescent="0.2">
      <c r="A143" s="36" t="s">
        <v>63</v>
      </c>
    </row>
    <row r="144" spans="1:1" x14ac:dyDescent="0.2">
      <c r="A144" s="36" t="s">
        <v>36</v>
      </c>
    </row>
    <row r="145" spans="1:1" x14ac:dyDescent="0.2">
      <c r="A145" s="36" t="s">
        <v>157</v>
      </c>
    </row>
    <row r="146" spans="1:1" x14ac:dyDescent="0.2">
      <c r="A146" s="36" t="s">
        <v>119</v>
      </c>
    </row>
    <row r="147" spans="1:1" x14ac:dyDescent="0.2">
      <c r="A147" s="36" t="s">
        <v>134</v>
      </c>
    </row>
    <row r="148" spans="1:1" x14ac:dyDescent="0.2">
      <c r="A148" s="36" t="s">
        <v>68</v>
      </c>
    </row>
    <row r="149" spans="1:1" x14ac:dyDescent="0.2">
      <c r="A149" s="36" t="s">
        <v>116</v>
      </c>
    </row>
    <row r="150" spans="1:1" x14ac:dyDescent="0.2">
      <c r="A150" s="36" t="s">
        <v>82</v>
      </c>
    </row>
    <row r="151" spans="1:1" x14ac:dyDescent="0.2">
      <c r="A151" s="36" t="s">
        <v>35</v>
      </c>
    </row>
    <row r="152" spans="1:1" x14ac:dyDescent="0.2">
      <c r="A152" s="36" t="s">
        <v>24</v>
      </c>
    </row>
    <row r="153" spans="1:1" x14ac:dyDescent="0.2">
      <c r="A153" s="36" t="s">
        <v>34</v>
      </c>
    </row>
    <row r="154" spans="1:1" x14ac:dyDescent="0.2">
      <c r="A154" s="36" t="s">
        <v>99</v>
      </c>
    </row>
    <row r="155" spans="1:1" x14ac:dyDescent="0.2">
      <c r="A155" s="36" t="s">
        <v>87</v>
      </c>
    </row>
    <row r="156" spans="1:1" x14ac:dyDescent="0.2">
      <c r="A156" s="36" t="s">
        <v>32</v>
      </c>
    </row>
    <row r="157" spans="1:1" x14ac:dyDescent="0.2">
      <c r="A157" s="36" t="s">
        <v>81</v>
      </c>
    </row>
    <row r="158" spans="1:1" x14ac:dyDescent="0.2">
      <c r="A158" s="36" t="s">
        <v>50</v>
      </c>
    </row>
    <row r="159" spans="1:1" x14ac:dyDescent="0.2">
      <c r="A159" s="36" t="s">
        <v>160</v>
      </c>
    </row>
    <row r="160" spans="1:1" x14ac:dyDescent="0.2">
      <c r="A160" s="36" t="s">
        <v>101</v>
      </c>
    </row>
    <row r="161" spans="1:1" x14ac:dyDescent="0.2">
      <c r="A161" s="36" t="s">
        <v>136</v>
      </c>
    </row>
    <row r="162" spans="1:1" x14ac:dyDescent="0.2">
      <c r="A162" s="36" t="s">
        <v>76</v>
      </c>
    </row>
    <row r="163" spans="1:1" x14ac:dyDescent="0.2">
      <c r="A163" s="35">
        <v>2</v>
      </c>
    </row>
    <row r="164" spans="1:1" x14ac:dyDescent="0.2">
      <c r="A164" s="36" t="s">
        <v>95</v>
      </c>
    </row>
    <row r="165" spans="1:1" x14ac:dyDescent="0.2">
      <c r="A165" s="36" t="s">
        <v>170</v>
      </c>
    </row>
    <row r="166" spans="1:1" x14ac:dyDescent="0.2">
      <c r="A166" s="36" t="s">
        <v>218</v>
      </c>
    </row>
    <row r="167" spans="1:1" x14ac:dyDescent="0.2">
      <c r="A167" s="36" t="s">
        <v>46</v>
      </c>
    </row>
    <row r="168" spans="1:1" x14ac:dyDescent="0.2">
      <c r="A168" s="36" t="s">
        <v>14</v>
      </c>
    </row>
    <row r="169" spans="1:1" x14ac:dyDescent="0.2">
      <c r="A169" s="36" t="s">
        <v>69</v>
      </c>
    </row>
    <row r="170" spans="1:1" x14ac:dyDescent="0.2">
      <c r="A170" s="36" t="s">
        <v>139</v>
      </c>
    </row>
    <row r="171" spans="1:1" x14ac:dyDescent="0.2">
      <c r="A171" s="36" t="s">
        <v>47</v>
      </c>
    </row>
    <row r="172" spans="1:1" x14ac:dyDescent="0.2">
      <c r="A172" s="36" t="s">
        <v>66</v>
      </c>
    </row>
    <row r="173" spans="1:1" x14ac:dyDescent="0.2">
      <c r="A173" s="36" t="s">
        <v>53</v>
      </c>
    </row>
    <row r="174" spans="1:1" x14ac:dyDescent="0.2">
      <c r="A174" s="36" t="s">
        <v>48</v>
      </c>
    </row>
    <row r="175" spans="1:1" x14ac:dyDescent="0.2">
      <c r="A175" s="36" t="s">
        <v>29</v>
      </c>
    </row>
    <row r="176" spans="1:1" x14ac:dyDescent="0.2">
      <c r="A176" s="36" t="s">
        <v>197</v>
      </c>
    </row>
    <row r="177" spans="1:1" x14ac:dyDescent="0.2">
      <c r="A177" s="36" t="s">
        <v>216</v>
      </c>
    </row>
    <row r="178" spans="1:1" x14ac:dyDescent="0.2">
      <c r="A178" s="36" t="s">
        <v>126</v>
      </c>
    </row>
    <row r="179" spans="1:1" x14ac:dyDescent="0.2">
      <c r="A179" s="36" t="s">
        <v>108</v>
      </c>
    </row>
    <row r="180" spans="1:1" x14ac:dyDescent="0.2">
      <c r="A180" s="36" t="s">
        <v>61</v>
      </c>
    </row>
    <row r="181" spans="1:1" x14ac:dyDescent="0.2">
      <c r="A181" s="36" t="s">
        <v>72</v>
      </c>
    </row>
    <row r="182" spans="1:1" x14ac:dyDescent="0.2">
      <c r="A182" s="36" t="s">
        <v>166</v>
      </c>
    </row>
    <row r="183" spans="1:1" x14ac:dyDescent="0.2">
      <c r="A183" s="36" t="s">
        <v>199</v>
      </c>
    </row>
    <row r="184" spans="1:1" x14ac:dyDescent="0.2">
      <c r="A184" s="36" t="s">
        <v>211</v>
      </c>
    </row>
    <row r="185" spans="1:1" x14ac:dyDescent="0.2">
      <c r="A185" s="36" t="s">
        <v>100</v>
      </c>
    </row>
    <row r="186" spans="1:1" x14ac:dyDescent="0.2">
      <c r="A186" s="36" t="s">
        <v>109</v>
      </c>
    </row>
    <row r="187" spans="1:1" x14ac:dyDescent="0.2">
      <c r="A187" s="36" t="s">
        <v>187</v>
      </c>
    </row>
    <row r="188" spans="1:1" x14ac:dyDescent="0.2">
      <c r="A188" s="36" t="s">
        <v>131</v>
      </c>
    </row>
    <row r="189" spans="1:1" x14ac:dyDescent="0.2">
      <c r="A189" s="36" t="s">
        <v>74</v>
      </c>
    </row>
    <row r="190" spans="1:1" x14ac:dyDescent="0.2">
      <c r="A190" s="36" t="s">
        <v>121</v>
      </c>
    </row>
    <row r="191" spans="1:1" x14ac:dyDescent="0.2">
      <c r="A191" s="36" t="s">
        <v>180</v>
      </c>
    </row>
    <row r="192" spans="1:1" x14ac:dyDescent="0.2">
      <c r="A192" s="36" t="s">
        <v>153</v>
      </c>
    </row>
    <row r="193" spans="1:1" x14ac:dyDescent="0.2">
      <c r="A193" s="36" t="s">
        <v>22</v>
      </c>
    </row>
    <row r="194" spans="1:1" x14ac:dyDescent="0.2">
      <c r="A194" s="36" t="s">
        <v>141</v>
      </c>
    </row>
    <row r="195" spans="1:1" x14ac:dyDescent="0.2">
      <c r="A195" s="36" t="s">
        <v>89</v>
      </c>
    </row>
    <row r="196" spans="1:1" x14ac:dyDescent="0.2">
      <c r="A196" s="36" t="s">
        <v>59</v>
      </c>
    </row>
    <row r="197" spans="1:1" x14ac:dyDescent="0.2">
      <c r="A197" s="36" t="s">
        <v>45</v>
      </c>
    </row>
    <row r="198" spans="1:1" x14ac:dyDescent="0.2">
      <c r="A198" s="36" t="s">
        <v>179</v>
      </c>
    </row>
    <row r="199" spans="1:1" x14ac:dyDescent="0.2">
      <c r="A199" s="36" t="s">
        <v>107</v>
      </c>
    </row>
    <row r="200" spans="1:1" x14ac:dyDescent="0.2">
      <c r="A200" s="36" t="s">
        <v>123</v>
      </c>
    </row>
    <row r="201" spans="1:1" x14ac:dyDescent="0.2">
      <c r="A201" s="36" t="s">
        <v>44</v>
      </c>
    </row>
    <row r="202" spans="1:1" x14ac:dyDescent="0.2">
      <c r="A202" s="36" t="s">
        <v>165</v>
      </c>
    </row>
    <row r="203" spans="1:1" x14ac:dyDescent="0.2">
      <c r="A203" s="36" t="s">
        <v>103</v>
      </c>
    </row>
    <row r="204" spans="1:1" x14ac:dyDescent="0.2">
      <c r="A204" s="36" t="s">
        <v>8</v>
      </c>
    </row>
    <row r="205" spans="1:1" x14ac:dyDescent="0.2">
      <c r="A205" s="36" t="s">
        <v>194</v>
      </c>
    </row>
    <row r="206" spans="1:1" x14ac:dyDescent="0.2">
      <c r="A206" s="36" t="s">
        <v>23</v>
      </c>
    </row>
    <row r="207" spans="1:1" x14ac:dyDescent="0.2">
      <c r="A207" s="36" t="s">
        <v>79</v>
      </c>
    </row>
    <row r="208" spans="1:1" x14ac:dyDescent="0.2">
      <c r="A208" s="36" t="s">
        <v>147</v>
      </c>
    </row>
    <row r="209" spans="1:1" x14ac:dyDescent="0.2">
      <c r="A209" s="36" t="s">
        <v>113</v>
      </c>
    </row>
    <row r="210" spans="1:1" x14ac:dyDescent="0.2">
      <c r="A210" s="36" t="s">
        <v>188</v>
      </c>
    </row>
    <row r="211" spans="1:1" x14ac:dyDescent="0.2">
      <c r="A211" s="36" t="s">
        <v>64</v>
      </c>
    </row>
    <row r="212" spans="1:1" x14ac:dyDescent="0.2">
      <c r="A212" s="36" t="s">
        <v>152</v>
      </c>
    </row>
    <row r="213" spans="1:1" x14ac:dyDescent="0.2">
      <c r="A213" s="36" t="s">
        <v>203</v>
      </c>
    </row>
    <row r="214" spans="1:1" x14ac:dyDescent="0.2">
      <c r="A214" s="36" t="s">
        <v>114</v>
      </c>
    </row>
    <row r="215" spans="1:1" x14ac:dyDescent="0.2">
      <c r="A215" s="36" t="s">
        <v>210</v>
      </c>
    </row>
    <row r="216" spans="1:1" x14ac:dyDescent="0.2">
      <c r="A216" s="36" t="s">
        <v>202</v>
      </c>
    </row>
    <row r="217" spans="1:1" x14ac:dyDescent="0.2">
      <c r="A217" s="36" t="s">
        <v>88</v>
      </c>
    </row>
    <row r="218" spans="1:1" x14ac:dyDescent="0.2">
      <c r="A218" s="36" t="s">
        <v>33</v>
      </c>
    </row>
    <row r="219" spans="1:1" x14ac:dyDescent="0.2">
      <c r="A219" s="36" t="s">
        <v>201</v>
      </c>
    </row>
    <row r="220" spans="1:1" x14ac:dyDescent="0.2">
      <c r="A220" s="36" t="s">
        <v>85</v>
      </c>
    </row>
    <row r="221" spans="1:1" x14ac:dyDescent="0.2">
      <c r="A221" s="36" t="s">
        <v>143</v>
      </c>
    </row>
    <row r="222" spans="1:1" x14ac:dyDescent="0.2">
      <c r="A222" s="36" t="s">
        <v>150</v>
      </c>
    </row>
    <row r="223" spans="1:1" x14ac:dyDescent="0.2">
      <c r="A223" s="36" t="s">
        <v>206</v>
      </c>
    </row>
    <row r="224" spans="1:1" x14ac:dyDescent="0.2">
      <c r="A224" s="36" t="s">
        <v>92</v>
      </c>
    </row>
    <row r="225" spans="1:1" x14ac:dyDescent="0.2">
      <c r="A225" s="36" t="s">
        <v>21</v>
      </c>
    </row>
    <row r="226" spans="1:1" x14ac:dyDescent="0.2">
      <c r="A226" s="36" t="s">
        <v>26</v>
      </c>
    </row>
    <row r="227" spans="1:1" x14ac:dyDescent="0.2">
      <c r="A227" s="36" t="s">
        <v>77</v>
      </c>
    </row>
    <row r="228" spans="1:1" x14ac:dyDescent="0.2">
      <c r="A228" s="36" t="s">
        <v>190</v>
      </c>
    </row>
    <row r="229" spans="1:1" x14ac:dyDescent="0.2">
      <c r="A229" s="36" t="s">
        <v>151</v>
      </c>
    </row>
    <row r="230" spans="1:1" x14ac:dyDescent="0.2">
      <c r="A230" s="36" t="s">
        <v>38</v>
      </c>
    </row>
    <row r="231" spans="1:1" x14ac:dyDescent="0.2">
      <c r="A231" s="36" t="s">
        <v>158</v>
      </c>
    </row>
    <row r="232" spans="1:1" x14ac:dyDescent="0.2">
      <c r="A232" s="36" t="s">
        <v>58</v>
      </c>
    </row>
    <row r="233" spans="1:1" x14ac:dyDescent="0.2">
      <c r="A233" s="36" t="s">
        <v>10</v>
      </c>
    </row>
    <row r="234" spans="1:1" x14ac:dyDescent="0.2">
      <c r="A234" s="36" t="s">
        <v>128</v>
      </c>
    </row>
    <row r="235" spans="1:1" x14ac:dyDescent="0.2">
      <c r="A235" s="36" t="s">
        <v>198</v>
      </c>
    </row>
    <row r="236" spans="1:1" x14ac:dyDescent="0.2">
      <c r="A236" s="36" t="s">
        <v>28</v>
      </c>
    </row>
    <row r="237" spans="1:1" x14ac:dyDescent="0.2">
      <c r="A237" s="36" t="s">
        <v>122</v>
      </c>
    </row>
    <row r="238" spans="1:1" x14ac:dyDescent="0.2">
      <c r="A238" s="36" t="s">
        <v>90</v>
      </c>
    </row>
    <row r="239" spans="1:1" x14ac:dyDescent="0.2">
      <c r="A239" s="36" t="s">
        <v>67</v>
      </c>
    </row>
    <row r="240" spans="1:1" x14ac:dyDescent="0.2">
      <c r="A240" s="36" t="s">
        <v>184</v>
      </c>
    </row>
    <row r="241" spans="1:1" x14ac:dyDescent="0.2">
      <c r="A241" s="36" t="s">
        <v>117</v>
      </c>
    </row>
    <row r="242" spans="1:1" x14ac:dyDescent="0.2">
      <c r="A242" s="36" t="s">
        <v>137</v>
      </c>
    </row>
    <row r="243" spans="1:1" x14ac:dyDescent="0.2">
      <c r="A243" s="36" t="s">
        <v>80</v>
      </c>
    </row>
    <row r="244" spans="1:1" x14ac:dyDescent="0.2">
      <c r="A244" s="36" t="s">
        <v>181</v>
      </c>
    </row>
    <row r="245" spans="1:1" x14ac:dyDescent="0.2">
      <c r="A245" s="36" t="s">
        <v>196</v>
      </c>
    </row>
    <row r="246" spans="1:1" x14ac:dyDescent="0.2">
      <c r="A246" s="36" t="s">
        <v>4</v>
      </c>
    </row>
    <row r="247" spans="1:1" x14ac:dyDescent="0.2">
      <c r="A247" s="36" t="s">
        <v>84</v>
      </c>
    </row>
    <row r="248" spans="1:1" x14ac:dyDescent="0.2">
      <c r="A248" s="36" t="s">
        <v>129</v>
      </c>
    </row>
    <row r="249" spans="1:1" x14ac:dyDescent="0.2">
      <c r="A249" s="36" t="s">
        <v>115</v>
      </c>
    </row>
    <row r="250" spans="1:1" x14ac:dyDescent="0.2">
      <c r="A250" s="36" t="s">
        <v>49</v>
      </c>
    </row>
    <row r="251" spans="1:1" x14ac:dyDescent="0.2">
      <c r="A251" s="36" t="s">
        <v>200</v>
      </c>
    </row>
    <row r="252" spans="1:1" x14ac:dyDescent="0.2">
      <c r="A252" s="36" t="s">
        <v>130</v>
      </c>
    </row>
    <row r="253" spans="1:1" x14ac:dyDescent="0.2">
      <c r="A253" s="36" t="s">
        <v>146</v>
      </c>
    </row>
    <row r="254" spans="1:1" x14ac:dyDescent="0.2">
      <c r="A254" s="36" t="s">
        <v>193</v>
      </c>
    </row>
    <row r="255" spans="1:1" x14ac:dyDescent="0.2">
      <c r="A255" s="36" t="s">
        <v>106</v>
      </c>
    </row>
    <row r="256" spans="1:1" x14ac:dyDescent="0.2">
      <c r="A256" s="36" t="s">
        <v>52</v>
      </c>
    </row>
    <row r="257" spans="1:1" x14ac:dyDescent="0.2">
      <c r="A257" s="36" t="s">
        <v>213</v>
      </c>
    </row>
    <row r="258" spans="1:1" x14ac:dyDescent="0.2">
      <c r="A258" s="36" t="s">
        <v>39</v>
      </c>
    </row>
    <row r="259" spans="1:1" x14ac:dyDescent="0.2">
      <c r="A259" s="36" t="s">
        <v>51</v>
      </c>
    </row>
    <row r="260" spans="1:1" x14ac:dyDescent="0.2">
      <c r="A260" s="36" t="s">
        <v>20</v>
      </c>
    </row>
    <row r="261" spans="1:1" x14ac:dyDescent="0.2">
      <c r="A261" s="36" t="s">
        <v>98</v>
      </c>
    </row>
    <row r="262" spans="1:1" x14ac:dyDescent="0.2">
      <c r="A262" s="36" t="s">
        <v>9</v>
      </c>
    </row>
    <row r="263" spans="1:1" x14ac:dyDescent="0.2">
      <c r="A263" s="36" t="s">
        <v>133</v>
      </c>
    </row>
    <row r="264" spans="1:1" x14ac:dyDescent="0.2">
      <c r="A264" s="36" t="s">
        <v>54</v>
      </c>
    </row>
    <row r="265" spans="1:1" x14ac:dyDescent="0.2">
      <c r="A265" s="36" t="s">
        <v>102</v>
      </c>
    </row>
    <row r="266" spans="1:1" x14ac:dyDescent="0.2">
      <c r="A266" s="36" t="s">
        <v>205</v>
      </c>
    </row>
    <row r="267" spans="1:1" x14ac:dyDescent="0.2">
      <c r="A267" s="36" t="s">
        <v>186</v>
      </c>
    </row>
    <row r="268" spans="1:1" x14ac:dyDescent="0.2">
      <c r="A268" s="36" t="s">
        <v>138</v>
      </c>
    </row>
    <row r="269" spans="1:1" x14ac:dyDescent="0.2">
      <c r="A269" s="36" t="s">
        <v>191</v>
      </c>
    </row>
    <row r="270" spans="1:1" x14ac:dyDescent="0.2">
      <c r="A270" s="36" t="s">
        <v>12</v>
      </c>
    </row>
    <row r="271" spans="1:1" x14ac:dyDescent="0.2">
      <c r="A271" s="36" t="s">
        <v>25</v>
      </c>
    </row>
    <row r="272" spans="1:1" x14ac:dyDescent="0.2">
      <c r="A272" s="36" t="s">
        <v>209</v>
      </c>
    </row>
    <row r="273" spans="1:1" x14ac:dyDescent="0.2">
      <c r="A273" s="36" t="s">
        <v>7</v>
      </c>
    </row>
    <row r="274" spans="1:1" x14ac:dyDescent="0.2">
      <c r="A274" s="36" t="s">
        <v>154</v>
      </c>
    </row>
    <row r="275" spans="1:1" x14ac:dyDescent="0.2">
      <c r="A275" s="36" t="s">
        <v>17</v>
      </c>
    </row>
    <row r="276" spans="1:1" x14ac:dyDescent="0.2">
      <c r="A276" s="36" t="s">
        <v>161</v>
      </c>
    </row>
    <row r="277" spans="1:1" x14ac:dyDescent="0.2">
      <c r="A277" s="36" t="s">
        <v>96</v>
      </c>
    </row>
    <row r="278" spans="1:1" x14ac:dyDescent="0.2">
      <c r="A278" s="36" t="s">
        <v>185</v>
      </c>
    </row>
    <row r="279" spans="1:1" x14ac:dyDescent="0.2">
      <c r="A279" s="36" t="s">
        <v>159</v>
      </c>
    </row>
    <row r="280" spans="1:1" x14ac:dyDescent="0.2">
      <c r="A280" s="36" t="s">
        <v>144</v>
      </c>
    </row>
    <row r="281" spans="1:1" x14ac:dyDescent="0.2">
      <c r="A281" s="36" t="s">
        <v>163</v>
      </c>
    </row>
    <row r="282" spans="1:1" x14ac:dyDescent="0.2">
      <c r="A282" s="36" t="s">
        <v>125</v>
      </c>
    </row>
    <row r="283" spans="1:1" x14ac:dyDescent="0.2">
      <c r="A283" s="36" t="s">
        <v>162</v>
      </c>
    </row>
    <row r="284" spans="1:1" x14ac:dyDescent="0.2">
      <c r="A284" s="36" t="s">
        <v>60</v>
      </c>
    </row>
    <row r="285" spans="1:1" x14ac:dyDescent="0.2">
      <c r="A285" s="36" t="s">
        <v>217</v>
      </c>
    </row>
    <row r="286" spans="1:1" x14ac:dyDescent="0.2">
      <c r="A286" s="36" t="s">
        <v>78</v>
      </c>
    </row>
    <row r="287" spans="1:1" x14ac:dyDescent="0.2">
      <c r="A287" s="36" t="s">
        <v>73</v>
      </c>
    </row>
    <row r="288" spans="1:1" x14ac:dyDescent="0.2">
      <c r="A288" s="36" t="s">
        <v>16</v>
      </c>
    </row>
    <row r="289" spans="1:1" x14ac:dyDescent="0.2">
      <c r="A289" s="36" t="s">
        <v>57</v>
      </c>
    </row>
    <row r="290" spans="1:1" x14ac:dyDescent="0.2">
      <c r="A290" s="36" t="s">
        <v>15</v>
      </c>
    </row>
    <row r="291" spans="1:1" x14ac:dyDescent="0.2">
      <c r="A291" s="36" t="s">
        <v>94</v>
      </c>
    </row>
    <row r="292" spans="1:1" x14ac:dyDescent="0.2">
      <c r="A292" s="36" t="s">
        <v>112</v>
      </c>
    </row>
    <row r="293" spans="1:1" x14ac:dyDescent="0.2">
      <c r="A293" s="36" t="s">
        <v>93</v>
      </c>
    </row>
    <row r="294" spans="1:1" x14ac:dyDescent="0.2">
      <c r="A294" s="36" t="s">
        <v>142</v>
      </c>
    </row>
    <row r="295" spans="1:1" x14ac:dyDescent="0.2">
      <c r="A295" s="36" t="s">
        <v>110</v>
      </c>
    </row>
    <row r="296" spans="1:1" x14ac:dyDescent="0.2">
      <c r="A296" s="36" t="s">
        <v>62</v>
      </c>
    </row>
    <row r="297" spans="1:1" x14ac:dyDescent="0.2">
      <c r="A297" s="36" t="s">
        <v>192</v>
      </c>
    </row>
    <row r="298" spans="1:1" x14ac:dyDescent="0.2">
      <c r="A298" s="36" t="s">
        <v>182</v>
      </c>
    </row>
    <row r="299" spans="1:1" x14ac:dyDescent="0.2">
      <c r="A299" s="36" t="s">
        <v>83</v>
      </c>
    </row>
    <row r="300" spans="1:1" x14ac:dyDescent="0.2">
      <c r="A300" s="36" t="s">
        <v>27</v>
      </c>
    </row>
    <row r="301" spans="1:1" x14ac:dyDescent="0.2">
      <c r="A301" s="36" t="s">
        <v>207</v>
      </c>
    </row>
    <row r="302" spans="1:1" x14ac:dyDescent="0.2">
      <c r="A302" s="36" t="s">
        <v>97</v>
      </c>
    </row>
    <row r="303" spans="1:1" x14ac:dyDescent="0.2">
      <c r="A303" s="36" t="s">
        <v>43</v>
      </c>
    </row>
    <row r="304" spans="1:1" x14ac:dyDescent="0.2">
      <c r="A304" s="36" t="s">
        <v>70</v>
      </c>
    </row>
    <row r="305" spans="1:1" x14ac:dyDescent="0.2">
      <c r="A305" s="36" t="s">
        <v>149</v>
      </c>
    </row>
    <row r="306" spans="1:1" x14ac:dyDescent="0.2">
      <c r="A306" s="36" t="s">
        <v>104</v>
      </c>
    </row>
    <row r="307" spans="1:1" x14ac:dyDescent="0.2">
      <c r="A307" s="36" t="s">
        <v>189</v>
      </c>
    </row>
    <row r="308" spans="1:1" x14ac:dyDescent="0.2">
      <c r="A308" s="36" t="s">
        <v>132</v>
      </c>
    </row>
    <row r="309" spans="1:1" x14ac:dyDescent="0.2">
      <c r="A309" s="36" t="s">
        <v>156</v>
      </c>
    </row>
    <row r="310" spans="1:1" x14ac:dyDescent="0.2">
      <c r="A310" s="36" t="s">
        <v>63</v>
      </c>
    </row>
    <row r="311" spans="1:1" x14ac:dyDescent="0.2">
      <c r="A311" s="36" t="s">
        <v>36</v>
      </c>
    </row>
    <row r="312" spans="1:1" x14ac:dyDescent="0.2">
      <c r="A312" s="36" t="s">
        <v>157</v>
      </c>
    </row>
    <row r="313" spans="1:1" x14ac:dyDescent="0.2">
      <c r="A313" s="36" t="s">
        <v>119</v>
      </c>
    </row>
    <row r="314" spans="1:1" x14ac:dyDescent="0.2">
      <c r="A314" s="36" t="s">
        <v>134</v>
      </c>
    </row>
    <row r="315" spans="1:1" x14ac:dyDescent="0.2">
      <c r="A315" s="36" t="s">
        <v>68</v>
      </c>
    </row>
    <row r="316" spans="1:1" x14ac:dyDescent="0.2">
      <c r="A316" s="36" t="s">
        <v>208</v>
      </c>
    </row>
    <row r="317" spans="1:1" x14ac:dyDescent="0.2">
      <c r="A317" s="36" t="s">
        <v>183</v>
      </c>
    </row>
    <row r="318" spans="1:1" x14ac:dyDescent="0.2">
      <c r="A318" s="36" t="s">
        <v>116</v>
      </c>
    </row>
    <row r="319" spans="1:1" x14ac:dyDescent="0.2">
      <c r="A319" s="36" t="s">
        <v>82</v>
      </c>
    </row>
    <row r="320" spans="1:1" x14ac:dyDescent="0.2">
      <c r="A320" s="36" t="s">
        <v>212</v>
      </c>
    </row>
    <row r="321" spans="1:1" x14ac:dyDescent="0.2">
      <c r="A321" s="36" t="s">
        <v>215</v>
      </c>
    </row>
    <row r="322" spans="1:1" x14ac:dyDescent="0.2">
      <c r="A322" s="36" t="s">
        <v>35</v>
      </c>
    </row>
    <row r="323" spans="1:1" x14ac:dyDescent="0.2">
      <c r="A323" s="36" t="s">
        <v>214</v>
      </c>
    </row>
    <row r="324" spans="1:1" x14ac:dyDescent="0.2">
      <c r="A324" s="36" t="s">
        <v>24</v>
      </c>
    </row>
    <row r="325" spans="1:1" x14ac:dyDescent="0.2">
      <c r="A325" s="36" t="s">
        <v>34</v>
      </c>
    </row>
    <row r="326" spans="1:1" x14ac:dyDescent="0.2">
      <c r="A326" s="36" t="s">
        <v>99</v>
      </c>
    </row>
    <row r="327" spans="1:1" x14ac:dyDescent="0.2">
      <c r="A327" s="36" t="s">
        <v>87</v>
      </c>
    </row>
    <row r="328" spans="1:1" x14ac:dyDescent="0.2">
      <c r="A328" s="36" t="s">
        <v>32</v>
      </c>
    </row>
    <row r="329" spans="1:1" x14ac:dyDescent="0.2">
      <c r="A329" s="36" t="s">
        <v>81</v>
      </c>
    </row>
    <row r="330" spans="1:1" x14ac:dyDescent="0.2">
      <c r="A330" s="36" t="s">
        <v>50</v>
      </c>
    </row>
    <row r="331" spans="1:1" x14ac:dyDescent="0.2">
      <c r="A331" s="36" t="s">
        <v>160</v>
      </c>
    </row>
    <row r="332" spans="1:1" x14ac:dyDescent="0.2">
      <c r="A332" s="36" t="s">
        <v>101</v>
      </c>
    </row>
    <row r="333" spans="1:1" x14ac:dyDescent="0.2">
      <c r="A333" s="36" t="s">
        <v>136</v>
      </c>
    </row>
    <row r="334" spans="1:1" x14ac:dyDescent="0.2">
      <c r="A334" s="36" t="s">
        <v>76</v>
      </c>
    </row>
    <row r="335" spans="1:1" x14ac:dyDescent="0.2">
      <c r="A335" s="36" t="s">
        <v>195</v>
      </c>
    </row>
    <row r="336" spans="1:1" x14ac:dyDescent="0.2">
      <c r="A336" s="36" t="s">
        <v>204</v>
      </c>
    </row>
    <row r="337" spans="1:1" x14ac:dyDescent="0.2">
      <c r="A337" s="35">
        <v>3</v>
      </c>
    </row>
    <row r="338" spans="1:1" x14ac:dyDescent="0.2">
      <c r="A338" s="36" t="s">
        <v>170</v>
      </c>
    </row>
    <row r="339" spans="1:1" x14ac:dyDescent="0.2">
      <c r="A339" s="36" t="s">
        <v>46</v>
      </c>
    </row>
    <row r="340" spans="1:1" x14ac:dyDescent="0.2">
      <c r="A340" s="36" t="s">
        <v>14</v>
      </c>
    </row>
    <row r="341" spans="1:1" x14ac:dyDescent="0.2">
      <c r="A341" s="36" t="s">
        <v>69</v>
      </c>
    </row>
    <row r="342" spans="1:1" x14ac:dyDescent="0.2">
      <c r="A342" s="36" t="s">
        <v>139</v>
      </c>
    </row>
    <row r="343" spans="1:1" x14ac:dyDescent="0.2">
      <c r="A343" s="36" t="s">
        <v>47</v>
      </c>
    </row>
    <row r="344" spans="1:1" x14ac:dyDescent="0.2">
      <c r="A344" s="36" t="s">
        <v>41</v>
      </c>
    </row>
    <row r="345" spans="1:1" x14ac:dyDescent="0.2">
      <c r="A345" s="36" t="s">
        <v>66</v>
      </c>
    </row>
    <row r="346" spans="1:1" x14ac:dyDescent="0.2">
      <c r="A346" s="36" t="s">
        <v>53</v>
      </c>
    </row>
    <row r="347" spans="1:1" x14ac:dyDescent="0.2">
      <c r="A347" s="36" t="s">
        <v>48</v>
      </c>
    </row>
    <row r="348" spans="1:1" x14ac:dyDescent="0.2">
      <c r="A348" s="36" t="s">
        <v>29</v>
      </c>
    </row>
    <row r="349" spans="1:1" x14ac:dyDescent="0.2">
      <c r="A349" s="36" t="s">
        <v>197</v>
      </c>
    </row>
    <row r="350" spans="1:1" x14ac:dyDescent="0.2">
      <c r="A350" s="36" t="s">
        <v>216</v>
      </c>
    </row>
    <row r="351" spans="1:1" x14ac:dyDescent="0.2">
      <c r="A351" s="36" t="s">
        <v>126</v>
      </c>
    </row>
    <row r="352" spans="1:1" x14ac:dyDescent="0.2">
      <c r="A352" s="36" t="s">
        <v>108</v>
      </c>
    </row>
    <row r="353" spans="1:1" x14ac:dyDescent="0.2">
      <c r="A353" s="36" t="s">
        <v>61</v>
      </c>
    </row>
    <row r="354" spans="1:1" x14ac:dyDescent="0.2">
      <c r="A354" s="36" t="s">
        <v>72</v>
      </c>
    </row>
    <row r="355" spans="1:1" x14ac:dyDescent="0.2">
      <c r="A355" s="36" t="s">
        <v>166</v>
      </c>
    </row>
    <row r="356" spans="1:1" x14ac:dyDescent="0.2">
      <c r="A356" s="36" t="s">
        <v>226</v>
      </c>
    </row>
    <row r="357" spans="1:1" x14ac:dyDescent="0.2">
      <c r="A357" s="36" t="s">
        <v>100</v>
      </c>
    </row>
    <row r="358" spans="1:1" x14ac:dyDescent="0.2">
      <c r="A358" s="36" t="s">
        <v>109</v>
      </c>
    </row>
    <row r="359" spans="1:1" x14ac:dyDescent="0.2">
      <c r="A359" s="36" t="s">
        <v>230</v>
      </c>
    </row>
    <row r="360" spans="1:1" x14ac:dyDescent="0.2">
      <c r="A360" s="36" t="s">
        <v>131</v>
      </c>
    </row>
    <row r="361" spans="1:1" x14ac:dyDescent="0.2">
      <c r="A361" s="36" t="s">
        <v>74</v>
      </c>
    </row>
    <row r="362" spans="1:1" x14ac:dyDescent="0.2">
      <c r="A362" s="36" t="s">
        <v>121</v>
      </c>
    </row>
    <row r="363" spans="1:1" x14ac:dyDescent="0.2">
      <c r="A363" s="36" t="s">
        <v>153</v>
      </c>
    </row>
    <row r="364" spans="1:1" x14ac:dyDescent="0.2">
      <c r="A364" s="36" t="s">
        <v>22</v>
      </c>
    </row>
    <row r="365" spans="1:1" x14ac:dyDescent="0.2">
      <c r="A365" s="36" t="s">
        <v>141</v>
      </c>
    </row>
    <row r="366" spans="1:1" x14ac:dyDescent="0.2">
      <c r="A366" s="36" t="s">
        <v>89</v>
      </c>
    </row>
    <row r="367" spans="1:1" x14ac:dyDescent="0.2">
      <c r="A367" s="36" t="s">
        <v>59</v>
      </c>
    </row>
    <row r="368" spans="1:1" x14ac:dyDescent="0.2">
      <c r="A368" s="36" t="s">
        <v>45</v>
      </c>
    </row>
    <row r="369" spans="1:1" x14ac:dyDescent="0.2">
      <c r="A369" s="36" t="s">
        <v>179</v>
      </c>
    </row>
    <row r="370" spans="1:1" x14ac:dyDescent="0.2">
      <c r="A370" s="36" t="s">
        <v>107</v>
      </c>
    </row>
    <row r="371" spans="1:1" x14ac:dyDescent="0.2">
      <c r="A371" s="36" t="s">
        <v>44</v>
      </c>
    </row>
    <row r="372" spans="1:1" x14ac:dyDescent="0.2">
      <c r="A372" s="36" t="s">
        <v>135</v>
      </c>
    </row>
    <row r="373" spans="1:1" x14ac:dyDescent="0.2">
      <c r="A373" s="36" t="s">
        <v>165</v>
      </c>
    </row>
    <row r="374" spans="1:1" x14ac:dyDescent="0.2">
      <c r="A374" s="36" t="s">
        <v>103</v>
      </c>
    </row>
    <row r="375" spans="1:1" x14ac:dyDescent="0.2">
      <c r="A375" s="36" t="s">
        <v>228</v>
      </c>
    </row>
    <row r="376" spans="1:1" x14ac:dyDescent="0.2">
      <c r="A376" s="36" t="s">
        <v>8</v>
      </c>
    </row>
    <row r="377" spans="1:1" x14ac:dyDescent="0.2">
      <c r="A377" s="36" t="s">
        <v>120</v>
      </c>
    </row>
    <row r="378" spans="1:1" x14ac:dyDescent="0.2">
      <c r="A378" s="36" t="s">
        <v>194</v>
      </c>
    </row>
    <row r="379" spans="1:1" x14ac:dyDescent="0.2">
      <c r="A379" s="36" t="s">
        <v>23</v>
      </c>
    </row>
    <row r="380" spans="1:1" x14ac:dyDescent="0.2">
      <c r="A380" s="36" t="s">
        <v>147</v>
      </c>
    </row>
    <row r="381" spans="1:1" x14ac:dyDescent="0.2">
      <c r="A381" s="36" t="s">
        <v>188</v>
      </c>
    </row>
    <row r="382" spans="1:1" x14ac:dyDescent="0.2">
      <c r="A382" s="36" t="s">
        <v>64</v>
      </c>
    </row>
    <row r="383" spans="1:1" x14ac:dyDescent="0.2">
      <c r="A383" s="36" t="s">
        <v>152</v>
      </c>
    </row>
    <row r="384" spans="1:1" x14ac:dyDescent="0.2">
      <c r="A384" s="36" t="s">
        <v>234</v>
      </c>
    </row>
    <row r="385" spans="1:1" x14ac:dyDescent="0.2">
      <c r="A385" s="36" t="s">
        <v>229</v>
      </c>
    </row>
    <row r="386" spans="1:1" x14ac:dyDescent="0.2">
      <c r="A386" s="36" t="s">
        <v>203</v>
      </c>
    </row>
    <row r="387" spans="1:1" x14ac:dyDescent="0.2">
      <c r="A387" s="36" t="s">
        <v>114</v>
      </c>
    </row>
    <row r="388" spans="1:1" x14ac:dyDescent="0.2">
      <c r="A388" s="36" t="s">
        <v>164</v>
      </c>
    </row>
    <row r="389" spans="1:1" x14ac:dyDescent="0.2">
      <c r="A389" s="36" t="s">
        <v>202</v>
      </c>
    </row>
    <row r="390" spans="1:1" x14ac:dyDescent="0.2">
      <c r="A390" s="36" t="s">
        <v>88</v>
      </c>
    </row>
    <row r="391" spans="1:1" x14ac:dyDescent="0.2">
      <c r="A391" s="36" t="s">
        <v>33</v>
      </c>
    </row>
    <row r="392" spans="1:1" x14ac:dyDescent="0.2">
      <c r="A392" s="36" t="s">
        <v>85</v>
      </c>
    </row>
    <row r="393" spans="1:1" x14ac:dyDescent="0.2">
      <c r="A393" s="36" t="s">
        <v>143</v>
      </c>
    </row>
    <row r="394" spans="1:1" x14ac:dyDescent="0.2">
      <c r="A394" s="36" t="s">
        <v>227</v>
      </c>
    </row>
    <row r="395" spans="1:1" x14ac:dyDescent="0.2">
      <c r="A395" s="36" t="s">
        <v>150</v>
      </c>
    </row>
    <row r="396" spans="1:1" x14ac:dyDescent="0.2">
      <c r="A396" s="36" t="s">
        <v>206</v>
      </c>
    </row>
    <row r="397" spans="1:1" x14ac:dyDescent="0.2">
      <c r="A397" s="36" t="s">
        <v>92</v>
      </c>
    </row>
    <row r="398" spans="1:1" x14ac:dyDescent="0.2">
      <c r="A398" s="36" t="s">
        <v>21</v>
      </c>
    </row>
    <row r="399" spans="1:1" x14ac:dyDescent="0.2">
      <c r="A399" s="36" t="s">
        <v>77</v>
      </c>
    </row>
    <row r="400" spans="1:1" x14ac:dyDescent="0.2">
      <c r="A400" s="36" t="s">
        <v>38</v>
      </c>
    </row>
    <row r="401" spans="1:1" x14ac:dyDescent="0.2">
      <c r="A401" s="36" t="s">
        <v>233</v>
      </c>
    </row>
    <row r="402" spans="1:1" x14ac:dyDescent="0.2">
      <c r="A402" s="36" t="s">
        <v>158</v>
      </c>
    </row>
    <row r="403" spans="1:1" x14ac:dyDescent="0.2">
      <c r="A403" s="36" t="s">
        <v>10</v>
      </c>
    </row>
    <row r="404" spans="1:1" x14ac:dyDescent="0.2">
      <c r="A404" s="36" t="s">
        <v>128</v>
      </c>
    </row>
    <row r="405" spans="1:1" x14ac:dyDescent="0.2">
      <c r="A405" s="36" t="s">
        <v>198</v>
      </c>
    </row>
    <row r="406" spans="1:1" x14ac:dyDescent="0.2">
      <c r="A406" s="36" t="s">
        <v>28</v>
      </c>
    </row>
    <row r="407" spans="1:1" x14ac:dyDescent="0.2">
      <c r="A407" s="36" t="s">
        <v>75</v>
      </c>
    </row>
    <row r="408" spans="1:1" x14ac:dyDescent="0.2">
      <c r="A408" s="36" t="s">
        <v>122</v>
      </c>
    </row>
    <row r="409" spans="1:1" x14ac:dyDescent="0.2">
      <c r="A409" s="36" t="s">
        <v>55</v>
      </c>
    </row>
    <row r="410" spans="1:1" x14ac:dyDescent="0.2">
      <c r="A410" s="36" t="s">
        <v>184</v>
      </c>
    </row>
    <row r="411" spans="1:1" x14ac:dyDescent="0.2">
      <c r="A411" s="36" t="s">
        <v>117</v>
      </c>
    </row>
    <row r="412" spans="1:1" x14ac:dyDescent="0.2">
      <c r="A412" s="36" t="s">
        <v>137</v>
      </c>
    </row>
    <row r="413" spans="1:1" x14ac:dyDescent="0.2">
      <c r="A413" s="36" t="s">
        <v>80</v>
      </c>
    </row>
    <row r="414" spans="1:1" x14ac:dyDescent="0.2">
      <c r="A414" s="36" t="s">
        <v>148</v>
      </c>
    </row>
    <row r="415" spans="1:1" x14ac:dyDescent="0.2">
      <c r="A415" s="36" t="s">
        <v>223</v>
      </c>
    </row>
    <row r="416" spans="1:1" x14ac:dyDescent="0.2">
      <c r="A416" s="36" t="s">
        <v>196</v>
      </c>
    </row>
    <row r="417" spans="1:1" x14ac:dyDescent="0.2">
      <c r="A417" s="36" t="s">
        <v>56</v>
      </c>
    </row>
    <row r="418" spans="1:1" x14ac:dyDescent="0.2">
      <c r="A418" s="36" t="s">
        <v>225</v>
      </c>
    </row>
    <row r="419" spans="1:1" x14ac:dyDescent="0.2">
      <c r="A419" s="36" t="s">
        <v>4</v>
      </c>
    </row>
    <row r="420" spans="1:1" x14ac:dyDescent="0.2">
      <c r="A420" s="36" t="s">
        <v>84</v>
      </c>
    </row>
    <row r="421" spans="1:1" x14ac:dyDescent="0.2">
      <c r="A421" s="36" t="s">
        <v>129</v>
      </c>
    </row>
    <row r="422" spans="1:1" x14ac:dyDescent="0.2">
      <c r="A422" s="36" t="s">
        <v>115</v>
      </c>
    </row>
    <row r="423" spans="1:1" x14ac:dyDescent="0.2">
      <c r="A423" s="36" t="s">
        <v>49</v>
      </c>
    </row>
    <row r="424" spans="1:1" x14ac:dyDescent="0.2">
      <c r="A424" s="36" t="s">
        <v>130</v>
      </c>
    </row>
    <row r="425" spans="1:1" x14ac:dyDescent="0.2">
      <c r="A425" s="36" t="s">
        <v>238</v>
      </c>
    </row>
    <row r="426" spans="1:1" x14ac:dyDescent="0.2">
      <c r="A426" s="36" t="s">
        <v>146</v>
      </c>
    </row>
    <row r="427" spans="1:1" x14ac:dyDescent="0.2">
      <c r="A427" s="36" t="s">
        <v>193</v>
      </c>
    </row>
    <row r="428" spans="1:1" x14ac:dyDescent="0.2">
      <c r="A428" s="36" t="s">
        <v>106</v>
      </c>
    </row>
    <row r="429" spans="1:1" x14ac:dyDescent="0.2">
      <c r="A429" s="36" t="s">
        <v>118</v>
      </c>
    </row>
    <row r="430" spans="1:1" x14ac:dyDescent="0.2">
      <c r="A430" s="36" t="s">
        <v>140</v>
      </c>
    </row>
    <row r="431" spans="1:1" x14ac:dyDescent="0.2">
      <c r="A431" s="36" t="s">
        <v>52</v>
      </c>
    </row>
    <row r="432" spans="1:1" x14ac:dyDescent="0.2">
      <c r="A432" s="36" t="s">
        <v>18</v>
      </c>
    </row>
    <row r="433" spans="1:1" x14ac:dyDescent="0.2">
      <c r="A433" s="36" t="s">
        <v>20</v>
      </c>
    </row>
    <row r="434" spans="1:1" x14ac:dyDescent="0.2">
      <c r="A434" s="36" t="s">
        <v>98</v>
      </c>
    </row>
    <row r="435" spans="1:1" x14ac:dyDescent="0.2">
      <c r="A435" s="36" t="s">
        <v>9</v>
      </c>
    </row>
    <row r="436" spans="1:1" x14ac:dyDescent="0.2">
      <c r="A436" s="36" t="s">
        <v>133</v>
      </c>
    </row>
    <row r="437" spans="1:1" x14ac:dyDescent="0.2">
      <c r="A437" s="36" t="s">
        <v>54</v>
      </c>
    </row>
    <row r="438" spans="1:1" x14ac:dyDescent="0.2">
      <c r="A438" s="36" t="s">
        <v>102</v>
      </c>
    </row>
    <row r="439" spans="1:1" x14ac:dyDescent="0.2">
      <c r="A439" s="36" t="s">
        <v>191</v>
      </c>
    </row>
    <row r="440" spans="1:1" x14ac:dyDescent="0.2">
      <c r="A440" s="36" t="s">
        <v>12</v>
      </c>
    </row>
    <row r="441" spans="1:1" x14ac:dyDescent="0.2">
      <c r="A441" s="36" t="s">
        <v>25</v>
      </c>
    </row>
    <row r="442" spans="1:1" x14ac:dyDescent="0.2">
      <c r="A442" s="36" t="s">
        <v>209</v>
      </c>
    </row>
    <row r="443" spans="1:1" x14ac:dyDescent="0.2">
      <c r="A443" s="36" t="s">
        <v>7</v>
      </c>
    </row>
    <row r="444" spans="1:1" x14ac:dyDescent="0.2">
      <c r="A444" s="36" t="s">
        <v>37</v>
      </c>
    </row>
    <row r="445" spans="1:1" x14ac:dyDescent="0.2">
      <c r="A445" s="36" t="s">
        <v>154</v>
      </c>
    </row>
    <row r="446" spans="1:1" x14ac:dyDescent="0.2">
      <c r="A446" s="36" t="s">
        <v>17</v>
      </c>
    </row>
    <row r="447" spans="1:1" x14ac:dyDescent="0.2">
      <c r="A447" s="36" t="s">
        <v>161</v>
      </c>
    </row>
    <row r="448" spans="1:1" x14ac:dyDescent="0.2">
      <c r="A448" s="36" t="s">
        <v>96</v>
      </c>
    </row>
    <row r="449" spans="1:1" x14ac:dyDescent="0.2">
      <c r="A449" s="36" t="s">
        <v>159</v>
      </c>
    </row>
    <row r="450" spans="1:1" x14ac:dyDescent="0.2">
      <c r="A450" s="36" t="s">
        <v>144</v>
      </c>
    </row>
    <row r="451" spans="1:1" x14ac:dyDescent="0.2">
      <c r="A451" s="36" t="s">
        <v>91</v>
      </c>
    </row>
    <row r="452" spans="1:1" x14ac:dyDescent="0.2">
      <c r="A452" s="36" t="s">
        <v>163</v>
      </c>
    </row>
    <row r="453" spans="1:1" x14ac:dyDescent="0.2">
      <c r="A453" s="36" t="s">
        <v>125</v>
      </c>
    </row>
    <row r="454" spans="1:1" x14ac:dyDescent="0.2">
      <c r="A454" s="36" t="s">
        <v>31</v>
      </c>
    </row>
    <row r="455" spans="1:1" x14ac:dyDescent="0.2">
      <c r="A455" s="36" t="s">
        <v>60</v>
      </c>
    </row>
    <row r="456" spans="1:1" x14ac:dyDescent="0.2">
      <c r="A456" s="36" t="s">
        <v>78</v>
      </c>
    </row>
    <row r="457" spans="1:1" x14ac:dyDescent="0.2">
      <c r="A457" s="36" t="s">
        <v>73</v>
      </c>
    </row>
    <row r="458" spans="1:1" x14ac:dyDescent="0.2">
      <c r="A458" s="36" t="s">
        <v>16</v>
      </c>
    </row>
    <row r="459" spans="1:1" x14ac:dyDescent="0.2">
      <c r="A459" s="36" t="s">
        <v>57</v>
      </c>
    </row>
    <row r="460" spans="1:1" x14ac:dyDescent="0.2">
      <c r="A460" s="36" t="s">
        <v>224</v>
      </c>
    </row>
    <row r="461" spans="1:1" x14ac:dyDescent="0.2">
      <c r="A461" s="36" t="s">
        <v>15</v>
      </c>
    </row>
    <row r="462" spans="1:1" x14ac:dyDescent="0.2">
      <c r="A462" s="36" t="s">
        <v>94</v>
      </c>
    </row>
    <row r="463" spans="1:1" x14ac:dyDescent="0.2">
      <c r="A463" s="36" t="s">
        <v>13</v>
      </c>
    </row>
    <row r="464" spans="1:1" x14ac:dyDescent="0.2">
      <c r="A464" s="36" t="s">
        <v>112</v>
      </c>
    </row>
    <row r="465" spans="1:1" x14ac:dyDescent="0.2">
      <c r="A465" s="36" t="s">
        <v>93</v>
      </c>
    </row>
    <row r="466" spans="1:1" x14ac:dyDescent="0.2">
      <c r="A466" s="36" t="s">
        <v>110</v>
      </c>
    </row>
    <row r="467" spans="1:1" x14ac:dyDescent="0.2">
      <c r="A467" s="36" t="s">
        <v>62</v>
      </c>
    </row>
    <row r="468" spans="1:1" x14ac:dyDescent="0.2">
      <c r="A468" s="36" t="s">
        <v>182</v>
      </c>
    </row>
    <row r="469" spans="1:1" x14ac:dyDescent="0.2">
      <c r="A469" s="36" t="s">
        <v>83</v>
      </c>
    </row>
    <row r="470" spans="1:1" x14ac:dyDescent="0.2">
      <c r="A470" s="36" t="s">
        <v>27</v>
      </c>
    </row>
    <row r="471" spans="1:1" x14ac:dyDescent="0.2">
      <c r="A471" s="36" t="s">
        <v>97</v>
      </c>
    </row>
    <row r="472" spans="1:1" x14ac:dyDescent="0.2">
      <c r="A472" s="36" t="s">
        <v>43</v>
      </c>
    </row>
    <row r="473" spans="1:1" x14ac:dyDescent="0.2">
      <c r="A473" s="36" t="s">
        <v>70</v>
      </c>
    </row>
    <row r="474" spans="1:1" x14ac:dyDescent="0.2">
      <c r="A474" s="36" t="s">
        <v>149</v>
      </c>
    </row>
    <row r="475" spans="1:1" x14ac:dyDescent="0.2">
      <c r="A475" s="36" t="s">
        <v>104</v>
      </c>
    </row>
    <row r="476" spans="1:1" x14ac:dyDescent="0.2">
      <c r="A476" s="36" t="s">
        <v>189</v>
      </c>
    </row>
    <row r="477" spans="1:1" x14ac:dyDescent="0.2">
      <c r="A477" s="36" t="s">
        <v>132</v>
      </c>
    </row>
    <row r="478" spans="1:1" x14ac:dyDescent="0.2">
      <c r="A478" s="36" t="s">
        <v>156</v>
      </c>
    </row>
    <row r="479" spans="1:1" x14ac:dyDescent="0.2">
      <c r="A479" s="36" t="s">
        <v>236</v>
      </c>
    </row>
    <row r="480" spans="1:1" x14ac:dyDescent="0.2">
      <c r="A480" s="36" t="s">
        <v>231</v>
      </c>
    </row>
    <row r="481" spans="1:1" x14ac:dyDescent="0.2">
      <c r="A481" s="36" t="s">
        <v>36</v>
      </c>
    </row>
    <row r="482" spans="1:1" x14ac:dyDescent="0.2">
      <c r="A482" s="36" t="s">
        <v>157</v>
      </c>
    </row>
    <row r="483" spans="1:1" x14ac:dyDescent="0.2">
      <c r="A483" s="36" t="s">
        <v>119</v>
      </c>
    </row>
    <row r="484" spans="1:1" x14ac:dyDescent="0.2">
      <c r="A484" s="36" t="s">
        <v>134</v>
      </c>
    </row>
    <row r="485" spans="1:1" x14ac:dyDescent="0.2">
      <c r="A485" s="36" t="s">
        <v>68</v>
      </c>
    </row>
    <row r="486" spans="1:1" x14ac:dyDescent="0.2">
      <c r="A486" s="36" t="s">
        <v>116</v>
      </c>
    </row>
    <row r="487" spans="1:1" x14ac:dyDescent="0.2">
      <c r="A487" s="36" t="s">
        <v>82</v>
      </c>
    </row>
    <row r="488" spans="1:1" x14ac:dyDescent="0.2">
      <c r="A488" s="36" t="s">
        <v>35</v>
      </c>
    </row>
    <row r="489" spans="1:1" x14ac:dyDescent="0.2">
      <c r="A489" s="36" t="s">
        <v>237</v>
      </c>
    </row>
    <row r="490" spans="1:1" x14ac:dyDescent="0.2">
      <c r="A490" s="36" t="s">
        <v>24</v>
      </c>
    </row>
    <row r="491" spans="1:1" x14ac:dyDescent="0.2">
      <c r="A491" s="36" t="s">
        <v>34</v>
      </c>
    </row>
    <row r="492" spans="1:1" x14ac:dyDescent="0.2">
      <c r="A492" s="36" t="s">
        <v>99</v>
      </c>
    </row>
    <row r="493" spans="1:1" x14ac:dyDescent="0.2">
      <c r="A493" s="36" t="s">
        <v>87</v>
      </c>
    </row>
    <row r="494" spans="1:1" x14ac:dyDescent="0.2">
      <c r="A494" s="36" t="s">
        <v>32</v>
      </c>
    </row>
    <row r="495" spans="1:1" x14ac:dyDescent="0.2">
      <c r="A495" s="36" t="s">
        <v>81</v>
      </c>
    </row>
    <row r="496" spans="1:1" x14ac:dyDescent="0.2">
      <c r="A496" s="36" t="s">
        <v>232</v>
      </c>
    </row>
    <row r="497" spans="1:1" x14ac:dyDescent="0.2">
      <c r="A497" s="36" t="s">
        <v>50</v>
      </c>
    </row>
    <row r="498" spans="1:1" x14ac:dyDescent="0.2">
      <c r="A498" s="36" t="s">
        <v>160</v>
      </c>
    </row>
    <row r="499" spans="1:1" x14ac:dyDescent="0.2">
      <c r="A499" s="36" t="s">
        <v>101</v>
      </c>
    </row>
    <row r="500" spans="1:1" x14ac:dyDescent="0.2">
      <c r="A500" s="36" t="s">
        <v>136</v>
      </c>
    </row>
    <row r="501" spans="1:1" x14ac:dyDescent="0.2">
      <c r="A501" s="36" t="s">
        <v>76</v>
      </c>
    </row>
    <row r="502" spans="1:1" x14ac:dyDescent="0.2">
      <c r="A502" s="36" t="s">
        <v>235</v>
      </c>
    </row>
    <row r="503" spans="1:1" x14ac:dyDescent="0.2">
      <c r="A503" s="36" t="s">
        <v>195</v>
      </c>
    </row>
    <row r="504" spans="1:1" x14ac:dyDescent="0.2">
      <c r="A504" s="35">
        <v>4</v>
      </c>
    </row>
    <row r="505" spans="1:1" x14ac:dyDescent="0.2">
      <c r="A505" s="36" t="s">
        <v>170</v>
      </c>
    </row>
    <row r="506" spans="1:1" x14ac:dyDescent="0.2">
      <c r="A506" s="36" t="s">
        <v>218</v>
      </c>
    </row>
    <row r="507" spans="1:1" x14ac:dyDescent="0.2">
      <c r="A507" s="36" t="s">
        <v>46</v>
      </c>
    </row>
    <row r="508" spans="1:1" x14ac:dyDescent="0.2">
      <c r="A508" s="36" t="s">
        <v>69</v>
      </c>
    </row>
    <row r="509" spans="1:1" x14ac:dyDescent="0.2">
      <c r="A509" s="36" t="s">
        <v>139</v>
      </c>
    </row>
    <row r="510" spans="1:1" x14ac:dyDescent="0.2">
      <c r="A510" s="36" t="s">
        <v>47</v>
      </c>
    </row>
    <row r="511" spans="1:1" x14ac:dyDescent="0.2">
      <c r="A511" s="36" t="s">
        <v>66</v>
      </c>
    </row>
    <row r="512" spans="1:1" x14ac:dyDescent="0.2">
      <c r="A512" s="36" t="s">
        <v>53</v>
      </c>
    </row>
    <row r="513" spans="1:1" x14ac:dyDescent="0.2">
      <c r="A513" s="36" t="s">
        <v>48</v>
      </c>
    </row>
    <row r="514" spans="1:1" x14ac:dyDescent="0.2">
      <c r="A514" s="36" t="s">
        <v>29</v>
      </c>
    </row>
    <row r="515" spans="1:1" x14ac:dyDescent="0.2">
      <c r="A515" s="36" t="s">
        <v>197</v>
      </c>
    </row>
    <row r="516" spans="1:1" x14ac:dyDescent="0.2">
      <c r="A516" s="36" t="s">
        <v>216</v>
      </c>
    </row>
    <row r="517" spans="1:1" x14ac:dyDescent="0.2">
      <c r="A517" s="36" t="s">
        <v>126</v>
      </c>
    </row>
    <row r="518" spans="1:1" x14ac:dyDescent="0.2">
      <c r="A518" s="36" t="s">
        <v>108</v>
      </c>
    </row>
    <row r="519" spans="1:1" x14ac:dyDescent="0.2">
      <c r="A519" s="36" t="s">
        <v>61</v>
      </c>
    </row>
    <row r="520" spans="1:1" x14ac:dyDescent="0.2">
      <c r="A520" s="36" t="s">
        <v>72</v>
      </c>
    </row>
    <row r="521" spans="1:1" x14ac:dyDescent="0.2">
      <c r="A521" s="36" t="s">
        <v>247</v>
      </c>
    </row>
    <row r="522" spans="1:1" x14ac:dyDescent="0.2">
      <c r="A522" s="36" t="s">
        <v>166</v>
      </c>
    </row>
    <row r="523" spans="1:1" x14ac:dyDescent="0.2">
      <c r="A523" s="36" t="s">
        <v>226</v>
      </c>
    </row>
    <row r="524" spans="1:1" x14ac:dyDescent="0.2">
      <c r="A524" s="36" t="s">
        <v>100</v>
      </c>
    </row>
    <row r="525" spans="1:1" x14ac:dyDescent="0.2">
      <c r="A525" s="36" t="s">
        <v>109</v>
      </c>
    </row>
    <row r="526" spans="1:1" x14ac:dyDescent="0.2">
      <c r="A526" s="36" t="s">
        <v>131</v>
      </c>
    </row>
    <row r="527" spans="1:1" x14ac:dyDescent="0.2">
      <c r="A527" s="36" t="s">
        <v>74</v>
      </c>
    </row>
    <row r="528" spans="1:1" x14ac:dyDescent="0.2">
      <c r="A528" s="36" t="s">
        <v>121</v>
      </c>
    </row>
    <row r="529" spans="1:1" x14ac:dyDescent="0.2">
      <c r="A529" s="36" t="s">
        <v>153</v>
      </c>
    </row>
    <row r="530" spans="1:1" x14ac:dyDescent="0.2">
      <c r="A530" s="36" t="s">
        <v>22</v>
      </c>
    </row>
    <row r="531" spans="1:1" x14ac:dyDescent="0.2">
      <c r="A531" s="36" t="s">
        <v>89</v>
      </c>
    </row>
    <row r="532" spans="1:1" x14ac:dyDescent="0.2">
      <c r="A532" s="36" t="s">
        <v>59</v>
      </c>
    </row>
    <row r="533" spans="1:1" x14ac:dyDescent="0.2">
      <c r="A533" s="36" t="s">
        <v>45</v>
      </c>
    </row>
    <row r="534" spans="1:1" x14ac:dyDescent="0.2">
      <c r="A534" s="36" t="s">
        <v>107</v>
      </c>
    </row>
    <row r="535" spans="1:1" x14ac:dyDescent="0.2">
      <c r="A535" s="36" t="s">
        <v>44</v>
      </c>
    </row>
    <row r="536" spans="1:1" x14ac:dyDescent="0.2">
      <c r="A536" s="36" t="s">
        <v>165</v>
      </c>
    </row>
    <row r="537" spans="1:1" x14ac:dyDescent="0.2">
      <c r="A537" s="36" t="s">
        <v>103</v>
      </c>
    </row>
    <row r="538" spans="1:1" x14ac:dyDescent="0.2">
      <c r="A538" s="36" t="s">
        <v>228</v>
      </c>
    </row>
    <row r="539" spans="1:1" x14ac:dyDescent="0.2">
      <c r="A539" s="36" t="s">
        <v>8</v>
      </c>
    </row>
    <row r="540" spans="1:1" x14ac:dyDescent="0.2">
      <c r="A540" s="36" t="s">
        <v>120</v>
      </c>
    </row>
    <row r="541" spans="1:1" x14ac:dyDescent="0.2">
      <c r="A541" s="36" t="s">
        <v>23</v>
      </c>
    </row>
    <row r="542" spans="1:1" x14ac:dyDescent="0.2">
      <c r="A542" s="36" t="s">
        <v>79</v>
      </c>
    </row>
    <row r="543" spans="1:1" x14ac:dyDescent="0.2">
      <c r="A543" s="36" t="s">
        <v>147</v>
      </c>
    </row>
    <row r="544" spans="1:1" x14ac:dyDescent="0.2">
      <c r="A544" s="36" t="s">
        <v>152</v>
      </c>
    </row>
    <row r="545" spans="1:1" x14ac:dyDescent="0.2">
      <c r="A545" s="36" t="s">
        <v>234</v>
      </c>
    </row>
    <row r="546" spans="1:1" x14ac:dyDescent="0.2">
      <c r="A546" s="36" t="s">
        <v>164</v>
      </c>
    </row>
    <row r="547" spans="1:1" x14ac:dyDescent="0.2">
      <c r="A547" s="36" t="s">
        <v>202</v>
      </c>
    </row>
    <row r="548" spans="1:1" x14ac:dyDescent="0.2">
      <c r="A548" s="36" t="s">
        <v>88</v>
      </c>
    </row>
    <row r="549" spans="1:1" x14ac:dyDescent="0.2">
      <c r="A549" s="36" t="s">
        <v>33</v>
      </c>
    </row>
    <row r="550" spans="1:1" x14ac:dyDescent="0.2">
      <c r="A550" s="36" t="s">
        <v>85</v>
      </c>
    </row>
    <row r="551" spans="1:1" x14ac:dyDescent="0.2">
      <c r="A551" s="36" t="s">
        <v>143</v>
      </c>
    </row>
    <row r="552" spans="1:1" x14ac:dyDescent="0.2">
      <c r="A552" s="36" t="s">
        <v>253</v>
      </c>
    </row>
    <row r="553" spans="1:1" x14ac:dyDescent="0.2">
      <c r="A553" s="36" t="s">
        <v>227</v>
      </c>
    </row>
    <row r="554" spans="1:1" x14ac:dyDescent="0.2">
      <c r="A554" s="36" t="s">
        <v>150</v>
      </c>
    </row>
    <row r="555" spans="1:1" x14ac:dyDescent="0.2">
      <c r="A555" s="36" t="s">
        <v>21</v>
      </c>
    </row>
    <row r="556" spans="1:1" x14ac:dyDescent="0.2">
      <c r="A556" s="36" t="s">
        <v>19</v>
      </c>
    </row>
    <row r="557" spans="1:1" x14ac:dyDescent="0.2">
      <c r="A557" s="36" t="s">
        <v>77</v>
      </c>
    </row>
    <row r="558" spans="1:1" x14ac:dyDescent="0.2">
      <c r="A558" s="36" t="s">
        <v>190</v>
      </c>
    </row>
    <row r="559" spans="1:1" x14ac:dyDescent="0.2">
      <c r="A559" s="36" t="s">
        <v>38</v>
      </c>
    </row>
    <row r="560" spans="1:1" x14ac:dyDescent="0.2">
      <c r="A560" s="36" t="s">
        <v>158</v>
      </c>
    </row>
    <row r="561" spans="1:1" x14ac:dyDescent="0.2">
      <c r="A561" s="36" t="s">
        <v>58</v>
      </c>
    </row>
    <row r="562" spans="1:1" x14ac:dyDescent="0.2">
      <c r="A562" s="36" t="s">
        <v>10</v>
      </c>
    </row>
    <row r="563" spans="1:1" x14ac:dyDescent="0.2">
      <c r="A563" s="36" t="s">
        <v>128</v>
      </c>
    </row>
    <row r="564" spans="1:1" x14ac:dyDescent="0.2">
      <c r="A564" s="36" t="s">
        <v>28</v>
      </c>
    </row>
    <row r="565" spans="1:1" x14ac:dyDescent="0.2">
      <c r="A565" s="36" t="s">
        <v>75</v>
      </c>
    </row>
    <row r="566" spans="1:1" x14ac:dyDescent="0.2">
      <c r="A566" s="36" t="s">
        <v>90</v>
      </c>
    </row>
    <row r="567" spans="1:1" x14ac:dyDescent="0.2">
      <c r="A567" s="36" t="s">
        <v>67</v>
      </c>
    </row>
    <row r="568" spans="1:1" x14ac:dyDescent="0.2">
      <c r="A568" s="36" t="s">
        <v>184</v>
      </c>
    </row>
    <row r="569" spans="1:1" x14ac:dyDescent="0.2">
      <c r="A569" s="36" t="s">
        <v>117</v>
      </c>
    </row>
    <row r="570" spans="1:1" x14ac:dyDescent="0.2">
      <c r="A570" s="36" t="s">
        <v>137</v>
      </c>
    </row>
    <row r="571" spans="1:1" x14ac:dyDescent="0.2">
      <c r="A571" s="36" t="s">
        <v>148</v>
      </c>
    </row>
    <row r="572" spans="1:1" x14ac:dyDescent="0.2">
      <c r="A572" s="36" t="s">
        <v>248</v>
      </c>
    </row>
    <row r="573" spans="1:1" x14ac:dyDescent="0.2">
      <c r="A573" s="36" t="s">
        <v>196</v>
      </c>
    </row>
    <row r="574" spans="1:1" x14ac:dyDescent="0.2">
      <c r="A574" s="36" t="s">
        <v>252</v>
      </c>
    </row>
    <row r="575" spans="1:1" x14ac:dyDescent="0.2">
      <c r="A575" s="36" t="s">
        <v>56</v>
      </c>
    </row>
    <row r="576" spans="1:1" x14ac:dyDescent="0.2">
      <c r="A576" s="36" t="s">
        <v>4</v>
      </c>
    </row>
    <row r="577" spans="1:1" x14ac:dyDescent="0.2">
      <c r="A577" s="36" t="s">
        <v>84</v>
      </c>
    </row>
    <row r="578" spans="1:1" x14ac:dyDescent="0.2">
      <c r="A578" s="36" t="s">
        <v>129</v>
      </c>
    </row>
    <row r="579" spans="1:1" x14ac:dyDescent="0.2">
      <c r="A579" s="36" t="s">
        <v>49</v>
      </c>
    </row>
    <row r="580" spans="1:1" x14ac:dyDescent="0.2">
      <c r="A580" s="36" t="s">
        <v>130</v>
      </c>
    </row>
    <row r="581" spans="1:1" x14ac:dyDescent="0.2">
      <c r="A581" s="36" t="s">
        <v>238</v>
      </c>
    </row>
    <row r="582" spans="1:1" x14ac:dyDescent="0.2">
      <c r="A582" s="36" t="s">
        <v>146</v>
      </c>
    </row>
    <row r="583" spans="1:1" x14ac:dyDescent="0.2">
      <c r="A583" s="36" t="s">
        <v>106</v>
      </c>
    </row>
    <row r="584" spans="1:1" x14ac:dyDescent="0.2">
      <c r="A584" s="36" t="s">
        <v>118</v>
      </c>
    </row>
    <row r="585" spans="1:1" x14ac:dyDescent="0.2">
      <c r="A585" s="36" t="s">
        <v>52</v>
      </c>
    </row>
    <row r="586" spans="1:1" x14ac:dyDescent="0.2">
      <c r="A586" s="36" t="s">
        <v>18</v>
      </c>
    </row>
    <row r="587" spans="1:1" x14ac:dyDescent="0.2">
      <c r="A587" s="36" t="s">
        <v>39</v>
      </c>
    </row>
    <row r="588" spans="1:1" x14ac:dyDescent="0.2">
      <c r="A588" s="36" t="s">
        <v>51</v>
      </c>
    </row>
    <row r="589" spans="1:1" x14ac:dyDescent="0.2">
      <c r="A589" s="36" t="s">
        <v>20</v>
      </c>
    </row>
    <row r="590" spans="1:1" x14ac:dyDescent="0.2">
      <c r="A590" s="36" t="s">
        <v>98</v>
      </c>
    </row>
    <row r="591" spans="1:1" x14ac:dyDescent="0.2">
      <c r="A591" s="36" t="s">
        <v>251</v>
      </c>
    </row>
    <row r="592" spans="1:1" x14ac:dyDescent="0.2">
      <c r="A592" s="36" t="s">
        <v>54</v>
      </c>
    </row>
    <row r="593" spans="1:1" x14ac:dyDescent="0.2">
      <c r="A593" s="36" t="s">
        <v>102</v>
      </c>
    </row>
    <row r="594" spans="1:1" x14ac:dyDescent="0.2">
      <c r="A594" s="36" t="s">
        <v>186</v>
      </c>
    </row>
    <row r="595" spans="1:1" x14ac:dyDescent="0.2">
      <c r="A595" s="36" t="s">
        <v>138</v>
      </c>
    </row>
    <row r="596" spans="1:1" x14ac:dyDescent="0.2">
      <c r="A596" s="36" t="s">
        <v>191</v>
      </c>
    </row>
    <row r="597" spans="1:1" x14ac:dyDescent="0.2">
      <c r="A597" s="36" t="s">
        <v>12</v>
      </c>
    </row>
    <row r="598" spans="1:1" x14ac:dyDescent="0.2">
      <c r="A598" s="36" t="s">
        <v>25</v>
      </c>
    </row>
    <row r="599" spans="1:1" x14ac:dyDescent="0.2">
      <c r="A599" s="36" t="s">
        <v>249</v>
      </c>
    </row>
    <row r="600" spans="1:1" x14ac:dyDescent="0.2">
      <c r="A600" s="36" t="s">
        <v>209</v>
      </c>
    </row>
    <row r="601" spans="1:1" x14ac:dyDescent="0.2">
      <c r="A601" s="36" t="s">
        <v>7</v>
      </c>
    </row>
    <row r="602" spans="1:1" x14ac:dyDescent="0.2">
      <c r="A602" s="36" t="s">
        <v>154</v>
      </c>
    </row>
    <row r="603" spans="1:1" x14ac:dyDescent="0.2">
      <c r="A603" s="36" t="s">
        <v>17</v>
      </c>
    </row>
    <row r="604" spans="1:1" x14ac:dyDescent="0.2">
      <c r="A604" s="36" t="s">
        <v>161</v>
      </c>
    </row>
    <row r="605" spans="1:1" x14ac:dyDescent="0.2">
      <c r="A605" s="36" t="s">
        <v>96</v>
      </c>
    </row>
    <row r="606" spans="1:1" x14ac:dyDescent="0.2">
      <c r="A606" s="36" t="s">
        <v>185</v>
      </c>
    </row>
    <row r="607" spans="1:1" x14ac:dyDescent="0.2">
      <c r="A607" s="36" t="s">
        <v>144</v>
      </c>
    </row>
    <row r="608" spans="1:1" x14ac:dyDescent="0.2">
      <c r="A608" s="36" t="s">
        <v>163</v>
      </c>
    </row>
    <row r="609" spans="1:1" x14ac:dyDescent="0.2">
      <c r="A609" s="36" t="s">
        <v>125</v>
      </c>
    </row>
    <row r="610" spans="1:1" x14ac:dyDescent="0.2">
      <c r="A610" s="36" t="s">
        <v>31</v>
      </c>
    </row>
    <row r="611" spans="1:1" x14ac:dyDescent="0.2">
      <c r="A611" s="36" t="s">
        <v>162</v>
      </c>
    </row>
    <row r="612" spans="1:1" x14ac:dyDescent="0.2">
      <c r="A612" s="36" t="s">
        <v>60</v>
      </c>
    </row>
    <row r="613" spans="1:1" x14ac:dyDescent="0.2">
      <c r="A613" s="36" t="s">
        <v>217</v>
      </c>
    </row>
    <row r="614" spans="1:1" x14ac:dyDescent="0.2">
      <c r="A614" s="36" t="s">
        <v>78</v>
      </c>
    </row>
    <row r="615" spans="1:1" x14ac:dyDescent="0.2">
      <c r="A615" s="36" t="s">
        <v>73</v>
      </c>
    </row>
    <row r="616" spans="1:1" x14ac:dyDescent="0.2">
      <c r="A616" s="36" t="s">
        <v>16</v>
      </c>
    </row>
    <row r="617" spans="1:1" x14ac:dyDescent="0.2">
      <c r="A617" s="36" t="s">
        <v>57</v>
      </c>
    </row>
    <row r="618" spans="1:1" x14ac:dyDescent="0.2">
      <c r="A618" s="36" t="s">
        <v>15</v>
      </c>
    </row>
    <row r="619" spans="1:1" x14ac:dyDescent="0.2">
      <c r="A619" s="36" t="s">
        <v>94</v>
      </c>
    </row>
    <row r="620" spans="1:1" x14ac:dyDescent="0.2">
      <c r="A620" s="36" t="s">
        <v>112</v>
      </c>
    </row>
    <row r="621" spans="1:1" x14ac:dyDescent="0.2">
      <c r="A621" s="36" t="s">
        <v>93</v>
      </c>
    </row>
    <row r="622" spans="1:1" x14ac:dyDescent="0.2">
      <c r="A622" s="36" t="s">
        <v>142</v>
      </c>
    </row>
    <row r="623" spans="1:1" x14ac:dyDescent="0.2">
      <c r="A623" s="36" t="s">
        <v>110</v>
      </c>
    </row>
    <row r="624" spans="1:1" x14ac:dyDescent="0.2">
      <c r="A624" s="36" t="s">
        <v>62</v>
      </c>
    </row>
    <row r="625" spans="1:1" x14ac:dyDescent="0.2">
      <c r="A625" s="36" t="s">
        <v>83</v>
      </c>
    </row>
    <row r="626" spans="1:1" x14ac:dyDescent="0.2">
      <c r="A626" s="36" t="s">
        <v>27</v>
      </c>
    </row>
    <row r="627" spans="1:1" x14ac:dyDescent="0.2">
      <c r="A627" s="36" t="s">
        <v>246</v>
      </c>
    </row>
    <row r="628" spans="1:1" x14ac:dyDescent="0.2">
      <c r="A628" s="36" t="s">
        <v>207</v>
      </c>
    </row>
    <row r="629" spans="1:1" x14ac:dyDescent="0.2">
      <c r="A629" s="36" t="s">
        <v>97</v>
      </c>
    </row>
    <row r="630" spans="1:1" x14ac:dyDescent="0.2">
      <c r="A630" s="36" t="s">
        <v>43</v>
      </c>
    </row>
    <row r="631" spans="1:1" x14ac:dyDescent="0.2">
      <c r="A631" s="36" t="s">
        <v>70</v>
      </c>
    </row>
    <row r="632" spans="1:1" x14ac:dyDescent="0.2">
      <c r="A632" s="36" t="s">
        <v>149</v>
      </c>
    </row>
    <row r="633" spans="1:1" x14ac:dyDescent="0.2">
      <c r="A633" s="36" t="s">
        <v>104</v>
      </c>
    </row>
    <row r="634" spans="1:1" x14ac:dyDescent="0.2">
      <c r="A634" s="36" t="s">
        <v>189</v>
      </c>
    </row>
    <row r="635" spans="1:1" x14ac:dyDescent="0.2">
      <c r="A635" s="36" t="s">
        <v>132</v>
      </c>
    </row>
    <row r="636" spans="1:1" x14ac:dyDescent="0.2">
      <c r="A636" s="36" t="s">
        <v>245</v>
      </c>
    </row>
    <row r="637" spans="1:1" x14ac:dyDescent="0.2">
      <c r="A637" s="36" t="s">
        <v>36</v>
      </c>
    </row>
    <row r="638" spans="1:1" x14ac:dyDescent="0.2">
      <c r="A638" s="36" t="s">
        <v>157</v>
      </c>
    </row>
    <row r="639" spans="1:1" x14ac:dyDescent="0.2">
      <c r="A639" s="36" t="s">
        <v>119</v>
      </c>
    </row>
    <row r="640" spans="1:1" x14ac:dyDescent="0.2">
      <c r="A640" s="36" t="s">
        <v>134</v>
      </c>
    </row>
    <row r="641" spans="1:1" x14ac:dyDescent="0.2">
      <c r="A641" s="36" t="s">
        <v>68</v>
      </c>
    </row>
    <row r="642" spans="1:1" x14ac:dyDescent="0.2">
      <c r="A642" s="36" t="s">
        <v>208</v>
      </c>
    </row>
    <row r="643" spans="1:1" x14ac:dyDescent="0.2">
      <c r="A643" s="36" t="s">
        <v>116</v>
      </c>
    </row>
    <row r="644" spans="1:1" x14ac:dyDescent="0.2">
      <c r="A644" s="36" t="s">
        <v>82</v>
      </c>
    </row>
    <row r="645" spans="1:1" x14ac:dyDescent="0.2">
      <c r="A645" s="36" t="s">
        <v>35</v>
      </c>
    </row>
    <row r="646" spans="1:1" x14ac:dyDescent="0.2">
      <c r="A646" s="36" t="s">
        <v>214</v>
      </c>
    </row>
    <row r="647" spans="1:1" x14ac:dyDescent="0.2">
      <c r="A647" s="36" t="s">
        <v>24</v>
      </c>
    </row>
    <row r="648" spans="1:1" x14ac:dyDescent="0.2">
      <c r="A648" s="36" t="s">
        <v>34</v>
      </c>
    </row>
    <row r="649" spans="1:1" x14ac:dyDescent="0.2">
      <c r="A649" s="36" t="s">
        <v>99</v>
      </c>
    </row>
    <row r="650" spans="1:1" x14ac:dyDescent="0.2">
      <c r="A650" s="36" t="s">
        <v>87</v>
      </c>
    </row>
    <row r="651" spans="1:1" x14ac:dyDescent="0.2">
      <c r="A651" s="36" t="s">
        <v>32</v>
      </c>
    </row>
    <row r="652" spans="1:1" x14ac:dyDescent="0.2">
      <c r="A652" s="36" t="s">
        <v>250</v>
      </c>
    </row>
    <row r="653" spans="1:1" x14ac:dyDescent="0.2">
      <c r="A653" s="36" t="s">
        <v>50</v>
      </c>
    </row>
    <row r="654" spans="1:1" x14ac:dyDescent="0.2">
      <c r="A654" s="36" t="s">
        <v>160</v>
      </c>
    </row>
    <row r="655" spans="1:1" x14ac:dyDescent="0.2">
      <c r="A655" s="36" t="s">
        <v>101</v>
      </c>
    </row>
    <row r="656" spans="1:1" x14ac:dyDescent="0.2">
      <c r="A656" s="36" t="s">
        <v>136</v>
      </c>
    </row>
    <row r="657" spans="1:1" x14ac:dyDescent="0.2">
      <c r="A657" s="36" t="s">
        <v>76</v>
      </c>
    </row>
    <row r="658" spans="1:1" x14ac:dyDescent="0.2">
      <c r="A658" s="29">
        <v>1</v>
      </c>
    </row>
    <row r="659" spans="1:1" x14ac:dyDescent="0.2">
      <c r="A659" s="35">
        <v>1</v>
      </c>
    </row>
    <row r="660" spans="1:1" x14ac:dyDescent="0.2">
      <c r="A660" s="36" t="s">
        <v>170</v>
      </c>
    </row>
    <row r="661" spans="1:1" x14ac:dyDescent="0.2">
      <c r="A661" s="36" t="s">
        <v>46</v>
      </c>
    </row>
    <row r="662" spans="1:1" x14ac:dyDescent="0.2">
      <c r="A662" s="36" t="s">
        <v>61</v>
      </c>
    </row>
    <row r="663" spans="1:1" x14ac:dyDescent="0.2">
      <c r="A663" s="36" t="s">
        <v>22</v>
      </c>
    </row>
    <row r="664" spans="1:1" x14ac:dyDescent="0.2">
      <c r="A664" s="36" t="s">
        <v>79</v>
      </c>
    </row>
    <row r="665" spans="1:1" x14ac:dyDescent="0.2">
      <c r="A665" s="36" t="s">
        <v>33</v>
      </c>
    </row>
    <row r="666" spans="1:1" x14ac:dyDescent="0.2">
      <c r="A666" s="36" t="s">
        <v>128</v>
      </c>
    </row>
    <row r="667" spans="1:1" x14ac:dyDescent="0.2">
      <c r="A667" s="36" t="s">
        <v>90</v>
      </c>
    </row>
    <row r="668" spans="1:1" x14ac:dyDescent="0.2">
      <c r="A668" s="36" t="s">
        <v>67</v>
      </c>
    </row>
    <row r="669" spans="1:1" x14ac:dyDescent="0.2">
      <c r="A669" s="36" t="s">
        <v>84</v>
      </c>
    </row>
    <row r="670" spans="1:1" x14ac:dyDescent="0.2">
      <c r="A670" s="36" t="s">
        <v>39</v>
      </c>
    </row>
    <row r="671" spans="1:1" x14ac:dyDescent="0.2">
      <c r="A671" s="36" t="s">
        <v>9</v>
      </c>
    </row>
    <row r="672" spans="1:1" x14ac:dyDescent="0.2">
      <c r="A672" s="36" t="s">
        <v>105</v>
      </c>
    </row>
    <row r="673" spans="1:1" x14ac:dyDescent="0.2">
      <c r="A673" s="36" t="s">
        <v>169</v>
      </c>
    </row>
    <row r="674" spans="1:1" x14ac:dyDescent="0.2">
      <c r="A674" s="35">
        <v>2</v>
      </c>
    </row>
    <row r="675" spans="1:1" x14ac:dyDescent="0.2">
      <c r="A675" s="36" t="s">
        <v>170</v>
      </c>
    </row>
    <row r="676" spans="1:1" x14ac:dyDescent="0.2">
      <c r="A676" s="36" t="s">
        <v>218</v>
      </c>
    </row>
    <row r="677" spans="1:1" x14ac:dyDescent="0.2">
      <c r="A677" s="36" t="s">
        <v>22</v>
      </c>
    </row>
    <row r="678" spans="1:1" x14ac:dyDescent="0.2">
      <c r="A678" s="36" t="s">
        <v>23</v>
      </c>
    </row>
    <row r="679" spans="1:1" x14ac:dyDescent="0.2">
      <c r="A679" s="36" t="s">
        <v>85</v>
      </c>
    </row>
    <row r="680" spans="1:1" x14ac:dyDescent="0.2">
      <c r="A680" s="36" t="s">
        <v>58</v>
      </c>
    </row>
    <row r="681" spans="1:1" x14ac:dyDescent="0.2">
      <c r="A681" s="36" t="s">
        <v>128</v>
      </c>
    </row>
    <row r="682" spans="1:1" x14ac:dyDescent="0.2">
      <c r="A682" s="36" t="s">
        <v>198</v>
      </c>
    </row>
    <row r="683" spans="1:1" x14ac:dyDescent="0.2">
      <c r="A683" s="36" t="s">
        <v>67</v>
      </c>
    </row>
    <row r="684" spans="1:1" x14ac:dyDescent="0.2">
      <c r="A684" s="36" t="s">
        <v>84</v>
      </c>
    </row>
    <row r="685" spans="1:1" x14ac:dyDescent="0.2">
      <c r="A685" s="36" t="s">
        <v>129</v>
      </c>
    </row>
    <row r="686" spans="1:1" x14ac:dyDescent="0.2">
      <c r="A686" s="36" t="s">
        <v>200</v>
      </c>
    </row>
    <row r="687" spans="1:1" x14ac:dyDescent="0.2">
      <c r="A687" s="36" t="s">
        <v>20</v>
      </c>
    </row>
    <row r="688" spans="1:1" x14ac:dyDescent="0.2">
      <c r="A688" s="36" t="s">
        <v>9</v>
      </c>
    </row>
    <row r="689" spans="1:1" x14ac:dyDescent="0.2">
      <c r="A689" s="36" t="s">
        <v>186</v>
      </c>
    </row>
    <row r="690" spans="1:1" x14ac:dyDescent="0.2">
      <c r="A690" s="36" t="s">
        <v>25</v>
      </c>
    </row>
    <row r="691" spans="1:1" x14ac:dyDescent="0.2">
      <c r="A691" s="36" t="s">
        <v>78</v>
      </c>
    </row>
    <row r="692" spans="1:1" x14ac:dyDescent="0.2">
      <c r="A692" s="36" t="s">
        <v>189</v>
      </c>
    </row>
    <row r="693" spans="1:1" x14ac:dyDescent="0.2">
      <c r="A693" s="36" t="s">
        <v>132</v>
      </c>
    </row>
    <row r="694" spans="1:1" x14ac:dyDescent="0.2">
      <c r="A694" s="35">
        <v>3</v>
      </c>
    </row>
    <row r="695" spans="1:1" x14ac:dyDescent="0.2">
      <c r="A695" s="36" t="s">
        <v>170</v>
      </c>
    </row>
    <row r="696" spans="1:1" x14ac:dyDescent="0.2">
      <c r="A696" s="36" t="s">
        <v>197</v>
      </c>
    </row>
    <row r="697" spans="1:1" x14ac:dyDescent="0.2">
      <c r="A697" s="36" t="s">
        <v>10</v>
      </c>
    </row>
    <row r="698" spans="1:1" x14ac:dyDescent="0.2">
      <c r="A698" s="36" t="s">
        <v>128</v>
      </c>
    </row>
    <row r="699" spans="1:1" x14ac:dyDescent="0.2">
      <c r="A699" s="36" t="s">
        <v>67</v>
      </c>
    </row>
    <row r="700" spans="1:1" x14ac:dyDescent="0.2">
      <c r="A700" s="36" t="s">
        <v>84</v>
      </c>
    </row>
    <row r="701" spans="1:1" x14ac:dyDescent="0.2">
      <c r="A701" s="36" t="s">
        <v>238</v>
      </c>
    </row>
    <row r="702" spans="1:1" x14ac:dyDescent="0.2">
      <c r="A702" s="36" t="s">
        <v>118</v>
      </c>
    </row>
    <row r="703" spans="1:1" x14ac:dyDescent="0.2">
      <c r="A703" s="36" t="s">
        <v>52</v>
      </c>
    </row>
    <row r="704" spans="1:1" x14ac:dyDescent="0.2">
      <c r="A704" s="36" t="s">
        <v>9</v>
      </c>
    </row>
    <row r="705" spans="1:1" x14ac:dyDescent="0.2">
      <c r="A705" s="36" t="s">
        <v>138</v>
      </c>
    </row>
    <row r="706" spans="1:1" x14ac:dyDescent="0.2">
      <c r="A706" s="36" t="s">
        <v>96</v>
      </c>
    </row>
    <row r="707" spans="1:1" x14ac:dyDescent="0.2">
      <c r="A707" s="36" t="s">
        <v>93</v>
      </c>
    </row>
    <row r="708" spans="1:1" x14ac:dyDescent="0.2">
      <c r="A708" s="36" t="s">
        <v>83</v>
      </c>
    </row>
    <row r="709" spans="1:1" x14ac:dyDescent="0.2">
      <c r="A709" s="36" t="s">
        <v>169</v>
      </c>
    </row>
    <row r="710" spans="1:1" x14ac:dyDescent="0.2">
      <c r="A710" s="36" t="s">
        <v>189</v>
      </c>
    </row>
    <row r="711" spans="1:1" x14ac:dyDescent="0.2">
      <c r="A711" s="36" t="s">
        <v>132</v>
      </c>
    </row>
    <row r="712" spans="1:1" x14ac:dyDescent="0.2">
      <c r="A712" s="36" t="s">
        <v>32</v>
      </c>
    </row>
    <row r="713" spans="1:1" x14ac:dyDescent="0.2">
      <c r="A713" s="35">
        <v>4</v>
      </c>
    </row>
    <row r="714" spans="1:1" x14ac:dyDescent="0.2">
      <c r="A714" s="36" t="s">
        <v>59</v>
      </c>
    </row>
    <row r="715" spans="1:1" x14ac:dyDescent="0.2">
      <c r="A715" s="36" t="s">
        <v>23</v>
      </c>
    </row>
    <row r="716" spans="1:1" x14ac:dyDescent="0.2">
      <c r="A716" s="36" t="s">
        <v>164</v>
      </c>
    </row>
    <row r="717" spans="1:1" x14ac:dyDescent="0.2">
      <c r="A717" s="36" t="s">
        <v>253</v>
      </c>
    </row>
    <row r="718" spans="1:1" x14ac:dyDescent="0.2">
      <c r="A718" s="36" t="s">
        <v>150</v>
      </c>
    </row>
    <row r="719" spans="1:1" x14ac:dyDescent="0.2">
      <c r="A719" s="36" t="s">
        <v>77</v>
      </c>
    </row>
    <row r="720" spans="1:1" x14ac:dyDescent="0.2">
      <c r="A720" s="36" t="s">
        <v>128</v>
      </c>
    </row>
    <row r="721" spans="1:1" x14ac:dyDescent="0.2">
      <c r="A721" s="36" t="s">
        <v>67</v>
      </c>
    </row>
    <row r="722" spans="1:1" x14ac:dyDescent="0.2">
      <c r="A722" s="36" t="s">
        <v>84</v>
      </c>
    </row>
    <row r="723" spans="1:1" x14ac:dyDescent="0.2">
      <c r="A723" s="36" t="s">
        <v>118</v>
      </c>
    </row>
    <row r="724" spans="1:1" x14ac:dyDescent="0.2">
      <c r="A724" s="36" t="s">
        <v>52</v>
      </c>
    </row>
    <row r="725" spans="1:1" x14ac:dyDescent="0.2">
      <c r="A725" s="36" t="s">
        <v>39</v>
      </c>
    </row>
    <row r="726" spans="1:1" x14ac:dyDescent="0.2">
      <c r="A726" s="36" t="s">
        <v>20</v>
      </c>
    </row>
    <row r="727" spans="1:1" x14ac:dyDescent="0.2">
      <c r="A727" s="36" t="s">
        <v>186</v>
      </c>
    </row>
    <row r="728" spans="1:1" x14ac:dyDescent="0.2">
      <c r="A728" s="36" t="s">
        <v>96</v>
      </c>
    </row>
    <row r="729" spans="1:1" x14ac:dyDescent="0.2">
      <c r="A729" s="36" t="s">
        <v>31</v>
      </c>
    </row>
    <row r="730" spans="1:1" x14ac:dyDescent="0.2">
      <c r="A730" s="36" t="s">
        <v>93</v>
      </c>
    </row>
    <row r="731" spans="1:1" x14ac:dyDescent="0.2">
      <c r="A731" s="36" t="s">
        <v>110</v>
      </c>
    </row>
    <row r="732" spans="1:1" x14ac:dyDescent="0.2">
      <c r="A732" s="36" t="s">
        <v>83</v>
      </c>
    </row>
    <row r="733" spans="1:1" x14ac:dyDescent="0.2">
      <c r="A733" s="36" t="s">
        <v>169</v>
      </c>
    </row>
    <row r="734" spans="1:1" x14ac:dyDescent="0.2">
      <c r="A734" s="36" t="s">
        <v>189</v>
      </c>
    </row>
    <row r="735" spans="1:1" x14ac:dyDescent="0.2">
      <c r="A735" s="36" t="s">
        <v>36</v>
      </c>
    </row>
    <row r="736" spans="1:1" x14ac:dyDescent="0.2">
      <c r="A736" s="36" t="s">
        <v>68</v>
      </c>
    </row>
    <row r="737" spans="1:1" x14ac:dyDescent="0.2">
      <c r="A737" s="36" t="s">
        <v>116</v>
      </c>
    </row>
    <row r="738" spans="1:1" x14ac:dyDescent="0.2">
      <c r="A738" s="29">
        <v>2</v>
      </c>
    </row>
    <row r="739" spans="1:1" x14ac:dyDescent="0.2">
      <c r="A739" s="35">
        <v>1</v>
      </c>
    </row>
    <row r="740" spans="1:1" x14ac:dyDescent="0.2">
      <c r="A740" s="36" t="s">
        <v>170</v>
      </c>
    </row>
    <row r="741" spans="1:1" x14ac:dyDescent="0.2">
      <c r="A741" s="36" t="s">
        <v>46</v>
      </c>
    </row>
    <row r="742" spans="1:1" x14ac:dyDescent="0.2">
      <c r="A742" s="36" t="s">
        <v>61</v>
      </c>
    </row>
    <row r="743" spans="1:1" x14ac:dyDescent="0.2">
      <c r="A743" s="36" t="s">
        <v>33</v>
      </c>
    </row>
    <row r="744" spans="1:1" x14ac:dyDescent="0.2">
      <c r="A744" s="36" t="s">
        <v>128</v>
      </c>
    </row>
    <row r="745" spans="1:1" x14ac:dyDescent="0.2">
      <c r="A745" s="36" t="s">
        <v>90</v>
      </c>
    </row>
    <row r="746" spans="1:1" x14ac:dyDescent="0.2">
      <c r="A746" s="36" t="s">
        <v>67</v>
      </c>
    </row>
    <row r="747" spans="1:1" x14ac:dyDescent="0.2">
      <c r="A747" s="36" t="s">
        <v>39</v>
      </c>
    </row>
    <row r="748" spans="1:1" x14ac:dyDescent="0.2">
      <c r="A748" s="36" t="s">
        <v>105</v>
      </c>
    </row>
    <row r="749" spans="1:1" x14ac:dyDescent="0.2">
      <c r="A749" s="36" t="s">
        <v>156</v>
      </c>
    </row>
    <row r="750" spans="1:1" x14ac:dyDescent="0.2">
      <c r="A750" s="35">
        <v>2</v>
      </c>
    </row>
    <row r="751" spans="1:1" x14ac:dyDescent="0.2">
      <c r="A751" s="36" t="s">
        <v>170</v>
      </c>
    </row>
    <row r="752" spans="1:1" x14ac:dyDescent="0.2">
      <c r="A752" s="36" t="s">
        <v>23</v>
      </c>
    </row>
    <row r="753" spans="1:1" x14ac:dyDescent="0.2">
      <c r="A753" s="36" t="s">
        <v>128</v>
      </c>
    </row>
    <row r="754" spans="1:1" x14ac:dyDescent="0.2">
      <c r="A754" s="36" t="s">
        <v>198</v>
      </c>
    </row>
    <row r="755" spans="1:1" x14ac:dyDescent="0.2">
      <c r="A755" s="36" t="s">
        <v>129</v>
      </c>
    </row>
    <row r="756" spans="1:1" x14ac:dyDescent="0.2">
      <c r="A756" s="35">
        <v>3</v>
      </c>
    </row>
    <row r="757" spans="1:1" x14ac:dyDescent="0.2">
      <c r="A757" s="36" t="s">
        <v>197</v>
      </c>
    </row>
    <row r="758" spans="1:1" x14ac:dyDescent="0.2">
      <c r="A758" s="36" t="s">
        <v>238</v>
      </c>
    </row>
    <row r="759" spans="1:1" x14ac:dyDescent="0.2">
      <c r="A759" s="36" t="s">
        <v>118</v>
      </c>
    </row>
    <row r="760" spans="1:1" x14ac:dyDescent="0.2">
      <c r="A760" s="36" t="s">
        <v>189</v>
      </c>
    </row>
    <row r="761" spans="1:1" x14ac:dyDescent="0.2">
      <c r="A761" s="35">
        <v>4</v>
      </c>
    </row>
    <row r="762" spans="1:1" x14ac:dyDescent="0.2">
      <c r="A762" s="36" t="s">
        <v>253</v>
      </c>
    </row>
    <row r="763" spans="1:1" x14ac:dyDescent="0.2">
      <c r="A763" s="36" t="s">
        <v>77</v>
      </c>
    </row>
    <row r="764" spans="1:1" x14ac:dyDescent="0.2">
      <c r="A764" s="36" t="s">
        <v>128</v>
      </c>
    </row>
    <row r="765" spans="1:1" x14ac:dyDescent="0.2">
      <c r="A765" s="36" t="s">
        <v>118</v>
      </c>
    </row>
    <row r="766" spans="1:1" x14ac:dyDescent="0.2">
      <c r="A766" s="36" t="s">
        <v>39</v>
      </c>
    </row>
    <row r="767" spans="1:1" x14ac:dyDescent="0.2">
      <c r="A767" s="36" t="s">
        <v>31</v>
      </c>
    </row>
    <row r="768" spans="1:1" x14ac:dyDescent="0.2">
      <c r="A768" s="36" t="s">
        <v>110</v>
      </c>
    </row>
    <row r="769" spans="1:1" x14ac:dyDescent="0.2">
      <c r="A769" s="36" t="s">
        <v>83</v>
      </c>
    </row>
    <row r="770" spans="1:1" x14ac:dyDescent="0.2">
      <c r="A770" s="29">
        <v>3</v>
      </c>
    </row>
    <row r="771" spans="1:1" x14ac:dyDescent="0.2">
      <c r="A771" s="35">
        <v>1</v>
      </c>
    </row>
    <row r="772" spans="1:1" x14ac:dyDescent="0.2">
      <c r="A772" s="36" t="s">
        <v>170</v>
      </c>
    </row>
    <row r="773" spans="1:1" x14ac:dyDescent="0.2">
      <c r="A773" s="36" t="s">
        <v>46</v>
      </c>
    </row>
    <row r="774" spans="1:1" x14ac:dyDescent="0.2">
      <c r="A774" s="36" t="s">
        <v>61</v>
      </c>
    </row>
    <row r="775" spans="1:1" x14ac:dyDescent="0.2">
      <c r="A775" s="36" t="s">
        <v>128</v>
      </c>
    </row>
    <row r="776" spans="1:1" x14ac:dyDescent="0.2">
      <c r="A776" s="36" t="s">
        <v>90</v>
      </c>
    </row>
    <row r="777" spans="1:1" x14ac:dyDescent="0.2">
      <c r="A777" s="36" t="s">
        <v>105</v>
      </c>
    </row>
    <row r="778" spans="1:1" x14ac:dyDescent="0.2">
      <c r="A778" s="35">
        <v>2</v>
      </c>
    </row>
    <row r="779" spans="1:1" x14ac:dyDescent="0.2">
      <c r="A779" s="36" t="s">
        <v>23</v>
      </c>
    </row>
    <row r="780" spans="1:1" x14ac:dyDescent="0.2">
      <c r="A780" s="35">
        <v>3</v>
      </c>
    </row>
    <row r="781" spans="1:1" x14ac:dyDescent="0.2">
      <c r="A781" s="36" t="s">
        <v>238</v>
      </c>
    </row>
    <row r="782" spans="1:1" x14ac:dyDescent="0.2">
      <c r="A782" s="36" t="s">
        <v>118</v>
      </c>
    </row>
    <row r="783" spans="1:1" x14ac:dyDescent="0.2">
      <c r="A783" s="36" t="s">
        <v>189</v>
      </c>
    </row>
    <row r="784" spans="1:1" x14ac:dyDescent="0.2">
      <c r="A784" s="35">
        <v>4</v>
      </c>
    </row>
    <row r="785" spans="1:1" x14ac:dyDescent="0.2">
      <c r="A785" s="36" t="s">
        <v>128</v>
      </c>
    </row>
    <row r="786" spans="1:1" x14ac:dyDescent="0.2">
      <c r="A786" s="36" t="s">
        <v>118</v>
      </c>
    </row>
    <row r="787" spans="1:1" x14ac:dyDescent="0.2">
      <c r="A787" s="36" t="s">
        <v>39</v>
      </c>
    </row>
    <row r="788" spans="1:1" x14ac:dyDescent="0.2">
      <c r="A788" s="36" t="s">
        <v>31</v>
      </c>
    </row>
    <row r="789" spans="1:1" x14ac:dyDescent="0.2">
      <c r="A789" s="36" t="s">
        <v>110</v>
      </c>
    </row>
    <row r="790" spans="1:1" x14ac:dyDescent="0.2">
      <c r="A790" s="29">
        <v>4</v>
      </c>
    </row>
    <row r="791" spans="1:1" x14ac:dyDescent="0.2">
      <c r="A791" s="35">
        <v>1</v>
      </c>
    </row>
    <row r="792" spans="1:1" x14ac:dyDescent="0.2">
      <c r="A792" s="36" t="s">
        <v>170</v>
      </c>
    </row>
    <row r="793" spans="1:1" x14ac:dyDescent="0.2">
      <c r="A793" s="36" t="s">
        <v>46</v>
      </c>
    </row>
    <row r="794" spans="1:1" x14ac:dyDescent="0.2">
      <c r="A794" s="36" t="s">
        <v>128</v>
      </c>
    </row>
    <row r="795" spans="1:1" x14ac:dyDescent="0.2">
      <c r="A795" s="36" t="s">
        <v>90</v>
      </c>
    </row>
    <row r="796" spans="1:1" x14ac:dyDescent="0.2">
      <c r="A796" s="35">
        <v>3</v>
      </c>
    </row>
    <row r="797" spans="1:1" x14ac:dyDescent="0.2">
      <c r="A797" s="36" t="s">
        <v>118</v>
      </c>
    </row>
    <row r="798" spans="1:1" x14ac:dyDescent="0.2">
      <c r="A798" s="35">
        <v>4</v>
      </c>
    </row>
    <row r="799" spans="1:1" x14ac:dyDescent="0.2">
      <c r="A799" s="36" t="s">
        <v>128</v>
      </c>
    </row>
    <row r="800" spans="1:1" x14ac:dyDescent="0.2">
      <c r="A800" s="36" t="s">
        <v>118</v>
      </c>
    </row>
    <row r="801" spans="1:1" x14ac:dyDescent="0.2">
      <c r="A801" s="29">
        <v>5</v>
      </c>
    </row>
    <row r="802" spans="1:1" x14ac:dyDescent="0.2">
      <c r="A802" s="35">
        <v>1</v>
      </c>
    </row>
    <row r="803" spans="1:1" x14ac:dyDescent="0.2">
      <c r="A803" s="36" t="s">
        <v>170</v>
      </c>
    </row>
    <row r="804" spans="1:1" x14ac:dyDescent="0.2">
      <c r="A804" s="36" t="s">
        <v>46</v>
      </c>
    </row>
    <row r="805" spans="1:1" x14ac:dyDescent="0.2">
      <c r="A805" s="36" t="s">
        <v>128</v>
      </c>
    </row>
    <row r="806" spans="1:1" x14ac:dyDescent="0.2">
      <c r="A806" s="35">
        <v>4</v>
      </c>
    </row>
    <row r="807" spans="1:1" x14ac:dyDescent="0.2">
      <c r="A807" s="36" t="s">
        <v>128</v>
      </c>
    </row>
    <row r="808" spans="1:1" x14ac:dyDescent="0.2">
      <c r="A808" s="36" t="s">
        <v>118</v>
      </c>
    </row>
    <row r="809" spans="1:1" x14ac:dyDescent="0.2">
      <c r="A809" s="29">
        <v>6</v>
      </c>
    </row>
    <row r="810" spans="1:1" x14ac:dyDescent="0.2">
      <c r="A810" s="35">
        <v>1</v>
      </c>
    </row>
    <row r="811" spans="1:1" x14ac:dyDescent="0.2">
      <c r="A811" s="36" t="s">
        <v>170</v>
      </c>
    </row>
    <row r="812" spans="1:1" x14ac:dyDescent="0.2">
      <c r="A812" s="36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csv imports</vt:lpstr>
      <vt:lpstr>Samples analysis</vt:lpstr>
      <vt:lpstr>Problems_DT</vt:lpstr>
      <vt:lpstr>'Samples analysis'!Area_de_extracao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Brasilino</dc:creator>
  <cp:lastModifiedBy>Clodoaldo Brasilino</cp:lastModifiedBy>
  <dcterms:created xsi:type="dcterms:W3CDTF">2024-04-15T08:15:20Z</dcterms:created>
  <dcterms:modified xsi:type="dcterms:W3CDTF">2024-04-23T10:13:16Z</dcterms:modified>
</cp:coreProperties>
</file>